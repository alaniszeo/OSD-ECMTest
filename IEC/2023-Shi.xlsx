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AZ\alaniszeo_git\OSD-ECMTest\IEC\"/>
    </mc:Choice>
  </mc:AlternateContent>
  <xr:revisionPtr revIDLastSave="0" documentId="13_ncr:1_{6CC1FE11-6960-492E-A708-DEE705D4891E}" xr6:coauthVersionLast="47" xr6:coauthVersionMax="47" xr10:uidLastSave="{00000000-0000-0000-0000-000000000000}"/>
  <bookViews>
    <workbookView xWindow="-108" yWindow="-108" windowWidth="30936" windowHeight="16776" xr2:uid="{1306219A-737B-4B5D-BCFD-98C34D3C77CC}"/>
  </bookViews>
  <sheets>
    <sheet name="Characteristics" sheetId="11" r:id="rId1"/>
    <sheet name="Data" sheetId="10"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70" i="10" l="1"/>
  <c r="U69" i="10"/>
  <c r="U68" i="10"/>
  <c r="U67" i="10"/>
  <c r="U66" i="10"/>
  <c r="U65" i="10"/>
  <c r="U64" i="10"/>
  <c r="U63" i="10"/>
  <c r="U62" i="10"/>
  <c r="U61" i="10"/>
  <c r="U60" i="10"/>
  <c r="U59" i="10"/>
  <c r="U58" i="10"/>
  <c r="U57" i="10"/>
  <c r="U56" i="10"/>
  <c r="U55" i="10"/>
  <c r="U54" i="10"/>
  <c r="U53" i="10"/>
  <c r="U52" i="10"/>
  <c r="U51" i="10"/>
  <c r="U50" i="10"/>
  <c r="U49" i="10"/>
  <c r="U48" i="10"/>
  <c r="U47" i="10"/>
  <c r="U46" i="10"/>
  <c r="U45" i="10"/>
  <c r="U44" i="10"/>
  <c r="U43" i="10"/>
  <c r="U42" i="10"/>
  <c r="U41" i="10"/>
  <c r="U40" i="10"/>
  <c r="U39" i="10"/>
  <c r="U38" i="10"/>
  <c r="U37" i="10"/>
  <c r="U36" i="10"/>
  <c r="U35" i="10"/>
  <c r="U34" i="10"/>
  <c r="U33" i="10"/>
  <c r="U32" i="10"/>
  <c r="U31" i="10"/>
  <c r="U30" i="10"/>
  <c r="U29" i="10"/>
  <c r="U28" i="10"/>
  <c r="U27" i="10"/>
  <c r="U26" i="10"/>
  <c r="U25" i="10"/>
  <c r="U24" i="10"/>
  <c r="U23" i="10"/>
  <c r="U22" i="10"/>
  <c r="U21" i="10"/>
  <c r="U20" i="10"/>
  <c r="U19" i="10"/>
  <c r="U18" i="10"/>
  <c r="U17" i="10"/>
  <c r="U16" i="10"/>
  <c r="U15" i="10"/>
  <c r="U14" i="10"/>
  <c r="U13" i="10"/>
  <c r="U12" i="10"/>
  <c r="U11" i="10"/>
  <c r="U10" i="10"/>
  <c r="U9" i="10"/>
  <c r="U8" i="10"/>
  <c r="U7" i="10"/>
  <c r="U6" i="10"/>
  <c r="U5" i="10"/>
  <c r="U4" i="10"/>
  <c r="A4" i="10"/>
  <c r="A5" i="10" s="1"/>
  <c r="A6" i="10" s="1"/>
  <c r="A7" i="10" s="1"/>
  <c r="A8" i="10" s="1"/>
  <c r="A9" i="10" s="1"/>
  <c r="A10" i="10" s="1"/>
  <c r="A11" i="10" s="1"/>
  <c r="A12" i="10" s="1"/>
  <c r="A13" i="10" s="1"/>
  <c r="A14" i="10" s="1"/>
  <c r="A15" i="10" s="1"/>
  <c r="A16" i="10" s="1"/>
  <c r="A17" i="10" s="1"/>
  <c r="A18" i="10" s="1"/>
  <c r="A19" i="10" s="1"/>
  <c r="A20" i="10" s="1"/>
  <c r="A21" i="10" s="1"/>
  <c r="A22" i="10" s="1"/>
  <c r="A23" i="10" s="1"/>
  <c r="A24" i="10" s="1"/>
  <c r="A25" i="10" s="1"/>
  <c r="A26" i="10" s="1"/>
  <c r="A27" i="10" s="1"/>
  <c r="A28" i="10" s="1"/>
  <c r="A29" i="10" s="1"/>
  <c r="A30" i="10" s="1"/>
  <c r="A31" i="10" s="1"/>
  <c r="A32" i="10" s="1"/>
  <c r="A33" i="10" s="1"/>
  <c r="A34" i="10" s="1"/>
  <c r="A35" i="10" s="1"/>
  <c r="A36" i="10" s="1"/>
  <c r="A37" i="10" s="1"/>
  <c r="A38" i="10" s="1"/>
  <c r="A39" i="10" s="1"/>
  <c r="A40" i="10" s="1"/>
  <c r="A41" i="10" s="1"/>
  <c r="A42" i="10" s="1"/>
  <c r="A43" i="10" s="1"/>
  <c r="A44" i="10" s="1"/>
  <c r="A45" i="10" s="1"/>
  <c r="A46" i="10" s="1"/>
  <c r="A47" i="10" s="1"/>
  <c r="A48" i="10" s="1"/>
  <c r="A49" i="10" s="1"/>
  <c r="A50" i="10" s="1"/>
  <c r="A51" i="10" s="1"/>
  <c r="A52" i="10" s="1"/>
  <c r="A53" i="10" s="1"/>
  <c r="A54" i="10" s="1"/>
  <c r="A55" i="10" s="1"/>
  <c r="A56" i="10" s="1"/>
  <c r="A57" i="10" s="1"/>
  <c r="A58" i="10" s="1"/>
  <c r="A59" i="10" s="1"/>
  <c r="A60" i="10" s="1"/>
  <c r="A61" i="10" s="1"/>
  <c r="A62" i="10" s="1"/>
  <c r="A63" i="10" s="1"/>
  <c r="A64" i="10" s="1"/>
  <c r="A65" i="10" s="1"/>
  <c r="A66" i="10" s="1"/>
  <c r="A67" i="10" s="1"/>
  <c r="A68" i="10" s="1"/>
  <c r="A69" i="10" s="1"/>
  <c r="A70" i="10" s="1"/>
  <c r="U3" i="10"/>
</calcChain>
</file>

<file path=xl/sharedStrings.xml><?xml version="1.0" encoding="utf-8"?>
<sst xmlns="http://schemas.openxmlformats.org/spreadsheetml/2006/main" count="503" uniqueCount="80">
  <si>
    <t>Authors</t>
  </si>
  <si>
    <t>Title</t>
  </si>
  <si>
    <t>Year</t>
  </si>
  <si>
    <t>HEX characteristics</t>
  </si>
  <si>
    <t>Data type</t>
  </si>
  <si>
    <t>L</t>
  </si>
  <si>
    <t>m/s</t>
  </si>
  <si>
    <t>-</t>
  </si>
  <si>
    <t>m</t>
  </si>
  <si>
    <t>Configuration</t>
  </si>
  <si>
    <t>Water recirculation</t>
  </si>
  <si>
    <t>Run</t>
  </si>
  <si>
    <t>epsilon_wb</t>
  </si>
  <si>
    <t>Inlet conditions</t>
  </si>
  <si>
    <t>Outlet conditions</t>
  </si>
  <si>
    <t>HEX type</t>
  </si>
  <si>
    <t>Water injection type</t>
  </si>
  <si>
    <t>wf</t>
  </si>
  <si>
    <t>counterflow</t>
  </si>
  <si>
    <t>Geometry</t>
  </si>
  <si>
    <t>Length</t>
  </si>
  <si>
    <t>Height</t>
  </si>
  <si>
    <t>Paper information</t>
  </si>
  <si>
    <t>Operating conditions</t>
  </si>
  <si>
    <t>Water supplied</t>
  </si>
  <si>
    <t>Wall thickness</t>
  </si>
  <si>
    <t>Primary fluid velocity</t>
  </si>
  <si>
    <t>Secondary fluid velocity</t>
  </si>
  <si>
    <t>epsilon_dp</t>
  </si>
  <si>
    <t>kg/kg</t>
  </si>
  <si>
    <t>C</t>
  </si>
  <si>
    <t>P</t>
  </si>
  <si>
    <t>NA</t>
  </si>
  <si>
    <t>Testing conditions</t>
  </si>
  <si>
    <t>W</t>
  </si>
  <si>
    <t>h_ch</t>
  </si>
  <si>
    <t>Channel height</t>
  </si>
  <si>
    <t>crossflow</t>
  </si>
  <si>
    <t>Number of channels</t>
  </si>
  <si>
    <t>SPR</t>
  </si>
  <si>
    <t>pd</t>
  </si>
  <si>
    <t>sw</t>
  </si>
  <si>
    <t>Wall material</t>
  </si>
  <si>
    <t>Width</t>
  </si>
  <si>
    <t>Secondary-to-Primary flow rate ratio</t>
  </si>
  <si>
    <t>kg/s</t>
  </si>
  <si>
    <t>Test</t>
  </si>
  <si>
    <t>T_pdi</t>
  </si>
  <si>
    <t>w_pdi</t>
  </si>
  <si>
    <t>v_pdi</t>
  </si>
  <si>
    <t>T_swi</t>
  </si>
  <si>
    <t>w_swi</t>
  </si>
  <si>
    <t>v_swi</t>
  </si>
  <si>
    <t>T_wfi</t>
  </si>
  <si>
    <t>m_dot_wf</t>
  </si>
  <si>
    <t>T_pdo</t>
  </si>
  <si>
    <t>w_pdo</t>
  </si>
  <si>
    <t>T_swo</t>
  </si>
  <si>
    <t>w_wso</t>
  </si>
  <si>
    <t>IEC</t>
  </si>
  <si>
    <t>No</t>
  </si>
  <si>
    <r>
      <t xml:space="preserve">Shi </t>
    </r>
    <r>
      <rPr>
        <i/>
        <sz val="11"/>
        <color theme="1"/>
        <rFont val="Calibri"/>
        <family val="2"/>
        <scheme val="minor"/>
      </rPr>
      <t>et al.</t>
    </r>
  </si>
  <si>
    <t>A novel indirect evaporative cooler with porous media under dual spraying modes: A comparative analysis from energy, exergy, and environmental perspectives</t>
  </si>
  <si>
    <t>Numerical data, extracted from graphs</t>
  </si>
  <si>
    <t>Wet surface</t>
  </si>
  <si>
    <t>Stainless steel with porous material layer</t>
  </si>
  <si>
    <t>XPC</t>
  </si>
  <si>
    <t>2-2.5</t>
  </si>
  <si>
    <t>Continuous spraying</t>
  </si>
  <si>
    <t>Periodic spraying: spray 120s then stop until T_pdo rises by 0.5 K</t>
  </si>
  <si>
    <t>1.5-3.5</t>
  </si>
  <si>
    <t>1-3</t>
  </si>
  <si>
    <t>WWR</t>
  </si>
  <si>
    <t>Re</t>
  </si>
  <si>
    <t>Nu</t>
  </si>
  <si>
    <t>0.33-1.33</t>
  </si>
  <si>
    <t>h_T_pd</t>
  </si>
  <si>
    <t>h_T_sw</t>
  </si>
  <si>
    <t>Description</t>
  </si>
  <si>
    <t>Numerical model validated based on the work of De Antonellis et al. (2019). Investigation of the effect of two water spraying techniques on the IEC performance. Contrary to De Antonellis et al., who focused on the effect of the secondary air conditions on the primary air outlet temperature, Shi et al. considered variable conditions for the primary air inlet temperature.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</si>
</sst>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00"/>
    <numFmt numFmtId="166" formatCode="0.0"/>
  </numFmts>
  <fonts count="3" x14ac:knownFonts="1">
    <font>
      <sz val="11"/>
      <color theme="1"/>
      <name val="Calibri"/>
      <family val="2"/>
      <scheme val="minor"/>
    </font>
    <font>
      <b/>
      <sz val="11"/>
      <color theme="1"/>
      <name val="Calibri"/>
      <family val="2"/>
      <scheme val="minor"/>
    </font>
    <font>
      <i/>
      <sz val="11"/>
      <color theme="1"/>
      <name val="Calibri"/>
      <family val="2"/>
      <scheme val="minor"/>
    </font>
  </fonts>
  <fills count="2">
    <fill>
      <patternFill patternType="none"/>
    </fill>
    <fill>
      <patternFill patternType="gray125"/>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69">
    <xf numFmtId="0" fontId="0" fillId="0" borderId="0" xfId="0"/>
    <xf numFmtId="0" fontId="1" fillId="0" borderId="0" xfId="0" applyFont="1"/>
    <xf numFmtId="0" fontId="1" fillId="0" borderId="2" xfId="0" applyFont="1"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1" fillId="0" borderId="10" xfId="0" applyFont="1" applyBorder="1"/>
    <xf numFmtId="0" fontId="1" fillId="0" borderId="11" xfId="0" applyFont="1" applyBorder="1"/>
    <xf numFmtId="0" fontId="1" fillId="0" borderId="12" xfId="0" applyFont="1" applyBorder="1"/>
    <xf numFmtId="0" fontId="0" fillId="0" borderId="2" xfId="0" applyBorder="1"/>
    <xf numFmtId="0" fontId="1" fillId="0" borderId="3" xfId="0" applyFont="1" applyBorder="1"/>
    <xf numFmtId="0" fontId="1" fillId="0" borderId="7" xfId="0" applyFont="1" applyBorder="1"/>
    <xf numFmtId="0" fontId="1" fillId="0" borderId="15" xfId="0" applyFont="1" applyBorder="1"/>
    <xf numFmtId="2" fontId="0" fillId="0" borderId="0" xfId="0" applyNumberFormat="1"/>
    <xf numFmtId="0" fontId="1" fillId="0" borderId="1" xfId="0" applyFont="1" applyBorder="1"/>
    <xf numFmtId="0" fontId="0" fillId="0" borderId="11" xfId="0" applyBorder="1"/>
    <xf numFmtId="0" fontId="0" fillId="0" borderId="12" xfId="0" applyBorder="1"/>
    <xf numFmtId="0" fontId="1" fillId="0" borderId="5" xfId="0" applyFont="1" applyBorder="1"/>
    <xf numFmtId="0" fontId="1" fillId="0" borderId="13" xfId="0" applyFont="1" applyBorder="1"/>
    <xf numFmtId="0" fontId="1" fillId="0" borderId="14" xfId="0" applyFont="1" applyBorder="1"/>
    <xf numFmtId="164" fontId="0" fillId="0" borderId="0" xfId="0" applyNumberFormat="1"/>
    <xf numFmtId="164" fontId="0" fillId="0" borderId="8" xfId="0" applyNumberFormat="1" applyBorder="1"/>
    <xf numFmtId="164" fontId="0" fillId="0" borderId="3" xfId="0" applyNumberFormat="1" applyBorder="1"/>
    <xf numFmtId="0" fontId="0" fillId="0" borderId="0" xfId="0" quotePrefix="1"/>
    <xf numFmtId="0" fontId="1" fillId="0" borderId="5" xfId="0" applyFont="1" applyBorder="1" applyAlignment="1">
      <alignment wrapText="1"/>
    </xf>
    <xf numFmtId="0" fontId="0" fillId="0" borderId="6" xfId="0" applyBorder="1" applyAlignment="1">
      <alignment vertical="center"/>
    </xf>
    <xf numFmtId="166" fontId="0" fillId="0" borderId="2" xfId="0" applyNumberFormat="1" applyBorder="1"/>
    <xf numFmtId="166" fontId="0" fillId="0" borderId="5" xfId="0" applyNumberFormat="1" applyBorder="1"/>
    <xf numFmtId="166" fontId="0" fillId="0" borderId="7" xfId="0" applyNumberFormat="1" applyBorder="1"/>
    <xf numFmtId="0" fontId="0" fillId="0" borderId="13" xfId="0" applyBorder="1"/>
    <xf numFmtId="0" fontId="0" fillId="0" borderId="15" xfId="0" applyBorder="1"/>
    <xf numFmtId="2" fontId="0" fillId="0" borderId="4" xfId="0" applyNumberFormat="1" applyBorder="1"/>
    <xf numFmtId="2" fontId="0" fillId="0" borderId="6" xfId="0" applyNumberFormat="1" applyBorder="1"/>
    <xf numFmtId="0" fontId="1" fillId="0" borderId="4" xfId="0" applyFont="1" applyBorder="1"/>
    <xf numFmtId="0" fontId="0" fillId="0" borderId="6" xfId="0" applyBorder="1" applyAlignment="1">
      <alignment wrapText="1"/>
    </xf>
    <xf numFmtId="0" fontId="1" fillId="0" borderId="14" xfId="0" applyFont="1" applyBorder="1" applyAlignment="1">
      <alignment vertical="top"/>
    </xf>
    <xf numFmtId="0" fontId="0" fillId="0" borderId="0" xfId="0" applyAlignment="1">
      <alignment horizontal="right"/>
    </xf>
    <xf numFmtId="0" fontId="0" fillId="0" borderId="8" xfId="0" applyBorder="1" applyAlignment="1">
      <alignment horizontal="right"/>
    </xf>
    <xf numFmtId="0" fontId="0" fillId="0" borderId="3" xfId="0" applyBorder="1" applyAlignment="1">
      <alignment horizontal="right"/>
    </xf>
    <xf numFmtId="0" fontId="0" fillId="0" borderId="2" xfId="0" applyBorder="1" applyAlignment="1">
      <alignment horizontal="right"/>
    </xf>
    <xf numFmtId="0" fontId="0" fillId="0" borderId="5" xfId="0" applyBorder="1" applyAlignment="1">
      <alignment horizontal="right" vertical="center"/>
    </xf>
    <xf numFmtId="0" fontId="0" fillId="0" borderId="7" xfId="0" applyBorder="1" applyAlignment="1">
      <alignment horizontal="right"/>
    </xf>
    <xf numFmtId="2" fontId="0" fillId="0" borderId="3" xfId="0" applyNumberFormat="1" applyBorder="1"/>
    <xf numFmtId="2" fontId="0" fillId="0" borderId="8" xfId="0" applyNumberFormat="1" applyBorder="1"/>
    <xf numFmtId="2" fontId="0" fillId="0" borderId="9" xfId="0" applyNumberFormat="1" applyBorder="1"/>
    <xf numFmtId="0" fontId="1" fillId="0" borderId="6" xfId="0" applyFont="1" applyBorder="1"/>
    <xf numFmtId="165" fontId="0" fillId="0" borderId="3" xfId="0" applyNumberFormat="1" applyBorder="1" applyAlignment="1">
      <alignment horizontal="right"/>
    </xf>
    <xf numFmtId="165" fontId="0" fillId="0" borderId="0" xfId="0" applyNumberFormat="1" applyAlignment="1">
      <alignment horizontal="right"/>
    </xf>
    <xf numFmtId="165" fontId="0" fillId="0" borderId="8" xfId="0" applyNumberFormat="1" applyBorder="1" applyAlignment="1">
      <alignment horizontal="right"/>
    </xf>
    <xf numFmtId="16" fontId="0" fillId="0" borderId="5" xfId="0" quotePrefix="1" applyNumberFormat="1" applyBorder="1" applyAlignment="1">
      <alignment horizontal="right"/>
    </xf>
    <xf numFmtId="1" fontId="0" fillId="0" borderId="3" xfId="0" applyNumberFormat="1" applyBorder="1" applyAlignment="1">
      <alignment horizontal="right"/>
    </xf>
    <xf numFmtId="1" fontId="0" fillId="0" borderId="8" xfId="0" applyNumberFormat="1" applyBorder="1" applyAlignment="1">
      <alignment horizontal="right"/>
    </xf>
    <xf numFmtId="1" fontId="0" fillId="0" borderId="0" xfId="0" applyNumberFormat="1" applyAlignment="1">
      <alignment horizontal="right"/>
    </xf>
    <xf numFmtId="0" fontId="1" fillId="0" borderId="13" xfId="0" applyFont="1" applyBorder="1" applyAlignment="1">
      <alignment horizontal="left" vertical="top"/>
    </xf>
    <xf numFmtId="0" fontId="0" fillId="0" borderId="2" xfId="0" applyBorder="1" applyAlignment="1">
      <alignment horizontal="left" vertical="top"/>
    </xf>
    <xf numFmtId="0" fontId="0" fillId="0" borderId="3" xfId="0" applyBorder="1" applyAlignment="1">
      <alignment horizontal="left" vertical="top"/>
    </xf>
    <xf numFmtId="0" fontId="1" fillId="0" borderId="14" xfId="0" applyFont="1" applyBorder="1" applyAlignment="1">
      <alignment horizontal="left" vertical="top"/>
    </xf>
    <xf numFmtId="0" fontId="0" fillId="0" borderId="5" xfId="0" applyBorder="1" applyAlignment="1">
      <alignment horizontal="left" vertical="top"/>
    </xf>
    <xf numFmtId="0" fontId="1" fillId="0" borderId="15" xfId="0" applyFont="1" applyBorder="1" applyAlignment="1">
      <alignment horizontal="left" vertical="top"/>
    </xf>
    <xf numFmtId="0" fontId="0" fillId="0" borderId="0" xfId="0" applyAlignment="1">
      <alignment horizontal="left" vertical="top"/>
    </xf>
    <xf numFmtId="0" fontId="0" fillId="0" borderId="10" xfId="0" applyBorder="1" applyAlignment="1">
      <alignment horizontal="center"/>
    </xf>
    <xf numFmtId="0" fontId="0" fillId="0" borderId="12" xfId="0" applyBorder="1" applyAlignment="1">
      <alignment horizontal="center"/>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cellXfs>
  <cellStyles count="1">
    <cellStyle name="Normal" xfId="0" builtinId="0"/>
  </cellStyles>
  <dxfs count="0"/>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793B7-D26B-4C8B-B8C5-648AAB257ED2}">
  <dimension ref="B1:O28"/>
  <sheetViews>
    <sheetView tabSelected="1" workbookViewId="0">
      <selection activeCell="H18" sqref="H18"/>
    </sheetView>
  </sheetViews>
  <sheetFormatPr defaultColWidth="8.88671875" defaultRowHeight="14.4" x14ac:dyDescent="0.3"/>
  <cols>
    <col min="1" max="1" width="2.6640625" customWidth="1"/>
    <col min="2" max="2" width="22.33203125" bestFit="1" customWidth="1"/>
    <col min="3" max="3" width="20.6640625" customWidth="1"/>
    <col min="6" max="6" width="12.44140625" customWidth="1"/>
    <col min="7" max="12" width="9.33203125" customWidth="1"/>
    <col min="13" max="19" width="9.44140625" customWidth="1"/>
    <col min="20" max="20" width="9.6640625" bestFit="1" customWidth="1"/>
    <col min="21" max="24" width="9.44140625" customWidth="1"/>
    <col min="25" max="25" width="10.5546875" bestFit="1" customWidth="1"/>
    <col min="26" max="26" width="10.21875" bestFit="1" customWidth="1"/>
  </cols>
  <sheetData>
    <row r="1" spans="2:15" ht="15" thickBot="1" x14ac:dyDescent="0.35"/>
    <row r="2" spans="2:15" ht="15" thickBot="1" x14ac:dyDescent="0.35">
      <c r="B2" s="10" t="s">
        <v>22</v>
      </c>
      <c r="C2" s="11"/>
      <c r="D2" s="11"/>
      <c r="E2" s="11"/>
      <c r="F2" s="11"/>
      <c r="G2" s="11"/>
      <c r="H2" s="11"/>
      <c r="I2" s="11"/>
      <c r="J2" s="11"/>
      <c r="K2" s="11"/>
      <c r="L2" s="11"/>
      <c r="M2" s="11"/>
      <c r="N2" s="11"/>
      <c r="O2" s="20"/>
    </row>
    <row r="3" spans="2:15" x14ac:dyDescent="0.3">
      <c r="B3" s="57" t="s">
        <v>0</v>
      </c>
      <c r="C3" s="58" t="s">
        <v>61</v>
      </c>
      <c r="D3" s="59"/>
      <c r="E3" s="59"/>
      <c r="F3" s="59"/>
      <c r="G3" s="59"/>
      <c r="H3" s="59"/>
      <c r="I3" s="59"/>
      <c r="J3" s="59"/>
      <c r="K3" s="59"/>
      <c r="L3" s="59"/>
      <c r="M3" s="59"/>
      <c r="N3" s="59"/>
      <c r="O3" s="4"/>
    </row>
    <row r="4" spans="2:15" x14ac:dyDescent="0.3">
      <c r="B4" s="60" t="s">
        <v>1</v>
      </c>
      <c r="C4" s="61" t="s">
        <v>62</v>
      </c>
      <c r="D4" s="63"/>
      <c r="E4" s="63"/>
      <c r="F4" s="63"/>
      <c r="G4" s="63"/>
      <c r="H4" s="63"/>
      <c r="I4" s="63"/>
      <c r="J4" s="63"/>
      <c r="K4" s="63"/>
      <c r="L4" s="63"/>
      <c r="M4" s="63"/>
      <c r="N4" s="63"/>
      <c r="O4" s="6"/>
    </row>
    <row r="5" spans="2:15" x14ac:dyDescent="0.3">
      <c r="B5" s="60" t="s">
        <v>2</v>
      </c>
      <c r="C5" s="61">
        <v>2023</v>
      </c>
      <c r="D5" s="63"/>
      <c r="E5" s="63"/>
      <c r="F5" s="63"/>
      <c r="G5" s="63"/>
      <c r="H5" s="63"/>
      <c r="I5" s="63"/>
      <c r="J5" s="63"/>
      <c r="K5" s="63"/>
      <c r="L5" s="63"/>
      <c r="M5" s="63"/>
      <c r="N5" s="63"/>
      <c r="O5" s="6"/>
    </row>
    <row r="6" spans="2:15" x14ac:dyDescent="0.3">
      <c r="B6" s="60" t="s">
        <v>4</v>
      </c>
      <c r="C6" s="61" t="s">
        <v>63</v>
      </c>
      <c r="D6" s="63"/>
      <c r="E6" s="63"/>
      <c r="F6" s="63"/>
      <c r="G6" s="63"/>
      <c r="H6" s="63"/>
      <c r="I6" s="63"/>
      <c r="J6" s="63"/>
      <c r="K6" s="63"/>
      <c r="L6" s="63"/>
      <c r="M6" s="63"/>
      <c r="N6" s="63"/>
      <c r="O6" s="6"/>
    </row>
    <row r="7" spans="2:15" ht="45.6" customHeight="1" thickBot="1" x14ac:dyDescent="0.35">
      <c r="B7" s="62" t="s">
        <v>78</v>
      </c>
      <c r="C7" s="66" t="s">
        <v>79</v>
      </c>
      <c r="D7" s="67"/>
      <c r="E7" s="67"/>
      <c r="F7" s="67"/>
      <c r="G7" s="67"/>
      <c r="H7" s="67"/>
      <c r="I7" s="67"/>
      <c r="J7" s="67"/>
      <c r="K7" s="67"/>
      <c r="L7" s="67"/>
      <c r="M7" s="67"/>
      <c r="N7" s="67"/>
      <c r="O7" s="68"/>
    </row>
    <row r="8" spans="2:15" ht="15" thickBot="1" x14ac:dyDescent="0.35"/>
    <row r="9" spans="2:15" ht="15" thickBot="1" x14ac:dyDescent="0.35">
      <c r="B9" s="10" t="s">
        <v>3</v>
      </c>
      <c r="C9" s="20"/>
      <c r="E9" s="10" t="s">
        <v>9</v>
      </c>
      <c r="F9" s="19"/>
      <c r="G9" s="19"/>
      <c r="H9" s="19"/>
      <c r="I9" s="19"/>
      <c r="J9" s="20"/>
    </row>
    <row r="10" spans="2:15" ht="15" thickBot="1" x14ac:dyDescent="0.35">
      <c r="B10" s="22" t="s">
        <v>15</v>
      </c>
      <c r="C10" s="6" t="s">
        <v>59</v>
      </c>
      <c r="E10" s="10" t="s">
        <v>40</v>
      </c>
      <c r="F10" s="11" t="s">
        <v>17</v>
      </c>
      <c r="G10" s="10" t="s">
        <v>40</v>
      </c>
      <c r="H10" s="12" t="s">
        <v>41</v>
      </c>
      <c r="I10" s="11" t="s">
        <v>41</v>
      </c>
      <c r="J10" s="12" t="s">
        <v>17</v>
      </c>
    </row>
    <row r="11" spans="2:15" ht="15" thickBot="1" x14ac:dyDescent="0.35">
      <c r="B11" s="23" t="s">
        <v>16</v>
      </c>
      <c r="C11" s="6" t="s">
        <v>64</v>
      </c>
      <c r="E11" s="64" t="s">
        <v>37</v>
      </c>
      <c r="F11" s="65"/>
      <c r="G11" s="64" t="s">
        <v>37</v>
      </c>
      <c r="H11" s="65"/>
      <c r="I11" s="64" t="s">
        <v>18</v>
      </c>
      <c r="J11" s="65"/>
    </row>
    <row r="12" spans="2:15" x14ac:dyDescent="0.3">
      <c r="B12" s="23" t="s">
        <v>10</v>
      </c>
      <c r="C12" s="6" t="s">
        <v>60</v>
      </c>
    </row>
    <row r="13" spans="2:15" ht="28.8" x14ac:dyDescent="0.3">
      <c r="B13" s="39" t="s">
        <v>42</v>
      </c>
      <c r="C13" s="38" t="s">
        <v>65</v>
      </c>
    </row>
    <row r="14" spans="2:15" ht="15" thickBot="1" x14ac:dyDescent="0.35">
      <c r="B14" s="16" t="s">
        <v>9</v>
      </c>
      <c r="C14" s="9" t="s">
        <v>66</v>
      </c>
    </row>
    <row r="15" spans="2:15" ht="15" thickBot="1" x14ac:dyDescent="0.35">
      <c r="B15" s="1"/>
    </row>
    <row r="16" spans="2:15" ht="15" thickBot="1" x14ac:dyDescent="0.35">
      <c r="B16" s="10" t="s">
        <v>19</v>
      </c>
      <c r="C16" s="19"/>
      <c r="D16" s="20"/>
      <c r="F16" s="1"/>
    </row>
    <row r="17" spans="2:12" x14ac:dyDescent="0.3">
      <c r="B17" s="22" t="s">
        <v>20</v>
      </c>
      <c r="C17" s="3">
        <v>0.4</v>
      </c>
      <c r="D17" s="4" t="s">
        <v>8</v>
      </c>
      <c r="F17" s="1"/>
      <c r="G17" s="27"/>
    </row>
    <row r="18" spans="2:12" x14ac:dyDescent="0.3">
      <c r="B18" s="23" t="s">
        <v>43</v>
      </c>
      <c r="C18" s="40" t="s">
        <v>32</v>
      </c>
      <c r="D18" s="6" t="s">
        <v>8</v>
      </c>
      <c r="F18" s="1"/>
    </row>
    <row r="19" spans="2:12" x14ac:dyDescent="0.3">
      <c r="B19" s="23" t="s">
        <v>21</v>
      </c>
      <c r="C19" s="40" t="s">
        <v>32</v>
      </c>
      <c r="D19" s="6" t="s">
        <v>8</v>
      </c>
      <c r="F19" s="1"/>
    </row>
    <row r="20" spans="2:12" x14ac:dyDescent="0.3">
      <c r="B20" s="23" t="s">
        <v>36</v>
      </c>
      <c r="C20" s="40" t="s">
        <v>67</v>
      </c>
      <c r="D20" s="6" t="s">
        <v>8</v>
      </c>
    </row>
    <row r="21" spans="2:12" x14ac:dyDescent="0.3">
      <c r="B21" s="23" t="s">
        <v>25</v>
      </c>
      <c r="C21" s="40" t="s">
        <v>32</v>
      </c>
      <c r="D21" s="6" t="s">
        <v>8</v>
      </c>
    </row>
    <row r="22" spans="2:12" ht="15" thickBot="1" x14ac:dyDescent="0.35">
      <c r="B22" s="16" t="s">
        <v>38</v>
      </c>
      <c r="C22" s="41" t="s">
        <v>32</v>
      </c>
      <c r="D22" s="9" t="s">
        <v>7</v>
      </c>
    </row>
    <row r="23" spans="2:12" ht="15" thickBot="1" x14ac:dyDescent="0.35">
      <c r="B23" s="1"/>
    </row>
    <row r="24" spans="2:12" ht="15" thickBot="1" x14ac:dyDescent="0.35">
      <c r="B24" s="2" t="s">
        <v>23</v>
      </c>
      <c r="C24" s="3"/>
      <c r="D24" s="4"/>
      <c r="F24" s="10" t="s">
        <v>46</v>
      </c>
      <c r="G24" s="11"/>
      <c r="H24" s="11"/>
      <c r="I24" s="11"/>
      <c r="J24" s="11"/>
      <c r="K24" s="11"/>
      <c r="L24" s="12"/>
    </row>
    <row r="25" spans="2:12" x14ac:dyDescent="0.3">
      <c r="B25" s="2" t="s">
        <v>26</v>
      </c>
      <c r="C25" s="43" t="s">
        <v>70</v>
      </c>
      <c r="D25" s="4" t="s">
        <v>6</v>
      </c>
      <c r="F25" s="33" t="s">
        <v>31</v>
      </c>
      <c r="G25" t="s">
        <v>69</v>
      </c>
      <c r="L25" s="6"/>
    </row>
    <row r="26" spans="2:12" ht="15" thickBot="1" x14ac:dyDescent="0.35">
      <c r="B26" s="21" t="s">
        <v>27</v>
      </c>
      <c r="C26" s="53" t="s">
        <v>71</v>
      </c>
      <c r="D26" s="6" t="s">
        <v>6</v>
      </c>
      <c r="F26" s="34" t="s">
        <v>30</v>
      </c>
      <c r="G26" s="8" t="s">
        <v>68</v>
      </c>
      <c r="H26" s="8"/>
      <c r="I26" s="8"/>
      <c r="J26" s="8"/>
      <c r="K26" s="8"/>
      <c r="L26" s="9"/>
    </row>
    <row r="27" spans="2:12" ht="28.8" x14ac:dyDescent="0.3">
      <c r="B27" s="28" t="s">
        <v>44</v>
      </c>
      <c r="C27" s="44" t="s">
        <v>75</v>
      </c>
      <c r="D27" s="29" t="s">
        <v>29</v>
      </c>
    </row>
    <row r="28" spans="2:12" ht="15" thickBot="1" x14ac:dyDescent="0.35">
      <c r="B28" s="15" t="s">
        <v>24</v>
      </c>
      <c r="C28" s="45" t="s">
        <v>32</v>
      </c>
      <c r="D28" s="9" t="s">
        <v>45</v>
      </c>
      <c r="H28" s="17"/>
      <c r="I28" s="17"/>
      <c r="J28" s="17"/>
      <c r="K28" s="17"/>
      <c r="L28" s="17"/>
    </row>
  </sheetData>
  <mergeCells count="4">
    <mergeCell ref="E11:F11"/>
    <mergeCell ref="G11:H11"/>
    <mergeCell ref="I11:J11"/>
    <mergeCell ref="C7:O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832DD-54CD-4090-949A-6BF1B3F8F691}">
  <dimension ref="A1:Y70"/>
  <sheetViews>
    <sheetView workbookViewId="0">
      <selection activeCell="AA7" sqref="AA7"/>
    </sheetView>
  </sheetViews>
  <sheetFormatPr defaultColWidth="8.88671875" defaultRowHeight="14.4" x14ac:dyDescent="0.3"/>
  <cols>
    <col min="24" max="24" width="10.5546875" bestFit="1" customWidth="1"/>
    <col min="25" max="25" width="10.21875" bestFit="1" customWidth="1"/>
  </cols>
  <sheetData>
    <row r="1" spans="1:25" ht="15" thickBot="1" x14ac:dyDescent="0.35">
      <c r="A1" s="2"/>
      <c r="B1" s="10" t="s">
        <v>33</v>
      </c>
      <c r="C1" s="11"/>
      <c r="D1" s="11"/>
      <c r="E1" s="11"/>
      <c r="F1" s="11"/>
      <c r="G1" s="11"/>
      <c r="H1" s="11"/>
      <c r="I1" s="11"/>
      <c r="J1" s="11"/>
      <c r="K1" s="12"/>
      <c r="L1" s="10" t="s">
        <v>13</v>
      </c>
      <c r="M1" s="11"/>
      <c r="N1" s="11"/>
      <c r="O1" s="11"/>
      <c r="P1" s="11"/>
      <c r="Q1" s="11"/>
      <c r="R1" s="11"/>
      <c r="S1" s="12"/>
      <c r="T1" s="18" t="s">
        <v>14</v>
      </c>
      <c r="U1" s="3"/>
      <c r="V1" s="3"/>
      <c r="W1" s="3"/>
      <c r="X1" s="3"/>
      <c r="Y1" s="20"/>
    </row>
    <row r="2" spans="1:25" ht="15" thickBot="1" x14ac:dyDescent="0.35">
      <c r="A2" s="21" t="s">
        <v>11</v>
      </c>
      <c r="B2" s="21" t="s">
        <v>46</v>
      </c>
      <c r="C2" s="1" t="s">
        <v>5</v>
      </c>
      <c r="D2" s="1" t="s">
        <v>35</v>
      </c>
      <c r="E2" s="1" t="s">
        <v>34</v>
      </c>
      <c r="F2" s="1" t="s">
        <v>72</v>
      </c>
      <c r="G2" s="1" t="s">
        <v>39</v>
      </c>
      <c r="H2" s="1" t="s">
        <v>73</v>
      </c>
      <c r="I2" s="1" t="s">
        <v>74</v>
      </c>
      <c r="J2" s="11" t="s">
        <v>76</v>
      </c>
      <c r="K2" s="12" t="s">
        <v>77</v>
      </c>
      <c r="L2" s="2" t="s">
        <v>47</v>
      </c>
      <c r="M2" s="14" t="s">
        <v>48</v>
      </c>
      <c r="N2" s="14" t="s">
        <v>49</v>
      </c>
      <c r="O2" s="14" t="s">
        <v>50</v>
      </c>
      <c r="P2" s="14" t="s">
        <v>51</v>
      </c>
      <c r="Q2" s="1" t="s">
        <v>52</v>
      </c>
      <c r="R2" s="1" t="s">
        <v>53</v>
      </c>
      <c r="S2" s="49" t="s">
        <v>54</v>
      </c>
      <c r="T2" s="2" t="s">
        <v>55</v>
      </c>
      <c r="U2" s="14" t="s">
        <v>56</v>
      </c>
      <c r="V2" s="14" t="s">
        <v>57</v>
      </c>
      <c r="W2" s="14" t="s">
        <v>58</v>
      </c>
      <c r="X2" s="14" t="s">
        <v>12</v>
      </c>
      <c r="Y2" s="37" t="s">
        <v>28</v>
      </c>
    </row>
    <row r="3" spans="1:25" x14ac:dyDescent="0.3">
      <c r="A3" s="13">
        <v>1</v>
      </c>
      <c r="B3" s="13" t="s">
        <v>30</v>
      </c>
      <c r="C3" s="3">
        <v>0.4</v>
      </c>
      <c r="D3" s="3">
        <v>4.0000000000000001E-3</v>
      </c>
      <c r="E3" s="42" t="s">
        <v>32</v>
      </c>
      <c r="F3" s="3">
        <v>1</v>
      </c>
      <c r="G3" s="46">
        <v>0.66666666666666663</v>
      </c>
      <c r="H3" s="54">
        <v>1550.67394012625</v>
      </c>
      <c r="I3" s="3">
        <v>7.54</v>
      </c>
      <c r="J3" s="46">
        <v>24.556334961724101</v>
      </c>
      <c r="K3" s="35">
        <v>24.556334961724101</v>
      </c>
      <c r="L3" s="3">
        <v>24</v>
      </c>
      <c r="M3" s="26">
        <v>7.4498715270381833E-3</v>
      </c>
      <c r="N3" s="3">
        <v>3</v>
      </c>
      <c r="O3" s="3">
        <v>25</v>
      </c>
      <c r="P3" s="26">
        <v>1.19490265157905E-2</v>
      </c>
      <c r="Q3" s="3">
        <v>2</v>
      </c>
      <c r="R3" s="42" t="s">
        <v>32</v>
      </c>
      <c r="S3" s="42" t="s">
        <v>32</v>
      </c>
      <c r="T3" s="30">
        <v>21.105954416460502</v>
      </c>
      <c r="U3" s="26">
        <f>M3</f>
        <v>7.4498715270381833E-3</v>
      </c>
      <c r="V3" s="42" t="s">
        <v>32</v>
      </c>
      <c r="W3" s="42" t="s">
        <v>32</v>
      </c>
      <c r="X3" s="50">
        <v>0.33772609819121402</v>
      </c>
      <c r="Y3" s="35">
        <v>0.19981788878853601</v>
      </c>
    </row>
    <row r="4" spans="1:25" x14ac:dyDescent="0.3">
      <c r="A4" s="5">
        <f>A3+1</f>
        <v>2</v>
      </c>
      <c r="B4" s="5" t="s">
        <v>30</v>
      </c>
      <c r="C4">
        <v>0.4</v>
      </c>
      <c r="D4">
        <v>4.0000000000000001E-3</v>
      </c>
      <c r="E4" s="40" t="s">
        <v>32</v>
      </c>
      <c r="F4">
        <v>1</v>
      </c>
      <c r="G4" s="17">
        <v>0.66666666666666663</v>
      </c>
      <c r="H4" s="56">
        <v>1534.5966132129699</v>
      </c>
      <c r="I4">
        <v>7.54</v>
      </c>
      <c r="J4" s="17">
        <v>24.663483817147199</v>
      </c>
      <c r="K4" s="36">
        <v>24.663483817147199</v>
      </c>
      <c r="L4">
        <v>26</v>
      </c>
      <c r="M4" s="24">
        <v>8.4063973827250456E-3</v>
      </c>
      <c r="N4">
        <v>3</v>
      </c>
      <c r="O4">
        <v>25</v>
      </c>
      <c r="P4" s="24">
        <v>1.19490265157905E-2</v>
      </c>
      <c r="Q4">
        <v>2</v>
      </c>
      <c r="R4" s="40" t="s">
        <v>32</v>
      </c>
      <c r="S4" s="40" t="s">
        <v>32</v>
      </c>
      <c r="T4" s="31">
        <v>22.232507762322591</v>
      </c>
      <c r="U4" s="24">
        <f>M4</f>
        <v>8.4063973827250456E-3</v>
      </c>
      <c r="V4" s="40" t="s">
        <v>32</v>
      </c>
      <c r="W4" s="40" t="s">
        <v>32</v>
      </c>
      <c r="X4" s="51">
        <v>0.41731266149870799</v>
      </c>
      <c r="Y4" s="36">
        <v>0.25957939411330899</v>
      </c>
    </row>
    <row r="5" spans="1:25" x14ac:dyDescent="0.3">
      <c r="A5" s="5">
        <f>A4+1</f>
        <v>3</v>
      </c>
      <c r="B5" s="5" t="s">
        <v>30</v>
      </c>
      <c r="C5">
        <v>0.4</v>
      </c>
      <c r="D5">
        <v>4.0000000000000001E-3</v>
      </c>
      <c r="E5" s="40" t="s">
        <v>32</v>
      </c>
      <c r="F5">
        <v>1</v>
      </c>
      <c r="G5" s="17">
        <v>0.66666666666666663</v>
      </c>
      <c r="H5" s="56">
        <v>1517.35543135291</v>
      </c>
      <c r="I5">
        <v>7.54</v>
      </c>
      <c r="J5" s="17">
        <v>24.779525076795199</v>
      </c>
      <c r="K5" s="36">
        <v>24.779525076795199</v>
      </c>
      <c r="L5">
        <v>28</v>
      </c>
      <c r="M5" s="24">
        <v>9.4703610945444383E-3</v>
      </c>
      <c r="N5">
        <v>3</v>
      </c>
      <c r="O5">
        <v>25</v>
      </c>
      <c r="P5" s="24">
        <v>1.19490265157905E-2</v>
      </c>
      <c r="Q5">
        <v>2</v>
      </c>
      <c r="R5" s="40" t="s">
        <v>32</v>
      </c>
      <c r="S5" s="40" t="s">
        <v>32</v>
      </c>
      <c r="T5" s="31">
        <v>23.636914039573369</v>
      </c>
      <c r="U5" s="24">
        <f>M5</f>
        <v>9.4703610945444383E-3</v>
      </c>
      <c r="V5" s="40" t="s">
        <v>32</v>
      </c>
      <c r="W5" s="40" t="s">
        <v>32</v>
      </c>
      <c r="X5" s="51">
        <v>0.45994832041343597</v>
      </c>
      <c r="Y5" s="36">
        <v>0.29738637735643297</v>
      </c>
    </row>
    <row r="6" spans="1:25" x14ac:dyDescent="0.3">
      <c r="A6" s="5">
        <f>A5+1</f>
        <v>4</v>
      </c>
      <c r="B6" s="5" t="s">
        <v>30</v>
      </c>
      <c r="C6">
        <v>0.4</v>
      </c>
      <c r="D6">
        <v>4.0000000000000001E-3</v>
      </c>
      <c r="E6" s="40" t="s">
        <v>32</v>
      </c>
      <c r="F6">
        <v>1</v>
      </c>
      <c r="G6" s="17">
        <v>0.66666666666666663</v>
      </c>
      <c r="H6" s="56">
        <v>1499.8208327823399</v>
      </c>
      <c r="I6">
        <v>7.54</v>
      </c>
      <c r="J6" s="17">
        <v>24.8979176331679</v>
      </c>
      <c r="K6" s="36">
        <v>24.8979176331679</v>
      </c>
      <c r="L6">
        <v>30</v>
      </c>
      <c r="M6" s="24">
        <v>1.0652261887304362E-2</v>
      </c>
      <c r="N6">
        <v>3</v>
      </c>
      <c r="O6">
        <v>25</v>
      </c>
      <c r="P6" s="24">
        <v>1.19490265157905E-2</v>
      </c>
      <c r="Q6">
        <v>2</v>
      </c>
      <c r="R6" s="40" t="s">
        <v>32</v>
      </c>
      <c r="S6" s="40" t="s">
        <v>32</v>
      </c>
      <c r="T6" s="31">
        <v>25.134167607762908</v>
      </c>
      <c r="U6" s="24">
        <f>M6</f>
        <v>1.0652261887304362E-2</v>
      </c>
      <c r="V6" s="40" t="s">
        <v>32</v>
      </c>
      <c r="W6" s="40" t="s">
        <v>32</v>
      </c>
      <c r="X6" s="51">
        <v>0.48940568475452101</v>
      </c>
      <c r="Y6" s="36">
        <v>0.326860456863032</v>
      </c>
    </row>
    <row r="7" spans="1:25" x14ac:dyDescent="0.3">
      <c r="A7" s="5">
        <f>A6+1</f>
        <v>5</v>
      </c>
      <c r="B7" s="5" t="s">
        <v>30</v>
      </c>
      <c r="C7">
        <v>0.4</v>
      </c>
      <c r="D7">
        <v>4.0000000000000001E-3</v>
      </c>
      <c r="E7" s="40" t="s">
        <v>32</v>
      </c>
      <c r="F7">
        <v>1</v>
      </c>
      <c r="G7" s="17">
        <v>0.66666666666666663</v>
      </c>
      <c r="H7" s="56">
        <v>1482.0126653800501</v>
      </c>
      <c r="I7">
        <v>7.54</v>
      </c>
      <c r="J7" s="17">
        <v>25.018438414182199</v>
      </c>
      <c r="K7" s="36">
        <v>25.018438414182199</v>
      </c>
      <c r="L7">
        <v>32</v>
      </c>
      <c r="M7" s="24">
        <v>1.1963522282796357E-2</v>
      </c>
      <c r="N7">
        <v>3</v>
      </c>
      <c r="O7">
        <v>25</v>
      </c>
      <c r="P7" s="24">
        <v>1.19490265157905E-2</v>
      </c>
      <c r="Q7">
        <v>2</v>
      </c>
      <c r="R7" s="40" t="s">
        <v>32</v>
      </c>
      <c r="S7" s="40" t="s">
        <v>32</v>
      </c>
      <c r="T7" s="31">
        <v>26.721432529798008</v>
      </c>
      <c r="U7" s="24">
        <f>M7</f>
        <v>1.1963522282796357E-2</v>
      </c>
      <c r="V7" s="40" t="s">
        <v>32</v>
      </c>
      <c r="W7" s="40" t="s">
        <v>32</v>
      </c>
      <c r="X7" s="51">
        <v>0.50775193798449603</v>
      </c>
      <c r="Y7" s="36">
        <v>0.34798046033727897</v>
      </c>
    </row>
    <row r="8" spans="1:25" x14ac:dyDescent="0.3">
      <c r="A8" s="5">
        <f>A7+1</f>
        <v>6</v>
      </c>
      <c r="B8" s="5" t="s">
        <v>30</v>
      </c>
      <c r="C8">
        <v>0.4</v>
      </c>
      <c r="D8">
        <v>4.0000000000000001E-3</v>
      </c>
      <c r="E8" s="40" t="s">
        <v>32</v>
      </c>
      <c r="F8">
        <v>1</v>
      </c>
      <c r="G8" s="17">
        <v>0.66666666666666663</v>
      </c>
      <c r="H8" s="56">
        <v>1464.3709474219199</v>
      </c>
      <c r="I8">
        <v>7.54</v>
      </c>
      <c r="J8" s="17">
        <v>25.137470963055101</v>
      </c>
      <c r="K8" s="36">
        <v>25.137470963055101</v>
      </c>
      <c r="L8">
        <v>34</v>
      </c>
      <c r="M8" s="24">
        <v>1.3416573173780677E-2</v>
      </c>
      <c r="N8">
        <v>3</v>
      </c>
      <c r="O8">
        <v>25</v>
      </c>
      <c r="P8" s="24">
        <v>1.19490265157905E-2</v>
      </c>
      <c r="Q8">
        <v>2</v>
      </c>
      <c r="R8" s="40" t="s">
        <v>32</v>
      </c>
      <c r="S8" s="40" t="s">
        <v>32</v>
      </c>
      <c r="T8" s="31">
        <v>28.2966707529526</v>
      </c>
      <c r="U8" s="24">
        <f>M8</f>
        <v>1.3416573173780677E-2</v>
      </c>
      <c r="V8" s="40" t="s">
        <v>32</v>
      </c>
      <c r="W8" s="40" t="s">
        <v>32</v>
      </c>
      <c r="X8" s="51">
        <v>0.52583979328165298</v>
      </c>
      <c r="Y8" s="36">
        <v>0.36733428581636701</v>
      </c>
    </row>
    <row r="9" spans="1:25" x14ac:dyDescent="0.3">
      <c r="A9" s="5">
        <f>A8+1</f>
        <v>7</v>
      </c>
      <c r="B9" s="5" t="s">
        <v>30</v>
      </c>
      <c r="C9">
        <v>0.4</v>
      </c>
      <c r="D9">
        <v>4.0000000000000001E-3</v>
      </c>
      <c r="E9" s="40" t="s">
        <v>32</v>
      </c>
      <c r="F9">
        <v>1</v>
      </c>
      <c r="G9" s="17">
        <v>0.66666666666666663</v>
      </c>
      <c r="H9" s="56">
        <v>1446.7021464064101</v>
      </c>
      <c r="I9">
        <v>7.54</v>
      </c>
      <c r="J9" s="17">
        <v>25.256325266621602</v>
      </c>
      <c r="K9" s="36">
        <v>25.256325266621602</v>
      </c>
      <c r="L9">
        <v>36</v>
      </c>
      <c r="M9" s="24">
        <v>1.5024949397915145E-2</v>
      </c>
      <c r="N9">
        <v>3</v>
      </c>
      <c r="O9">
        <v>25</v>
      </c>
      <c r="P9" s="24">
        <v>1.19490265157905E-2</v>
      </c>
      <c r="Q9">
        <v>2</v>
      </c>
      <c r="R9" s="40" t="s">
        <v>32</v>
      </c>
      <c r="S9" s="40" t="s">
        <v>32</v>
      </c>
      <c r="T9" s="31">
        <v>29.901629240425184</v>
      </c>
      <c r="U9" s="24">
        <f>M9</f>
        <v>1.5024949397915145E-2</v>
      </c>
      <c r="V9" s="40" t="s">
        <v>32</v>
      </c>
      <c r="W9" s="40" t="s">
        <v>32</v>
      </c>
      <c r="X9" s="51">
        <v>0.54005167958656297</v>
      </c>
      <c r="Y9" s="36">
        <v>0.387398740745096</v>
      </c>
    </row>
    <row r="10" spans="1:25" x14ac:dyDescent="0.3">
      <c r="A10" s="5">
        <f>A9+1</f>
        <v>8</v>
      </c>
      <c r="B10" s="5" t="s">
        <v>31</v>
      </c>
      <c r="C10">
        <v>0.4</v>
      </c>
      <c r="D10">
        <v>4.0000000000000001E-3</v>
      </c>
      <c r="E10" s="40" t="s">
        <v>32</v>
      </c>
      <c r="F10">
        <v>1</v>
      </c>
      <c r="G10" s="17">
        <v>0.66666666666666663</v>
      </c>
      <c r="H10" s="56">
        <v>1548.94206824342</v>
      </c>
      <c r="I10">
        <v>7.54</v>
      </c>
      <c r="J10" s="17">
        <v>24.569258427033901</v>
      </c>
      <c r="K10" s="36">
        <v>24.569258427033901</v>
      </c>
      <c r="L10">
        <v>24</v>
      </c>
      <c r="M10" s="24">
        <v>7.4498715270381833E-3</v>
      </c>
      <c r="N10">
        <v>3</v>
      </c>
      <c r="O10">
        <v>25</v>
      </c>
      <c r="P10" s="24">
        <v>1.19490265157905E-2</v>
      </c>
      <c r="Q10">
        <v>2</v>
      </c>
      <c r="R10" s="40" t="s">
        <v>32</v>
      </c>
      <c r="S10" s="40" t="s">
        <v>32</v>
      </c>
      <c r="T10" s="31">
        <v>21.477951094375292</v>
      </c>
      <c r="U10" s="24">
        <f>M10</f>
        <v>7.4498715270381833E-3</v>
      </c>
      <c r="V10" s="40" t="s">
        <v>32</v>
      </c>
      <c r="W10" s="40" t="s">
        <v>32</v>
      </c>
      <c r="X10" s="51">
        <v>0.294315245478036</v>
      </c>
      <c r="Y10" s="36">
        <v>0.172256800679773</v>
      </c>
    </row>
    <row r="11" spans="1:25" x14ac:dyDescent="0.3">
      <c r="A11" s="5">
        <f>A10+1</f>
        <v>9</v>
      </c>
      <c r="B11" s="5" t="s">
        <v>31</v>
      </c>
      <c r="C11">
        <v>0.4</v>
      </c>
      <c r="D11">
        <v>4.0000000000000001E-3</v>
      </c>
      <c r="E11" s="40" t="s">
        <v>32</v>
      </c>
      <c r="F11">
        <v>1</v>
      </c>
      <c r="G11" s="17">
        <v>0.66666666666666663</v>
      </c>
      <c r="H11" s="56">
        <v>1533.4107521508699</v>
      </c>
      <c r="I11">
        <v>7.54</v>
      </c>
      <c r="J11" s="17">
        <v>24.672450359137201</v>
      </c>
      <c r="K11" s="36">
        <v>24.672450359137201</v>
      </c>
      <c r="L11">
        <v>26</v>
      </c>
      <c r="M11" s="24">
        <v>8.4063973827250456E-3</v>
      </c>
      <c r="N11">
        <v>3</v>
      </c>
      <c r="O11">
        <v>25</v>
      </c>
      <c r="P11" s="24">
        <v>1.19490265157905E-2</v>
      </c>
      <c r="Q11">
        <v>2</v>
      </c>
      <c r="R11" s="40" t="s">
        <v>32</v>
      </c>
      <c r="S11" s="40" t="s">
        <v>32</v>
      </c>
      <c r="T11" s="31">
        <v>22.491449953271321</v>
      </c>
      <c r="U11" s="24">
        <f>M11</f>
        <v>8.4063973827250456E-3</v>
      </c>
      <c r="V11" s="40" t="s">
        <v>32</v>
      </c>
      <c r="W11" s="40" t="s">
        <v>32</v>
      </c>
      <c r="X11" s="51">
        <v>0.38863049095607199</v>
      </c>
      <c r="Y11" s="36">
        <v>0.23908628405173199</v>
      </c>
    </row>
    <row r="12" spans="1:25" x14ac:dyDescent="0.3">
      <c r="A12" s="5">
        <f>A11+1</f>
        <v>10</v>
      </c>
      <c r="B12" s="5" t="s">
        <v>31</v>
      </c>
      <c r="C12">
        <v>0.4</v>
      </c>
      <c r="D12">
        <v>4.0000000000000001E-3</v>
      </c>
      <c r="E12" s="40" t="s">
        <v>32</v>
      </c>
      <c r="F12">
        <v>1</v>
      </c>
      <c r="G12" s="17">
        <v>0.66666666666666663</v>
      </c>
      <c r="H12" s="56">
        <v>1516.36321037484</v>
      </c>
      <c r="I12">
        <v>7.54</v>
      </c>
      <c r="J12" s="17">
        <v>24.787136501124301</v>
      </c>
      <c r="K12" s="36">
        <v>24.787136501124301</v>
      </c>
      <c r="L12">
        <v>28</v>
      </c>
      <c r="M12" s="24">
        <v>9.4703610945444383E-3</v>
      </c>
      <c r="N12">
        <v>3</v>
      </c>
      <c r="O12">
        <v>25</v>
      </c>
      <c r="P12" s="24">
        <v>1.19490265157905E-2</v>
      </c>
      <c r="Q12">
        <v>2</v>
      </c>
      <c r="R12" s="40" t="s">
        <v>32</v>
      </c>
      <c r="S12" s="40" t="s">
        <v>32</v>
      </c>
      <c r="T12" s="31">
        <v>23.857519509482575</v>
      </c>
      <c r="U12" s="24">
        <f>M12</f>
        <v>9.4703610945444383E-3</v>
      </c>
      <c r="V12" s="40" t="s">
        <v>32</v>
      </c>
      <c r="W12" s="40" t="s">
        <v>32</v>
      </c>
      <c r="X12" s="51">
        <v>0.436692506459948</v>
      </c>
      <c r="Y12" s="36">
        <v>0.27711003344576701</v>
      </c>
    </row>
    <row r="13" spans="1:25" x14ac:dyDescent="0.3">
      <c r="A13" s="5">
        <f>A12+1</f>
        <v>11</v>
      </c>
      <c r="B13" s="5" t="s">
        <v>31</v>
      </c>
      <c r="C13">
        <v>0.4</v>
      </c>
      <c r="D13">
        <v>4.0000000000000001E-3</v>
      </c>
      <c r="E13" s="40" t="s">
        <v>32</v>
      </c>
      <c r="F13">
        <v>1</v>
      </c>
      <c r="G13" s="17">
        <v>0.66666666666666663</v>
      </c>
      <c r="H13" s="56">
        <v>1498.9815151073001</v>
      </c>
      <c r="I13">
        <v>7.54</v>
      </c>
      <c r="J13" s="17">
        <v>24.904451597357902</v>
      </c>
      <c r="K13" s="36">
        <v>24.904451597357902</v>
      </c>
      <c r="L13">
        <v>30</v>
      </c>
      <c r="M13" s="24">
        <v>1.0652261887304362E-2</v>
      </c>
      <c r="N13">
        <v>3</v>
      </c>
      <c r="O13">
        <v>25</v>
      </c>
      <c r="P13" s="24">
        <v>1.19490265157905E-2</v>
      </c>
      <c r="Q13">
        <v>2</v>
      </c>
      <c r="R13" s="40" t="s">
        <v>32</v>
      </c>
      <c r="S13" s="40" t="s">
        <v>32</v>
      </c>
      <c r="T13" s="31">
        <v>25.324279327417358</v>
      </c>
      <c r="U13" s="24">
        <f>M13</f>
        <v>1.0652261887304362E-2</v>
      </c>
      <c r="V13" s="40" t="s">
        <v>32</v>
      </c>
      <c r="W13" s="40" t="s">
        <v>32</v>
      </c>
      <c r="X13" s="51">
        <v>0.47028423772609801</v>
      </c>
      <c r="Y13" s="36">
        <v>0.31351921372576602</v>
      </c>
    </row>
    <row r="14" spans="1:25" x14ac:dyDescent="0.3">
      <c r="A14" s="5">
        <f>A13+1</f>
        <v>12</v>
      </c>
      <c r="B14" s="5" t="s">
        <v>31</v>
      </c>
      <c r="C14">
        <v>0.4</v>
      </c>
      <c r="D14">
        <v>4.0000000000000001E-3</v>
      </c>
      <c r="E14" s="40" t="s">
        <v>32</v>
      </c>
      <c r="F14">
        <v>1</v>
      </c>
      <c r="G14" s="17">
        <v>0.66666666666666663</v>
      </c>
      <c r="H14" s="56">
        <v>1481.34945314622</v>
      </c>
      <c r="I14">
        <v>7.54</v>
      </c>
      <c r="J14" s="17">
        <v>25.023679228549799</v>
      </c>
      <c r="K14" s="36">
        <v>25.023679228549799</v>
      </c>
      <c r="L14">
        <v>32</v>
      </c>
      <c r="M14" s="24">
        <v>1.1963522282796357E-2</v>
      </c>
      <c r="N14">
        <v>3</v>
      </c>
      <c r="O14">
        <v>25</v>
      </c>
      <c r="P14" s="24">
        <v>1.19490265157905E-2</v>
      </c>
      <c r="Q14">
        <v>2</v>
      </c>
      <c r="R14" s="40" t="s">
        <v>32</v>
      </c>
      <c r="S14" s="40" t="s">
        <v>32</v>
      </c>
      <c r="T14" s="31">
        <v>26.874551280842038</v>
      </c>
      <c r="U14" s="24">
        <f>M14</f>
        <v>1.1963522282796357E-2</v>
      </c>
      <c r="V14" s="40" t="s">
        <v>32</v>
      </c>
      <c r="W14" s="40" t="s">
        <v>32</v>
      </c>
      <c r="X14" s="51">
        <v>0.49302325581395301</v>
      </c>
      <c r="Y14" s="36">
        <v>0.334849122211344</v>
      </c>
    </row>
    <row r="15" spans="1:25" x14ac:dyDescent="0.3">
      <c r="A15" s="5">
        <f>A14+1</f>
        <v>13</v>
      </c>
      <c r="B15" s="5" t="s">
        <v>31</v>
      </c>
      <c r="C15">
        <v>0.4</v>
      </c>
      <c r="D15">
        <v>4.0000000000000001E-3</v>
      </c>
      <c r="E15" s="40" t="s">
        <v>32</v>
      </c>
      <c r="F15">
        <v>1</v>
      </c>
      <c r="G15" s="17">
        <v>0.66666666666666663</v>
      </c>
      <c r="H15" s="56">
        <v>1463.7279173593099</v>
      </c>
      <c r="I15">
        <v>7.54</v>
      </c>
      <c r="J15" s="17">
        <v>25.1426282991001</v>
      </c>
      <c r="K15" s="36">
        <v>25.1426282991001</v>
      </c>
      <c r="L15">
        <v>34</v>
      </c>
      <c r="M15" s="24">
        <v>1.3416573173780677E-2</v>
      </c>
      <c r="N15">
        <v>3</v>
      </c>
      <c r="O15">
        <v>25</v>
      </c>
      <c r="P15" s="24">
        <v>1.19490265157905E-2</v>
      </c>
      <c r="Q15">
        <v>2</v>
      </c>
      <c r="R15" s="40" t="s">
        <v>32</v>
      </c>
      <c r="S15" s="40" t="s">
        <v>32</v>
      </c>
      <c r="T15" s="31">
        <v>28.448012167861968</v>
      </c>
      <c r="U15" s="24">
        <f>M15</f>
        <v>1.3416573173780677E-2</v>
      </c>
      <c r="V15" s="40" t="s">
        <v>32</v>
      </c>
      <c r="W15" s="40" t="s">
        <v>32</v>
      </c>
      <c r="X15" s="51">
        <v>0.51188630490956</v>
      </c>
      <c r="Y15" s="36">
        <v>0.360889824661694</v>
      </c>
    </row>
    <row r="16" spans="1:25" x14ac:dyDescent="0.3">
      <c r="A16" s="5">
        <f>A15+1</f>
        <v>14</v>
      </c>
      <c r="B16" s="5" t="s">
        <v>31</v>
      </c>
      <c r="C16">
        <v>0.4</v>
      </c>
      <c r="D16">
        <v>4.0000000000000001E-3</v>
      </c>
      <c r="E16" s="40" t="s">
        <v>32</v>
      </c>
      <c r="F16">
        <v>1</v>
      </c>
      <c r="G16" s="17">
        <v>0.66666666666666663</v>
      </c>
      <c r="H16" s="56">
        <v>1446.04560586768</v>
      </c>
      <c r="I16">
        <v>7.54</v>
      </c>
      <c r="J16" s="17">
        <v>25.261669723696301</v>
      </c>
      <c r="K16" s="36">
        <v>25.261669723696301</v>
      </c>
      <c r="L16">
        <v>36</v>
      </c>
      <c r="M16" s="24">
        <v>1.5024949397915145E-2</v>
      </c>
      <c r="N16">
        <v>3</v>
      </c>
      <c r="O16">
        <v>25</v>
      </c>
      <c r="P16" s="24">
        <v>1.19490265157905E-2</v>
      </c>
      <c r="Q16">
        <v>2</v>
      </c>
      <c r="R16" s="40" t="s">
        <v>32</v>
      </c>
      <c r="S16" s="40" t="s">
        <v>32</v>
      </c>
      <c r="T16" s="31">
        <v>30.059194800720416</v>
      </c>
      <c r="U16" s="24">
        <f>M16</f>
        <v>1.5024949397915145E-2</v>
      </c>
      <c r="V16" s="40" t="s">
        <v>32</v>
      </c>
      <c r="W16" s="40" t="s">
        <v>32</v>
      </c>
      <c r="X16" s="51">
        <v>0.52609819121446999</v>
      </c>
      <c r="Y16" s="36">
        <v>0.37469714268788001</v>
      </c>
    </row>
    <row r="17" spans="1:25" x14ac:dyDescent="0.3">
      <c r="A17" s="5">
        <f>A16+1</f>
        <v>15</v>
      </c>
      <c r="B17" s="5" t="s">
        <v>30</v>
      </c>
      <c r="C17">
        <v>0.4</v>
      </c>
      <c r="D17">
        <v>5.0000000000000001E-3</v>
      </c>
      <c r="E17" s="40" t="s">
        <v>32</v>
      </c>
      <c r="F17">
        <v>1</v>
      </c>
      <c r="G17" s="17">
        <v>0.66666666666666663</v>
      </c>
      <c r="H17" s="56">
        <v>1935.4182406662701</v>
      </c>
      <c r="I17">
        <v>7.54</v>
      </c>
      <c r="J17" s="17">
        <v>19.6590371048542</v>
      </c>
      <c r="K17" s="36">
        <v>19.6590371048542</v>
      </c>
      <c r="L17">
        <v>24</v>
      </c>
      <c r="M17" s="24">
        <v>7.4498715270381833E-3</v>
      </c>
      <c r="N17">
        <v>3</v>
      </c>
      <c r="O17">
        <v>25</v>
      </c>
      <c r="P17" s="24">
        <v>1.19490265157905E-2</v>
      </c>
      <c r="Q17">
        <v>2</v>
      </c>
      <c r="R17" s="40" t="s">
        <v>32</v>
      </c>
      <c r="S17" s="40" t="s">
        <v>32</v>
      </c>
      <c r="T17" s="31">
        <v>21.608592784833469</v>
      </c>
      <c r="U17" s="24">
        <f>M17</f>
        <v>7.4498715270381833E-3</v>
      </c>
      <c r="V17" s="40" t="s">
        <v>32</v>
      </c>
      <c r="W17" s="40" t="s">
        <v>32</v>
      </c>
      <c r="X17" s="51">
        <v>0.27906976744186002</v>
      </c>
      <c r="Y17" s="36">
        <v>0.165366528652582</v>
      </c>
    </row>
    <row r="18" spans="1:25" x14ac:dyDescent="0.3">
      <c r="A18" s="5">
        <f>A17+1</f>
        <v>16</v>
      </c>
      <c r="B18" s="5" t="s">
        <v>30</v>
      </c>
      <c r="C18">
        <v>0.4</v>
      </c>
      <c r="D18">
        <v>5.0000000000000001E-3</v>
      </c>
      <c r="E18" s="40" t="s">
        <v>32</v>
      </c>
      <c r="F18">
        <v>1</v>
      </c>
      <c r="G18" s="17">
        <v>0.66666666666666663</v>
      </c>
      <c r="H18" s="56">
        <v>1914.7232656179499</v>
      </c>
      <c r="I18">
        <v>7.54</v>
      </c>
      <c r="J18" s="17">
        <v>19.747845998331702</v>
      </c>
      <c r="K18" s="36">
        <v>19.747845998331702</v>
      </c>
      <c r="L18">
        <v>26</v>
      </c>
      <c r="M18" s="24">
        <v>8.4063973827250456E-3</v>
      </c>
      <c r="N18">
        <v>3</v>
      </c>
      <c r="O18">
        <v>25</v>
      </c>
      <c r="P18" s="24">
        <v>1.19490265157905E-2</v>
      </c>
      <c r="Q18">
        <v>2</v>
      </c>
      <c r="R18" s="40" t="s">
        <v>32</v>
      </c>
      <c r="S18" s="40" t="s">
        <v>32</v>
      </c>
      <c r="T18" s="31">
        <v>22.848370270524967</v>
      </c>
      <c r="U18" s="24">
        <f>M18</f>
        <v>8.4063973827250456E-3</v>
      </c>
      <c r="V18" s="40" t="s">
        <v>32</v>
      </c>
      <c r="W18" s="40" t="s">
        <v>32</v>
      </c>
      <c r="X18" s="51">
        <v>0.34909560723514199</v>
      </c>
      <c r="Y18" s="36">
        <v>0.21859317399015499</v>
      </c>
    </row>
    <row r="19" spans="1:25" x14ac:dyDescent="0.3">
      <c r="A19" s="5">
        <f>A18+1</f>
        <v>17</v>
      </c>
      <c r="B19" s="5" t="s">
        <v>30</v>
      </c>
      <c r="C19">
        <v>0.4</v>
      </c>
      <c r="D19">
        <v>5.0000000000000001E-3</v>
      </c>
      <c r="E19" s="40" t="s">
        <v>32</v>
      </c>
      <c r="F19">
        <v>1</v>
      </c>
      <c r="G19" s="17">
        <v>0.66666666666666663</v>
      </c>
      <c r="H19" s="56">
        <v>1893.0048797224199</v>
      </c>
      <c r="I19">
        <v>7.54</v>
      </c>
      <c r="J19" s="17">
        <v>19.841749931576899</v>
      </c>
      <c r="K19" s="36">
        <v>19.841749931576899</v>
      </c>
      <c r="L19">
        <v>28</v>
      </c>
      <c r="M19" s="24">
        <v>9.4703610945444383E-3</v>
      </c>
      <c r="N19">
        <v>3</v>
      </c>
      <c r="O19">
        <v>25</v>
      </c>
      <c r="P19" s="24">
        <v>1.19490265157905E-2</v>
      </c>
      <c r="Q19">
        <v>2</v>
      </c>
      <c r="R19" s="40" t="s">
        <v>32</v>
      </c>
      <c r="S19" s="40" t="s">
        <v>32</v>
      </c>
      <c r="T19" s="31">
        <v>24.293828105525243</v>
      </c>
      <c r="U19" s="24">
        <f>M19</f>
        <v>9.4703610945444383E-3</v>
      </c>
      <c r="V19" s="40" t="s">
        <v>32</v>
      </c>
      <c r="W19" s="40" t="s">
        <v>32</v>
      </c>
      <c r="X19" s="51">
        <v>0.39069767441860398</v>
      </c>
      <c r="Y19" s="36">
        <v>0.25007490823154599</v>
      </c>
    </row>
    <row r="20" spans="1:25" x14ac:dyDescent="0.3">
      <c r="A20" s="5">
        <f>A19+1</f>
        <v>18</v>
      </c>
      <c r="B20" s="5" t="s">
        <v>30</v>
      </c>
      <c r="C20">
        <v>0.4</v>
      </c>
      <c r="D20">
        <v>5.0000000000000001E-3</v>
      </c>
      <c r="E20" s="40" t="s">
        <v>32</v>
      </c>
      <c r="F20">
        <v>1</v>
      </c>
      <c r="G20" s="17">
        <v>0.66666666666666663</v>
      </c>
      <c r="H20" s="56">
        <v>1870.5710106116101</v>
      </c>
      <c r="I20">
        <v>7.54</v>
      </c>
      <c r="J20" s="17">
        <v>19.9393100333196</v>
      </c>
      <c r="K20" s="36">
        <v>19.9393100333196</v>
      </c>
      <c r="L20">
        <v>30</v>
      </c>
      <c r="M20" s="24">
        <v>1.0652261887304362E-2</v>
      </c>
      <c r="N20">
        <v>3</v>
      </c>
      <c r="O20">
        <v>25</v>
      </c>
      <c r="P20" s="24">
        <v>1.19490265157905E-2</v>
      </c>
      <c r="Q20">
        <v>2</v>
      </c>
      <c r="R20" s="40" t="s">
        <v>32</v>
      </c>
      <c r="S20" s="40" t="s">
        <v>32</v>
      </c>
      <c r="T20" s="31">
        <v>25.897183563673366</v>
      </c>
      <c r="U20" s="24">
        <f>M20</f>
        <v>1.0652261887304362E-2</v>
      </c>
      <c r="V20" s="40" t="s">
        <v>32</v>
      </c>
      <c r="W20" s="40" t="s">
        <v>32</v>
      </c>
      <c r="X20" s="51">
        <v>0.41266149870801</v>
      </c>
      <c r="Y20" s="36">
        <v>0.27349548431396598</v>
      </c>
    </row>
    <row r="21" spans="1:25" ht="13.2" customHeight="1" x14ac:dyDescent="0.3">
      <c r="A21" s="5">
        <f>A20+1</f>
        <v>19</v>
      </c>
      <c r="B21" s="5" t="s">
        <v>30</v>
      </c>
      <c r="C21">
        <v>0.4</v>
      </c>
      <c r="D21">
        <v>5.0000000000000001E-3</v>
      </c>
      <c r="E21" s="40" t="s">
        <v>32</v>
      </c>
      <c r="F21">
        <v>1</v>
      </c>
      <c r="G21" s="17">
        <v>0.66666666666666663</v>
      </c>
      <c r="H21" s="56">
        <v>1848.1448251090401</v>
      </c>
      <c r="I21">
        <v>7.54</v>
      </c>
      <c r="J21" s="17">
        <v>20.036886768900501</v>
      </c>
      <c r="K21" s="36">
        <v>20.036886768900501</v>
      </c>
      <c r="L21">
        <v>32</v>
      </c>
      <c r="M21" s="24">
        <v>1.1963522282796357E-2</v>
      </c>
      <c r="N21">
        <v>3</v>
      </c>
      <c r="O21">
        <v>25</v>
      </c>
      <c r="P21" s="24">
        <v>1.19490265157905E-2</v>
      </c>
      <c r="Q21">
        <v>2</v>
      </c>
      <c r="R21" s="40" t="s">
        <v>32</v>
      </c>
      <c r="S21" s="40" t="s">
        <v>32</v>
      </c>
      <c r="T21" s="31">
        <v>27.53000698706559</v>
      </c>
      <c r="U21" s="24">
        <f>M21</f>
        <v>1.1963522282796357E-2</v>
      </c>
      <c r="V21" s="40" t="s">
        <v>32</v>
      </c>
      <c r="W21" s="40" t="s">
        <v>32</v>
      </c>
      <c r="X21" s="51">
        <v>0.42997416020671803</v>
      </c>
      <c r="Y21" s="36">
        <v>0.29545510783353901</v>
      </c>
    </row>
    <row r="22" spans="1:25" x14ac:dyDescent="0.3">
      <c r="A22" s="5">
        <f>A21+1</f>
        <v>20</v>
      </c>
      <c r="B22" s="5" t="s">
        <v>30</v>
      </c>
      <c r="C22">
        <v>0.4</v>
      </c>
      <c r="D22">
        <v>5.0000000000000001E-3</v>
      </c>
      <c r="E22" s="40" t="s">
        <v>32</v>
      </c>
      <c r="F22">
        <v>1</v>
      </c>
      <c r="G22" s="17">
        <v>0.66666666666666663</v>
      </c>
      <c r="H22" s="56">
        <v>1825.9609247466501</v>
      </c>
      <c r="I22">
        <v>7.54</v>
      </c>
      <c r="J22" s="17">
        <v>20.133122902334399</v>
      </c>
      <c r="K22" s="36">
        <v>20.133122902334399</v>
      </c>
      <c r="L22">
        <v>34</v>
      </c>
      <c r="M22" s="24">
        <v>1.3416573173780677E-2</v>
      </c>
      <c r="N22">
        <v>3</v>
      </c>
      <c r="O22">
        <v>25</v>
      </c>
      <c r="P22" s="24">
        <v>1.19490265157905E-2</v>
      </c>
      <c r="Q22">
        <v>2</v>
      </c>
      <c r="R22" s="40" t="s">
        <v>32</v>
      </c>
      <c r="S22" s="40" t="s">
        <v>32</v>
      </c>
      <c r="T22" s="31">
        <v>29.145864247721825</v>
      </c>
      <c r="U22" s="24">
        <f>M22</f>
        <v>1.3416573173780677E-2</v>
      </c>
      <c r="V22" s="40" t="s">
        <v>32</v>
      </c>
      <c r="W22" s="40" t="s">
        <v>32</v>
      </c>
      <c r="X22" s="51">
        <v>0.44754521963824201</v>
      </c>
      <c r="Y22" s="36">
        <v>0.315778596578982</v>
      </c>
    </row>
    <row r="23" spans="1:25" x14ac:dyDescent="0.3">
      <c r="A23" s="5">
        <f>A22+1</f>
        <v>21</v>
      </c>
      <c r="B23" s="5" t="s">
        <v>30</v>
      </c>
      <c r="C23">
        <v>0.4</v>
      </c>
      <c r="D23">
        <v>5.0000000000000001E-3</v>
      </c>
      <c r="E23" s="40" t="s">
        <v>32</v>
      </c>
      <c r="F23">
        <v>1</v>
      </c>
      <c r="G23" s="17">
        <v>0.66666666666666663</v>
      </c>
      <c r="H23" s="56">
        <v>1803.58376196586</v>
      </c>
      <c r="I23">
        <v>7.54</v>
      </c>
      <c r="J23" s="17">
        <v>20.230074760592998</v>
      </c>
      <c r="K23" s="36">
        <v>20.230074760592998</v>
      </c>
      <c r="L23">
        <v>36</v>
      </c>
      <c r="M23" s="24">
        <v>1.5024949397915145E-2</v>
      </c>
      <c r="N23">
        <v>3</v>
      </c>
      <c r="O23">
        <v>25</v>
      </c>
      <c r="P23" s="24">
        <v>1.19490265157905E-2</v>
      </c>
      <c r="Q23">
        <v>2</v>
      </c>
      <c r="R23" s="40" t="s">
        <v>32</v>
      </c>
      <c r="S23" s="40" t="s">
        <v>32</v>
      </c>
      <c r="T23" s="31">
        <v>30.823679556226928</v>
      </c>
      <c r="U23" s="24">
        <f>M23</f>
        <v>1.5024949397915145E-2</v>
      </c>
      <c r="V23" s="40" t="s">
        <v>32</v>
      </c>
      <c r="W23" s="40" t="s">
        <v>32</v>
      </c>
      <c r="X23" s="51">
        <v>0.45839793281653701</v>
      </c>
      <c r="Y23" s="36">
        <v>0.33024154948762302</v>
      </c>
    </row>
    <row r="24" spans="1:25" x14ac:dyDescent="0.3">
      <c r="A24" s="5">
        <f>A23+1</f>
        <v>22</v>
      </c>
      <c r="B24" s="5" t="s">
        <v>31</v>
      </c>
      <c r="C24">
        <v>0.4</v>
      </c>
      <c r="D24">
        <v>5.0000000000000001E-3</v>
      </c>
      <c r="E24" s="40" t="s">
        <v>32</v>
      </c>
      <c r="F24">
        <v>1</v>
      </c>
      <c r="G24" s="17">
        <v>0.66666666666666663</v>
      </c>
      <c r="H24" s="56">
        <v>1933.41279782986</v>
      </c>
      <c r="I24">
        <v>7.54</v>
      </c>
      <c r="J24" s="17">
        <v>19.6686347420051</v>
      </c>
      <c r="K24" s="36">
        <v>19.6686347420051</v>
      </c>
      <c r="L24">
        <v>24</v>
      </c>
      <c r="M24" s="24">
        <v>7.4498715270381833E-3</v>
      </c>
      <c r="N24">
        <v>3</v>
      </c>
      <c r="O24">
        <v>25</v>
      </c>
      <c r="P24" s="24">
        <v>1.19490265157905E-2</v>
      </c>
      <c r="Q24">
        <v>2</v>
      </c>
      <c r="R24" s="40" t="s">
        <v>32</v>
      </c>
      <c r="S24" s="40" t="s">
        <v>32</v>
      </c>
      <c r="T24" s="31">
        <v>21.954018271468634</v>
      </c>
      <c r="U24" s="24">
        <f>M24</f>
        <v>7.4498715270381833E-3</v>
      </c>
      <c r="V24" s="40" t="s">
        <v>32</v>
      </c>
      <c r="W24" s="40" t="s">
        <v>32</v>
      </c>
      <c r="X24" s="51">
        <v>0.23875968992248001</v>
      </c>
      <c r="Y24" s="36">
        <v>0.13780544054381799</v>
      </c>
    </row>
    <row r="25" spans="1:25" x14ac:dyDescent="0.3">
      <c r="A25" s="5">
        <f>A24+1</f>
        <v>23</v>
      </c>
      <c r="B25" s="5" t="s">
        <v>31</v>
      </c>
      <c r="C25">
        <v>0.4</v>
      </c>
      <c r="D25">
        <v>5.0000000000000001E-3</v>
      </c>
      <c r="E25" s="40" t="s">
        <v>32</v>
      </c>
      <c r="F25">
        <v>1</v>
      </c>
      <c r="G25" s="17">
        <v>0.66666666666666663</v>
      </c>
      <c r="H25" s="56">
        <v>1913.2985611648</v>
      </c>
      <c r="I25">
        <v>7.54</v>
      </c>
      <c r="J25" s="17">
        <v>19.754758351418101</v>
      </c>
      <c r="K25" s="36">
        <v>19.754758351418101</v>
      </c>
      <c r="L25">
        <v>26</v>
      </c>
      <c r="M25" s="24">
        <v>8.4063973827250456E-3</v>
      </c>
      <c r="N25">
        <v>3</v>
      </c>
      <c r="O25">
        <v>25</v>
      </c>
      <c r="P25" s="24">
        <v>1.19490265157905E-2</v>
      </c>
      <c r="Q25">
        <v>2</v>
      </c>
      <c r="R25" s="40" t="s">
        <v>32</v>
      </c>
      <c r="S25" s="40" t="s">
        <v>32</v>
      </c>
      <c r="T25" s="31">
        <v>23.097981211349421</v>
      </c>
      <c r="U25" s="24">
        <f>M25</f>
        <v>8.4063973827250456E-3</v>
      </c>
      <c r="V25" s="40" t="s">
        <v>32</v>
      </c>
      <c r="W25" s="40" t="s">
        <v>32</v>
      </c>
      <c r="X25" s="51">
        <v>0.32144702842377199</v>
      </c>
      <c r="Y25" s="36">
        <v>0.19810006392857801</v>
      </c>
    </row>
    <row r="26" spans="1:25" x14ac:dyDescent="0.3">
      <c r="A26" s="5">
        <f>A25+1</f>
        <v>24</v>
      </c>
      <c r="B26" s="5" t="s">
        <v>31</v>
      </c>
      <c r="C26">
        <v>0.4</v>
      </c>
      <c r="D26">
        <v>5.0000000000000001E-3</v>
      </c>
      <c r="E26" s="40" t="s">
        <v>32</v>
      </c>
      <c r="F26">
        <v>1</v>
      </c>
      <c r="G26" s="17">
        <v>0.66666666666666663</v>
      </c>
      <c r="H26" s="56">
        <v>1891.71358071654</v>
      </c>
      <c r="I26">
        <v>7.54</v>
      </c>
      <c r="J26" s="17">
        <v>19.848107322954998</v>
      </c>
      <c r="K26" s="36">
        <v>19.848107322954998</v>
      </c>
      <c r="L26">
        <v>28</v>
      </c>
      <c r="M26" s="24">
        <v>9.4703610945444383E-3</v>
      </c>
      <c r="N26">
        <v>3</v>
      </c>
      <c r="O26">
        <v>25</v>
      </c>
      <c r="P26" s="24">
        <v>1.19490265157905E-2</v>
      </c>
      <c r="Q26">
        <v>2</v>
      </c>
      <c r="R26" s="40" t="s">
        <v>32</v>
      </c>
      <c r="S26" s="40" t="s">
        <v>32</v>
      </c>
      <c r="T26" s="31">
        <v>24.524238262985971</v>
      </c>
      <c r="U26" s="24">
        <f>M26</f>
        <v>9.4703610945444383E-3</v>
      </c>
      <c r="V26" s="40" t="s">
        <v>32</v>
      </c>
      <c r="W26" s="40" t="s">
        <v>32</v>
      </c>
      <c r="X26" s="51">
        <v>0.36640826873385002</v>
      </c>
      <c r="Y26" s="36">
        <v>0.23655734562443501</v>
      </c>
    </row>
    <row r="27" spans="1:25" x14ac:dyDescent="0.3">
      <c r="A27" s="5">
        <f>A26+1</f>
        <v>25</v>
      </c>
      <c r="B27" s="5" t="s">
        <v>31</v>
      </c>
      <c r="C27">
        <v>0.4</v>
      </c>
      <c r="D27">
        <v>5.0000000000000001E-3</v>
      </c>
      <c r="E27" s="40" t="s">
        <v>32</v>
      </c>
      <c r="F27">
        <v>1</v>
      </c>
      <c r="G27" s="17">
        <v>0.66666666666666663</v>
      </c>
      <c r="H27" s="56">
        <v>1869.63863085308</v>
      </c>
      <c r="I27">
        <v>7.54</v>
      </c>
      <c r="J27" s="17">
        <v>19.943970122465998</v>
      </c>
      <c r="K27" s="36">
        <v>19.943970122465998</v>
      </c>
      <c r="L27">
        <v>30</v>
      </c>
      <c r="M27" s="24">
        <v>1.0652261887304362E-2</v>
      </c>
      <c r="N27">
        <v>3</v>
      </c>
      <c r="O27">
        <v>25</v>
      </c>
      <c r="P27" s="24">
        <v>1.19490265157905E-2</v>
      </c>
      <c r="Q27">
        <v>2</v>
      </c>
      <c r="R27" s="40" t="s">
        <v>32</v>
      </c>
      <c r="S27" s="40" t="s">
        <v>32</v>
      </c>
      <c r="T27" s="31">
        <v>26.066742664986808</v>
      </c>
      <c r="U27" s="24">
        <f>M27</f>
        <v>1.0652261887304362E-2</v>
      </c>
      <c r="V27" s="40" t="s">
        <v>32</v>
      </c>
      <c r="W27" s="40" t="s">
        <v>32</v>
      </c>
      <c r="X27" s="51">
        <v>0.39560723514211799</v>
      </c>
      <c r="Y27" s="36">
        <v>0.260154241176699</v>
      </c>
    </row>
    <row r="28" spans="1:25" x14ac:dyDescent="0.3">
      <c r="A28" s="5">
        <f>A27+1</f>
        <v>26</v>
      </c>
      <c r="B28" s="5" t="s">
        <v>31</v>
      </c>
      <c r="C28">
        <v>0.4</v>
      </c>
      <c r="D28">
        <v>5.0000000000000001E-3</v>
      </c>
      <c r="E28" s="40" t="s">
        <v>32</v>
      </c>
      <c r="F28">
        <v>1</v>
      </c>
      <c r="G28" s="17">
        <v>0.66666666666666663</v>
      </c>
      <c r="H28" s="56">
        <v>1847.3189723103701</v>
      </c>
      <c r="I28">
        <v>7.54</v>
      </c>
      <c r="J28" s="17">
        <v>20.041077503261398</v>
      </c>
      <c r="K28" s="36">
        <v>20.041077503261398</v>
      </c>
      <c r="L28">
        <v>32</v>
      </c>
      <c r="M28" s="24">
        <v>1.1963522282796357E-2</v>
      </c>
      <c r="N28">
        <v>3</v>
      </c>
      <c r="O28">
        <v>25</v>
      </c>
      <c r="P28" s="24">
        <v>1.19490265157905E-2</v>
      </c>
      <c r="Q28">
        <v>2</v>
      </c>
      <c r="R28" s="40" t="s">
        <v>32</v>
      </c>
      <c r="S28" s="40" t="s">
        <v>32</v>
      </c>
      <c r="T28" s="31">
        <v>27.683125738109624</v>
      </c>
      <c r="U28" s="24">
        <f>M28</f>
        <v>1.1963522282796357E-2</v>
      </c>
      <c r="V28" s="40" t="s">
        <v>32</v>
      </c>
      <c r="W28" s="40" t="s">
        <v>32</v>
      </c>
      <c r="X28" s="51">
        <v>0.41524547803617501</v>
      </c>
      <c r="Y28" s="36">
        <v>0.28232376970760398</v>
      </c>
    </row>
    <row r="29" spans="1:25" x14ac:dyDescent="0.3">
      <c r="A29" s="5">
        <f>A28+1</f>
        <v>27</v>
      </c>
      <c r="B29" s="5" t="s">
        <v>31</v>
      </c>
      <c r="C29">
        <v>0.4</v>
      </c>
      <c r="D29">
        <v>5.0000000000000001E-3</v>
      </c>
      <c r="E29" s="40" t="s">
        <v>32</v>
      </c>
      <c r="F29">
        <v>1</v>
      </c>
      <c r="G29" s="17">
        <v>0.66666666666666663</v>
      </c>
      <c r="H29" s="56">
        <v>1825.1158749905101</v>
      </c>
      <c r="I29">
        <v>7.54</v>
      </c>
      <c r="J29" s="17">
        <v>20.137475881085798</v>
      </c>
      <c r="K29" s="36">
        <v>20.137475881085798</v>
      </c>
      <c r="L29">
        <v>34</v>
      </c>
      <c r="M29" s="24">
        <v>1.3416573173780677E-2</v>
      </c>
      <c r="N29">
        <v>3</v>
      </c>
      <c r="O29">
        <v>25</v>
      </c>
      <c r="P29" s="24">
        <v>1.19490265157905E-2</v>
      </c>
      <c r="Q29">
        <v>2</v>
      </c>
      <c r="R29" s="40" t="s">
        <v>32</v>
      </c>
      <c r="S29" s="40" t="s">
        <v>32</v>
      </c>
      <c r="T29" s="31">
        <v>29.305613519015036</v>
      </c>
      <c r="U29" s="24">
        <f>M29</f>
        <v>1.3416573173780677E-2</v>
      </c>
      <c r="V29" s="40" t="s">
        <v>32</v>
      </c>
      <c r="W29" s="40" t="s">
        <v>32</v>
      </c>
      <c r="X29" s="51">
        <v>0.43281653746769999</v>
      </c>
      <c r="Y29" s="36">
        <v>0.30288967426963598</v>
      </c>
    </row>
    <row r="30" spans="1:25" x14ac:dyDescent="0.3">
      <c r="A30" s="5">
        <f>A29+1</f>
        <v>28</v>
      </c>
      <c r="B30" s="5" t="s">
        <v>31</v>
      </c>
      <c r="C30">
        <v>0.4</v>
      </c>
      <c r="D30">
        <v>5.0000000000000001E-3</v>
      </c>
      <c r="E30" s="40" t="s">
        <v>32</v>
      </c>
      <c r="F30">
        <v>1</v>
      </c>
      <c r="G30" s="17">
        <v>0.66666666666666663</v>
      </c>
      <c r="H30" s="56">
        <v>1802.75148040412</v>
      </c>
      <c r="I30">
        <v>7.54</v>
      </c>
      <c r="J30" s="17">
        <v>20.234427220973799</v>
      </c>
      <c r="K30" s="36">
        <v>20.234427220973799</v>
      </c>
      <c r="L30">
        <v>36</v>
      </c>
      <c r="M30" s="24">
        <v>1.5024949397915145E-2</v>
      </c>
      <c r="N30">
        <v>3</v>
      </c>
      <c r="O30">
        <v>25</v>
      </c>
      <c r="P30" s="24">
        <v>1.19490265157905E-2</v>
      </c>
      <c r="Q30">
        <v>2</v>
      </c>
      <c r="R30" s="40" t="s">
        <v>32</v>
      </c>
      <c r="S30" s="40" t="s">
        <v>32</v>
      </c>
      <c r="T30" s="31">
        <v>30.984162997268374</v>
      </c>
      <c r="U30" s="24">
        <f>M30</f>
        <v>1.5024949397915145E-2</v>
      </c>
      <c r="V30" s="40" t="s">
        <v>32</v>
      </c>
      <c r="W30" s="40" t="s">
        <v>32</v>
      </c>
      <c r="X30" s="51">
        <v>0.44418604651162702</v>
      </c>
      <c r="Y30" s="36">
        <v>0.31753995143040697</v>
      </c>
    </row>
    <row r="31" spans="1:25" x14ac:dyDescent="0.3">
      <c r="A31" s="5">
        <f>A30+1</f>
        <v>29</v>
      </c>
      <c r="B31" s="5" t="s">
        <v>30</v>
      </c>
      <c r="C31">
        <v>0.4</v>
      </c>
      <c r="D31">
        <v>4.0000000000000001E-3</v>
      </c>
      <c r="E31" s="40" t="s">
        <v>32</v>
      </c>
      <c r="F31">
        <v>1</v>
      </c>
      <c r="G31" s="17">
        <v>1.3333333333333333</v>
      </c>
      <c r="H31" s="56">
        <v>753.66196646728497</v>
      </c>
      <c r="I31">
        <v>7.54</v>
      </c>
      <c r="J31" s="17">
        <v>24.839737734136001</v>
      </c>
      <c r="K31" s="36">
        <v>24.839737734136001</v>
      </c>
      <c r="L31">
        <v>30</v>
      </c>
      <c r="M31" s="24">
        <v>1.0652261887304362E-2</v>
      </c>
      <c r="N31">
        <v>1.5</v>
      </c>
      <c r="O31">
        <v>25</v>
      </c>
      <c r="P31" s="24">
        <v>1.19490265157905E-2</v>
      </c>
      <c r="Q31">
        <v>2</v>
      </c>
      <c r="R31" s="40" t="s">
        <v>32</v>
      </c>
      <c r="S31" s="40" t="s">
        <v>32</v>
      </c>
      <c r="T31" s="31">
        <v>23.442270795082678</v>
      </c>
      <c r="U31" s="24">
        <f>M31</f>
        <v>1.0652261887304362E-2</v>
      </c>
      <c r="V31" s="40" t="s">
        <v>32</v>
      </c>
      <c r="W31" s="40" t="s">
        <v>32</v>
      </c>
      <c r="X31" s="51">
        <v>0.65957675753228096</v>
      </c>
      <c r="Y31" s="36">
        <v>0.44026102352979901</v>
      </c>
    </row>
    <row r="32" spans="1:25" x14ac:dyDescent="0.3">
      <c r="A32" s="5">
        <f>A31+1</f>
        <v>30</v>
      </c>
      <c r="B32" s="5" t="s">
        <v>30</v>
      </c>
      <c r="C32">
        <v>0.4</v>
      </c>
      <c r="D32">
        <v>4.0000000000000001E-3</v>
      </c>
      <c r="E32" s="40" t="s">
        <v>32</v>
      </c>
      <c r="F32">
        <v>1</v>
      </c>
      <c r="G32">
        <v>1</v>
      </c>
      <c r="H32" s="56">
        <v>1002.79649576622</v>
      </c>
      <c r="I32">
        <v>7.54</v>
      </c>
      <c r="J32" s="17">
        <v>24.863951538362301</v>
      </c>
      <c r="K32" s="36">
        <v>24.863951538362301</v>
      </c>
      <c r="L32">
        <v>30</v>
      </c>
      <c r="M32" s="24">
        <v>1.0652261887304362E-2</v>
      </c>
      <c r="N32">
        <v>2</v>
      </c>
      <c r="O32">
        <v>25</v>
      </c>
      <c r="P32" s="24">
        <v>1.19490265157905E-2</v>
      </c>
      <c r="Q32">
        <v>2</v>
      </c>
      <c r="R32" s="40" t="s">
        <v>32</v>
      </c>
      <c r="S32" s="40" t="s">
        <v>32</v>
      </c>
      <c r="T32" s="31">
        <v>24.146221931659259</v>
      </c>
      <c r="U32" s="24">
        <f>M32</f>
        <v>1.0652261887304362E-2</v>
      </c>
      <c r="V32" s="40" t="s">
        <v>32</v>
      </c>
      <c r="W32" s="40" t="s">
        <v>32</v>
      </c>
      <c r="X32" s="51">
        <v>0.58877331420373002</v>
      </c>
      <c r="Y32" s="36">
        <v>0.393566672549365</v>
      </c>
    </row>
    <row r="33" spans="1:25" x14ac:dyDescent="0.3">
      <c r="A33" s="5">
        <f>A32+1</f>
        <v>31</v>
      </c>
      <c r="B33" s="5" t="s">
        <v>30</v>
      </c>
      <c r="C33">
        <v>0.4</v>
      </c>
      <c r="D33">
        <v>4.0000000000000001E-3</v>
      </c>
      <c r="E33" s="40" t="s">
        <v>32</v>
      </c>
      <c r="F33">
        <v>1</v>
      </c>
      <c r="G33">
        <v>0.8</v>
      </c>
      <c r="H33" s="56">
        <v>1251.4673504448299</v>
      </c>
      <c r="I33">
        <v>7.54</v>
      </c>
      <c r="J33" s="17">
        <v>24.882835040358401</v>
      </c>
      <c r="K33" s="36">
        <v>24.882835040358401</v>
      </c>
      <c r="L33">
        <v>30</v>
      </c>
      <c r="M33" s="24">
        <v>1.0652261887304362E-2</v>
      </c>
      <c r="N33">
        <v>2.5</v>
      </c>
      <c r="O33">
        <v>25</v>
      </c>
      <c r="P33" s="24">
        <v>1.19490265157905E-2</v>
      </c>
      <c r="Q33">
        <v>2</v>
      </c>
      <c r="R33" s="40" t="s">
        <v>32</v>
      </c>
      <c r="S33" s="40" t="s">
        <v>32</v>
      </c>
      <c r="T33" s="31">
        <v>24.695403669414045</v>
      </c>
      <c r="U33" s="24">
        <f>M33</f>
        <v>1.0652261887304362E-2</v>
      </c>
      <c r="V33" s="40" t="s">
        <v>32</v>
      </c>
      <c r="W33" s="40" t="s">
        <v>32</v>
      </c>
      <c r="X33" s="51">
        <v>0.53353658536585302</v>
      </c>
      <c r="Y33" s="36">
        <v>0.35354294313756501</v>
      </c>
    </row>
    <row r="34" spans="1:25" x14ac:dyDescent="0.3">
      <c r="A34" s="5">
        <f>A33+1</f>
        <v>32</v>
      </c>
      <c r="B34" s="5" t="s">
        <v>30</v>
      </c>
      <c r="C34">
        <v>0.4</v>
      </c>
      <c r="D34">
        <v>4.0000000000000001E-3</v>
      </c>
      <c r="E34" s="40" t="s">
        <v>32</v>
      </c>
      <c r="F34">
        <v>1</v>
      </c>
      <c r="G34" s="17">
        <v>0.66666666666666663</v>
      </c>
      <c r="H34" s="56">
        <v>1499.8182645919001</v>
      </c>
      <c r="I34">
        <v>7.54</v>
      </c>
      <c r="J34" s="17">
        <v>24.897937618201802</v>
      </c>
      <c r="K34" s="36">
        <v>24.897937618201802</v>
      </c>
      <c r="L34">
        <v>30</v>
      </c>
      <c r="M34" s="24">
        <v>1.0652261887304362E-2</v>
      </c>
      <c r="N34">
        <v>3</v>
      </c>
      <c r="O34">
        <v>25</v>
      </c>
      <c r="P34" s="24">
        <v>1.19490265157905E-2</v>
      </c>
      <c r="Q34">
        <v>2</v>
      </c>
      <c r="R34" s="40" t="s">
        <v>32</v>
      </c>
      <c r="S34" s="40" t="s">
        <v>32</v>
      </c>
      <c r="T34" s="31">
        <v>25.134749059617867</v>
      </c>
      <c r="U34" s="24">
        <f>M34</f>
        <v>1.0652261887304362E-2</v>
      </c>
      <c r="V34" s="40" t="s">
        <v>32</v>
      </c>
      <c r="W34" s="40" t="s">
        <v>32</v>
      </c>
      <c r="X34" s="51">
        <v>0.48934720229555201</v>
      </c>
      <c r="Y34" s="36">
        <v>0.326860456863032</v>
      </c>
    </row>
    <row r="35" spans="1:25" x14ac:dyDescent="0.3">
      <c r="A35" s="5">
        <f>A34+1</f>
        <v>33</v>
      </c>
      <c r="B35" s="5" t="s">
        <v>30</v>
      </c>
      <c r="C35">
        <v>0.4</v>
      </c>
      <c r="D35">
        <v>4.0000000000000001E-3</v>
      </c>
      <c r="E35" s="40" t="s">
        <v>32</v>
      </c>
      <c r="F35">
        <v>1</v>
      </c>
      <c r="G35" s="17">
        <v>0.5714285714285714</v>
      </c>
      <c r="H35" s="56">
        <v>1747.92440053473</v>
      </c>
      <c r="I35">
        <v>7.54</v>
      </c>
      <c r="J35" s="17">
        <v>24.910377264488801</v>
      </c>
      <c r="K35" s="36">
        <v>24.910377264488801</v>
      </c>
      <c r="L35">
        <v>30</v>
      </c>
      <c r="M35" s="24">
        <v>1.0652261887304362E-2</v>
      </c>
      <c r="N35">
        <v>3.5</v>
      </c>
      <c r="O35">
        <v>25</v>
      </c>
      <c r="P35" s="24">
        <v>1.19490265157905E-2</v>
      </c>
      <c r="Q35">
        <v>2</v>
      </c>
      <c r="R35" s="40" t="s">
        <v>32</v>
      </c>
      <c r="S35" s="40" t="s">
        <v>32</v>
      </c>
      <c r="T35" s="31">
        <v>25.49670975041079</v>
      </c>
      <c r="U35" s="24">
        <f>M35</f>
        <v>1.0652261887304362E-2</v>
      </c>
      <c r="V35" s="40" t="s">
        <v>32</v>
      </c>
      <c r="W35" s="40" t="s">
        <v>32</v>
      </c>
      <c r="X35" s="51">
        <v>0.45294117647058801</v>
      </c>
      <c r="Y35" s="36">
        <v>0.30017797058849899</v>
      </c>
    </row>
    <row r="36" spans="1:25" x14ac:dyDescent="0.3">
      <c r="A36" s="5">
        <f>A35+1</f>
        <v>34</v>
      </c>
      <c r="B36" s="5" t="s">
        <v>31</v>
      </c>
      <c r="C36">
        <v>0.4</v>
      </c>
      <c r="D36">
        <v>4.0000000000000001E-3</v>
      </c>
      <c r="E36" s="40" t="s">
        <v>32</v>
      </c>
      <c r="F36">
        <v>1</v>
      </c>
      <c r="G36" s="17">
        <v>1.3333333333333333</v>
      </c>
      <c r="H36" s="56">
        <v>753.17315956910102</v>
      </c>
      <c r="I36">
        <v>7.54</v>
      </c>
      <c r="J36" s="17">
        <v>24.847294851222198</v>
      </c>
      <c r="K36" s="36">
        <v>24.847294851222198</v>
      </c>
      <c r="L36">
        <v>30</v>
      </c>
      <c r="M36" s="24">
        <v>1.0652261887304362E-2</v>
      </c>
      <c r="N36">
        <v>1.5</v>
      </c>
      <c r="O36">
        <v>25</v>
      </c>
      <c r="P36" s="24">
        <v>1.19490265157905E-2</v>
      </c>
      <c r="Q36">
        <v>2</v>
      </c>
      <c r="R36" s="40" t="s">
        <v>32</v>
      </c>
      <c r="S36" s="40" t="s">
        <v>32</v>
      </c>
      <c r="T36" s="31">
        <v>23.661943490184591</v>
      </c>
      <c r="U36" s="24">
        <f>M36</f>
        <v>1.0652261887304362E-2</v>
      </c>
      <c r="V36" s="40" t="s">
        <v>32</v>
      </c>
      <c r="W36" s="40" t="s">
        <v>32</v>
      </c>
      <c r="X36" s="51">
        <v>0.63748206599712998</v>
      </c>
      <c r="Y36" s="36">
        <v>0.42024915882389902</v>
      </c>
    </row>
    <row r="37" spans="1:25" x14ac:dyDescent="0.3">
      <c r="A37" s="5">
        <f>A36+1</f>
        <v>35</v>
      </c>
      <c r="B37" s="5" t="s">
        <v>31</v>
      </c>
      <c r="C37">
        <v>0.4</v>
      </c>
      <c r="D37">
        <v>4.0000000000000001E-3</v>
      </c>
      <c r="E37" s="40" t="s">
        <v>32</v>
      </c>
      <c r="F37">
        <v>1</v>
      </c>
      <c r="G37">
        <v>1</v>
      </c>
      <c r="H37" s="56">
        <v>1002.28712705173</v>
      </c>
      <c r="I37">
        <v>7.54</v>
      </c>
      <c r="J37" s="17">
        <v>24.8698747229944</v>
      </c>
      <c r="K37" s="36">
        <v>24.8698747229944</v>
      </c>
      <c r="L37">
        <v>30</v>
      </c>
      <c r="M37" s="24">
        <v>1.0652261887304362E-2</v>
      </c>
      <c r="N37">
        <v>2</v>
      </c>
      <c r="O37">
        <v>25</v>
      </c>
      <c r="P37" s="24">
        <v>1.19490265157905E-2</v>
      </c>
      <c r="Q37">
        <v>2</v>
      </c>
      <c r="R37" s="40" t="s">
        <v>32</v>
      </c>
      <c r="S37" s="40" t="s">
        <v>32</v>
      </c>
      <c r="T37" s="31">
        <v>24.318465294864176</v>
      </c>
      <c r="U37" s="24">
        <f>M37</f>
        <v>1.0652261887304362E-2</v>
      </c>
      <c r="V37" s="40" t="s">
        <v>32</v>
      </c>
      <c r="W37" s="40" t="s">
        <v>32</v>
      </c>
      <c r="X37" s="51">
        <v>0.57144906743184998</v>
      </c>
      <c r="Y37" s="36">
        <v>0.38022542941209903</v>
      </c>
    </row>
    <row r="38" spans="1:25" x14ac:dyDescent="0.3">
      <c r="A38" s="5">
        <f>A37+1</f>
        <v>36</v>
      </c>
      <c r="B38" s="5" t="s">
        <v>31</v>
      </c>
      <c r="C38">
        <v>0.4</v>
      </c>
      <c r="D38">
        <v>4.0000000000000001E-3</v>
      </c>
      <c r="E38" s="40" t="s">
        <v>32</v>
      </c>
      <c r="F38">
        <v>1</v>
      </c>
      <c r="G38">
        <v>0.8</v>
      </c>
      <c r="H38" s="56">
        <v>1250.7955064319699</v>
      </c>
      <c r="I38">
        <v>7.54</v>
      </c>
      <c r="J38" s="17">
        <v>24.889099633225701</v>
      </c>
      <c r="K38" s="36">
        <v>24.889099633225701</v>
      </c>
      <c r="L38">
        <v>30</v>
      </c>
      <c r="M38" s="24">
        <v>1.0652261887304362E-2</v>
      </c>
      <c r="N38">
        <v>2.5</v>
      </c>
      <c r="O38">
        <v>25</v>
      </c>
      <c r="P38" s="24">
        <v>1.19490265157905E-2</v>
      </c>
      <c r="Q38">
        <v>2</v>
      </c>
      <c r="R38" s="40" t="s">
        <v>32</v>
      </c>
      <c r="S38" s="40" t="s">
        <v>32</v>
      </c>
      <c r="T38" s="31">
        <v>24.877632155123585</v>
      </c>
      <c r="U38" s="24">
        <f>M38</f>
        <v>1.0652261887304362E-2</v>
      </c>
      <c r="V38" s="40" t="s">
        <v>32</v>
      </c>
      <c r="W38" s="40" t="s">
        <v>32</v>
      </c>
      <c r="X38" s="51">
        <v>0.515208034433285</v>
      </c>
      <c r="Y38" s="36">
        <v>0.34020170000029898</v>
      </c>
    </row>
    <row r="39" spans="1:25" x14ac:dyDescent="0.3">
      <c r="A39" s="5">
        <f>A38+1</f>
        <v>37</v>
      </c>
      <c r="B39" s="5" t="s">
        <v>31</v>
      </c>
      <c r="C39">
        <v>0.4</v>
      </c>
      <c r="D39">
        <v>4.0000000000000001E-3</v>
      </c>
      <c r="E39" s="40" t="s">
        <v>32</v>
      </c>
      <c r="F39">
        <v>1</v>
      </c>
      <c r="G39" s="17">
        <v>0.66666666666666663</v>
      </c>
      <c r="H39" s="56">
        <v>1498.9917054487901</v>
      </c>
      <c r="I39">
        <v>7.54</v>
      </c>
      <c r="J39" s="17">
        <v>24.9043722357838</v>
      </c>
      <c r="K39" s="36">
        <v>24.9043722357838</v>
      </c>
      <c r="L39">
        <v>30</v>
      </c>
      <c r="M39" s="24">
        <v>1.0652261887304362E-2</v>
      </c>
      <c r="N39">
        <v>3</v>
      </c>
      <c r="O39">
        <v>25</v>
      </c>
      <c r="P39" s="24">
        <v>1.19490265157905E-2</v>
      </c>
      <c r="Q39">
        <v>2</v>
      </c>
      <c r="R39" s="40" t="s">
        <v>32</v>
      </c>
      <c r="S39" s="40" t="s">
        <v>32</v>
      </c>
      <c r="T39" s="31">
        <v>25.32197010657972</v>
      </c>
      <c r="U39" s="24">
        <f>M39</f>
        <v>1.0652261887304362E-2</v>
      </c>
      <c r="V39" s="40" t="s">
        <v>32</v>
      </c>
      <c r="W39" s="40" t="s">
        <v>32</v>
      </c>
      <c r="X39" s="51">
        <v>0.47051649928264</v>
      </c>
      <c r="Y39" s="36">
        <v>0.31351921372576602</v>
      </c>
    </row>
    <row r="40" spans="1:25" x14ac:dyDescent="0.3">
      <c r="A40" s="5">
        <f>A39+1</f>
        <v>38</v>
      </c>
      <c r="B40" s="5" t="s">
        <v>31</v>
      </c>
      <c r="C40">
        <v>0.4</v>
      </c>
      <c r="D40">
        <v>4.0000000000000001E-3</v>
      </c>
      <c r="E40" s="40" t="s">
        <v>32</v>
      </c>
      <c r="F40">
        <v>1</v>
      </c>
      <c r="G40" s="17">
        <v>0.5714285714285714</v>
      </c>
      <c r="H40" s="56">
        <v>1746.9232532661199</v>
      </c>
      <c r="I40">
        <v>7.54</v>
      </c>
      <c r="J40" s="17">
        <v>24.917067883677301</v>
      </c>
      <c r="K40" s="36">
        <v>24.917067883677301</v>
      </c>
      <c r="L40">
        <v>30</v>
      </c>
      <c r="M40" s="24">
        <v>1.0652261887304362E-2</v>
      </c>
      <c r="N40">
        <v>3.5</v>
      </c>
      <c r="O40">
        <v>25</v>
      </c>
      <c r="P40" s="24">
        <v>1.19490265157905E-2</v>
      </c>
      <c r="Q40">
        <v>2</v>
      </c>
      <c r="R40" s="40" t="s">
        <v>32</v>
      </c>
      <c r="S40" s="40" t="s">
        <v>32</v>
      </c>
      <c r="T40" s="31">
        <v>25.691419639251123</v>
      </c>
      <c r="U40" s="24">
        <f>M40</f>
        <v>1.0652261887304362E-2</v>
      </c>
      <c r="V40" s="40" t="s">
        <v>32</v>
      </c>
      <c r="W40" s="40" t="s">
        <v>32</v>
      </c>
      <c r="X40" s="51">
        <v>0.43335724533715902</v>
      </c>
      <c r="Y40" s="36">
        <v>0.28683672745123201</v>
      </c>
    </row>
    <row r="41" spans="1:25" x14ac:dyDescent="0.3">
      <c r="A41" s="5">
        <f>A40+1</f>
        <v>39</v>
      </c>
      <c r="B41" s="5" t="s">
        <v>30</v>
      </c>
      <c r="C41">
        <v>0.4</v>
      </c>
      <c r="D41">
        <v>5.0000000000000001E-3</v>
      </c>
      <c r="E41" s="40" t="s">
        <v>32</v>
      </c>
      <c r="F41">
        <v>1</v>
      </c>
      <c r="G41" s="17">
        <v>1.3333333333333333</v>
      </c>
      <c r="H41" s="56">
        <v>939.76179828552495</v>
      </c>
      <c r="I41">
        <v>7.54</v>
      </c>
      <c r="J41" s="17">
        <v>19.894732353010699</v>
      </c>
      <c r="K41" s="36">
        <v>19.894732353010699</v>
      </c>
      <c r="L41">
        <v>30</v>
      </c>
      <c r="M41" s="24">
        <v>1.0652261887304362E-2</v>
      </c>
      <c r="N41">
        <v>1.5</v>
      </c>
      <c r="O41">
        <v>25</v>
      </c>
      <c r="P41" s="24">
        <v>1.19490265157905E-2</v>
      </c>
      <c r="Q41">
        <v>2</v>
      </c>
      <c r="R41" s="40" t="s">
        <v>32</v>
      </c>
      <c r="S41" s="40" t="s">
        <v>32</v>
      </c>
      <c r="T41" s="31">
        <v>24.276028524219484</v>
      </c>
      <c r="U41" s="24">
        <f>M41</f>
        <v>1.0652261887304362E-2</v>
      </c>
      <c r="V41" s="40" t="s">
        <v>32</v>
      </c>
      <c r="W41" s="40" t="s">
        <v>32</v>
      </c>
      <c r="X41" s="51">
        <v>0.57571736011477703</v>
      </c>
      <c r="Y41" s="36">
        <v>0.38022542941209903</v>
      </c>
    </row>
    <row r="42" spans="1:25" x14ac:dyDescent="0.3">
      <c r="A42" s="5">
        <f>A41+1</f>
        <v>40</v>
      </c>
      <c r="B42" s="5" t="s">
        <v>30</v>
      </c>
      <c r="C42">
        <v>0.4</v>
      </c>
      <c r="D42">
        <v>5.0000000000000001E-3</v>
      </c>
      <c r="E42" s="40" t="s">
        <v>32</v>
      </c>
      <c r="F42">
        <v>1</v>
      </c>
      <c r="G42">
        <v>1</v>
      </c>
      <c r="H42" s="56">
        <v>1250.43681510232</v>
      </c>
      <c r="I42">
        <v>7.54</v>
      </c>
      <c r="J42" s="17">
        <v>19.9139569647134</v>
      </c>
      <c r="K42" s="36">
        <v>19.9139569647134</v>
      </c>
      <c r="L42">
        <v>30</v>
      </c>
      <c r="M42" s="24">
        <v>1.0652261887304362E-2</v>
      </c>
      <c r="N42">
        <v>2</v>
      </c>
      <c r="O42">
        <v>25</v>
      </c>
      <c r="P42" s="24">
        <v>1.19490265157905E-2</v>
      </c>
      <c r="Q42">
        <v>2</v>
      </c>
      <c r="R42" s="40" t="s">
        <v>32</v>
      </c>
      <c r="S42" s="40" t="s">
        <v>32</v>
      </c>
      <c r="T42" s="31">
        <v>24.974987099543746</v>
      </c>
      <c r="U42" s="24">
        <f>M42</f>
        <v>1.0652261887304362E-2</v>
      </c>
      <c r="V42" s="40" t="s">
        <v>32</v>
      </c>
      <c r="W42" s="40" t="s">
        <v>32</v>
      </c>
      <c r="X42" s="51">
        <v>0.50541606886657098</v>
      </c>
      <c r="Y42" s="36">
        <v>0.33353107843166602</v>
      </c>
    </row>
    <row r="43" spans="1:25" x14ac:dyDescent="0.3">
      <c r="A43" s="5">
        <f>A42+1</f>
        <v>41</v>
      </c>
      <c r="B43" s="5" t="s">
        <v>30</v>
      </c>
      <c r="C43">
        <v>0.4</v>
      </c>
      <c r="D43">
        <v>5.0000000000000001E-3</v>
      </c>
      <c r="E43" s="40" t="s">
        <v>32</v>
      </c>
      <c r="F43">
        <v>1</v>
      </c>
      <c r="G43">
        <v>0.8</v>
      </c>
      <c r="H43" s="56">
        <v>1560.66971712392</v>
      </c>
      <c r="I43">
        <v>7.54</v>
      </c>
      <c r="J43" s="17">
        <v>19.928164560376199</v>
      </c>
      <c r="K43" s="36">
        <v>19.928164560376199</v>
      </c>
      <c r="L43">
        <v>30</v>
      </c>
      <c r="M43" s="24">
        <v>1.0652261887304362E-2</v>
      </c>
      <c r="N43">
        <v>2.5</v>
      </c>
      <c r="O43">
        <v>25</v>
      </c>
      <c r="P43" s="24">
        <v>1.19490265157905E-2</v>
      </c>
      <c r="Q43">
        <v>2</v>
      </c>
      <c r="R43" s="40" t="s">
        <v>32</v>
      </c>
      <c r="S43" s="40" t="s">
        <v>32</v>
      </c>
      <c r="T43" s="31">
        <v>25.491717189158479</v>
      </c>
      <c r="U43" s="24">
        <f>M43</f>
        <v>1.0652261887304362E-2</v>
      </c>
      <c r="V43" s="40" t="s">
        <v>32</v>
      </c>
      <c r="W43" s="40" t="s">
        <v>32</v>
      </c>
      <c r="X43" s="51">
        <v>0.453443328550932</v>
      </c>
      <c r="Y43" s="36">
        <v>0.30017797058849899</v>
      </c>
    </row>
    <row r="44" spans="1:25" x14ac:dyDescent="0.3">
      <c r="A44" s="5">
        <f>A43+1</f>
        <v>42</v>
      </c>
      <c r="B44" s="5" t="s">
        <v>30</v>
      </c>
      <c r="C44">
        <v>0.4</v>
      </c>
      <c r="D44">
        <v>5.0000000000000001E-3</v>
      </c>
      <c r="E44" s="40" t="s">
        <v>32</v>
      </c>
      <c r="F44">
        <v>1</v>
      </c>
      <c r="G44" s="17">
        <v>0.66666666666666663</v>
      </c>
      <c r="H44" s="56">
        <v>1870.5631585956</v>
      </c>
      <c r="I44">
        <v>7.54</v>
      </c>
      <c r="J44" s="17">
        <v>19.939349264335899</v>
      </c>
      <c r="K44" s="36">
        <v>19.939349264335899</v>
      </c>
      <c r="L44">
        <v>30</v>
      </c>
      <c r="M44" s="24">
        <v>1.0652261887304362E-2</v>
      </c>
      <c r="N44">
        <v>3</v>
      </c>
      <c r="O44">
        <v>25</v>
      </c>
      <c r="P44" s="24">
        <v>1.19490265157905E-2</v>
      </c>
      <c r="Q44">
        <v>2</v>
      </c>
      <c r="R44" s="40" t="s">
        <v>32</v>
      </c>
      <c r="S44" s="40" t="s">
        <v>32</v>
      </c>
      <c r="T44" s="31">
        <v>25.898610931222247</v>
      </c>
      <c r="U44" s="24">
        <f>M44</f>
        <v>1.0652261887304362E-2</v>
      </c>
      <c r="V44" s="40" t="s">
        <v>32</v>
      </c>
      <c r="W44" s="40" t="s">
        <v>32</v>
      </c>
      <c r="X44" s="51">
        <v>0.41251793400286901</v>
      </c>
      <c r="Y44" s="36">
        <v>0.27349548431396598</v>
      </c>
    </row>
    <row r="45" spans="1:25" x14ac:dyDescent="0.3">
      <c r="A45" s="5">
        <f>A44+1</f>
        <v>43</v>
      </c>
      <c r="B45" s="5" t="s">
        <v>30</v>
      </c>
      <c r="C45">
        <v>0.4</v>
      </c>
      <c r="D45">
        <v>5.0000000000000001E-3</v>
      </c>
      <c r="E45" s="40" t="s">
        <v>32</v>
      </c>
      <c r="F45">
        <v>1</v>
      </c>
      <c r="G45" s="17">
        <v>0.5714285714285714</v>
      </c>
      <c r="H45" s="56">
        <v>2180.3225706896101</v>
      </c>
      <c r="I45">
        <v>7.54</v>
      </c>
      <c r="J45" s="17">
        <v>19.947924749813598</v>
      </c>
      <c r="K45" s="36">
        <v>19.947924749813598</v>
      </c>
      <c r="L45">
        <v>30</v>
      </c>
      <c r="M45" s="24">
        <v>1.0652261887304362E-2</v>
      </c>
      <c r="N45">
        <v>3.5</v>
      </c>
      <c r="O45">
        <v>25</v>
      </c>
      <c r="P45" s="24">
        <v>1.19490265157905E-2</v>
      </c>
      <c r="Q45">
        <v>2</v>
      </c>
      <c r="R45" s="40" t="s">
        <v>32</v>
      </c>
      <c r="S45" s="40" t="s">
        <v>32</v>
      </c>
      <c r="T45" s="31">
        <v>26.210646009492013</v>
      </c>
      <c r="U45" s="24">
        <f>M45</f>
        <v>1.0652261887304362E-2</v>
      </c>
      <c r="V45" s="40" t="s">
        <v>32</v>
      </c>
      <c r="W45" s="40" t="s">
        <v>32</v>
      </c>
      <c r="X45" s="51">
        <v>0.381133428981348</v>
      </c>
      <c r="Y45" s="36">
        <v>0.25348361960806598</v>
      </c>
    </row>
    <row r="46" spans="1:25" x14ac:dyDescent="0.3">
      <c r="A46" s="5">
        <f>A45+1</f>
        <v>44</v>
      </c>
      <c r="B46" s="5" t="s">
        <v>31</v>
      </c>
      <c r="C46">
        <v>0.4</v>
      </c>
      <c r="D46">
        <v>5.0000000000000001E-3</v>
      </c>
      <c r="E46" s="40" t="s">
        <v>32</v>
      </c>
      <c r="F46">
        <v>1</v>
      </c>
      <c r="G46" s="17">
        <v>1.3333333333333333</v>
      </c>
      <c r="H46" s="56">
        <v>939.28456070579102</v>
      </c>
      <c r="I46">
        <v>7.54</v>
      </c>
      <c r="J46" s="17">
        <v>19.8994705525783</v>
      </c>
      <c r="K46" s="36">
        <v>19.8994705525783</v>
      </c>
      <c r="L46">
        <v>30</v>
      </c>
      <c r="M46" s="24">
        <v>1.0652261887304362E-2</v>
      </c>
      <c r="N46">
        <v>1.5</v>
      </c>
      <c r="O46">
        <v>25</v>
      </c>
      <c r="P46" s="24">
        <v>1.19490265157905E-2</v>
      </c>
      <c r="Q46">
        <v>2</v>
      </c>
      <c r="R46" s="40" t="s">
        <v>32</v>
      </c>
      <c r="S46" s="40" t="s">
        <v>32</v>
      </c>
      <c r="T46" s="31">
        <v>24.44827188742439</v>
      </c>
      <c r="U46" s="24">
        <f>M46</f>
        <v>1.0652261887304362E-2</v>
      </c>
      <c r="V46" s="40" t="s">
        <v>32</v>
      </c>
      <c r="W46" s="40" t="s">
        <v>32</v>
      </c>
      <c r="X46" s="51">
        <v>0.55839311334289798</v>
      </c>
      <c r="Y46" s="36">
        <v>0.37355480784346501</v>
      </c>
    </row>
    <row r="47" spans="1:25" x14ac:dyDescent="0.3">
      <c r="A47" s="5">
        <f>A46+1</f>
        <v>45</v>
      </c>
      <c r="B47" s="5" t="s">
        <v>31</v>
      </c>
      <c r="C47">
        <v>0.4</v>
      </c>
      <c r="D47">
        <v>5.0000000000000001E-3</v>
      </c>
      <c r="E47" s="40" t="s">
        <v>32</v>
      </c>
      <c r="F47">
        <v>1</v>
      </c>
      <c r="G47">
        <v>1</v>
      </c>
      <c r="H47" s="56">
        <v>1249.78423990493</v>
      </c>
      <c r="I47">
        <v>7.54</v>
      </c>
      <c r="J47" s="17">
        <v>19.9188305690619</v>
      </c>
      <c r="K47" s="36">
        <v>19.9188305690619</v>
      </c>
      <c r="L47">
        <v>30</v>
      </c>
      <c r="M47" s="24">
        <v>1.0652261887304362E-2</v>
      </c>
      <c r="N47">
        <v>2</v>
      </c>
      <c r="O47">
        <v>25</v>
      </c>
      <c r="P47" s="24">
        <v>1.19490265157905E-2</v>
      </c>
      <c r="Q47">
        <v>2</v>
      </c>
      <c r="R47" s="40" t="s">
        <v>32</v>
      </c>
      <c r="S47" s="40" t="s">
        <v>32</v>
      </c>
      <c r="T47" s="31">
        <v>25.152223024000975</v>
      </c>
      <c r="U47" s="24">
        <f>M47</f>
        <v>1.0652261887304362E-2</v>
      </c>
      <c r="V47" s="40" t="s">
        <v>32</v>
      </c>
      <c r="W47" s="40" t="s">
        <v>32</v>
      </c>
      <c r="X47" s="51">
        <v>0.487589670014347</v>
      </c>
      <c r="Y47" s="36">
        <v>0.32018983529439898</v>
      </c>
    </row>
    <row r="48" spans="1:25" x14ac:dyDescent="0.3">
      <c r="A48" s="5">
        <f>A47+1</f>
        <v>46</v>
      </c>
      <c r="B48" s="5" t="s">
        <v>31</v>
      </c>
      <c r="C48">
        <v>0.4</v>
      </c>
      <c r="D48">
        <v>5.0000000000000001E-3</v>
      </c>
      <c r="E48" s="40" t="s">
        <v>32</v>
      </c>
      <c r="F48">
        <v>1</v>
      </c>
      <c r="G48">
        <v>0.8</v>
      </c>
      <c r="H48" s="56">
        <v>1559.8560026078201</v>
      </c>
      <c r="I48">
        <v>7.54</v>
      </c>
      <c r="J48" s="17">
        <v>19.9330367413787</v>
      </c>
      <c r="K48" s="36">
        <v>19.9330367413787</v>
      </c>
      <c r="L48">
        <v>30</v>
      </c>
      <c r="M48" s="24">
        <v>1.0652261887304362E-2</v>
      </c>
      <c r="N48">
        <v>2.5</v>
      </c>
      <c r="O48">
        <v>25</v>
      </c>
      <c r="P48" s="24">
        <v>1.19490265157905E-2</v>
      </c>
      <c r="Q48">
        <v>2</v>
      </c>
      <c r="R48" s="40" t="s">
        <v>32</v>
      </c>
      <c r="S48" s="40" t="s">
        <v>32</v>
      </c>
      <c r="T48" s="31">
        <v>25.668953113615707</v>
      </c>
      <c r="U48" s="24">
        <f>M48</f>
        <v>1.0652261887304362E-2</v>
      </c>
      <c r="V48" s="40" t="s">
        <v>32</v>
      </c>
      <c r="W48" s="40" t="s">
        <v>32</v>
      </c>
      <c r="X48" s="51">
        <v>0.43561692969870802</v>
      </c>
      <c r="Y48" s="36">
        <v>0.28683672745123201</v>
      </c>
    </row>
    <row r="49" spans="1:25" x14ac:dyDescent="0.3">
      <c r="A49" s="5">
        <f>A48+1</f>
        <v>47</v>
      </c>
      <c r="B49" s="5" t="s">
        <v>31</v>
      </c>
      <c r="C49">
        <v>0.4</v>
      </c>
      <c r="D49">
        <v>5.0000000000000001E-3</v>
      </c>
      <c r="E49" s="40" t="s">
        <v>32</v>
      </c>
      <c r="F49">
        <v>1</v>
      </c>
      <c r="G49" s="17">
        <v>0.66666666666666663</v>
      </c>
      <c r="H49" s="56">
        <v>1869.6571942944399</v>
      </c>
      <c r="I49">
        <v>7.54</v>
      </c>
      <c r="J49" s="17">
        <v>19.943877308972901</v>
      </c>
      <c r="K49" s="36">
        <v>19.943877308972901</v>
      </c>
      <c r="L49">
        <v>30</v>
      </c>
      <c r="M49" s="24">
        <v>1.0652261887304362E-2</v>
      </c>
      <c r="N49">
        <v>3</v>
      </c>
      <c r="O49">
        <v>25</v>
      </c>
      <c r="P49" s="24">
        <v>1.19490265157905E-2</v>
      </c>
      <c r="Q49">
        <v>2</v>
      </c>
      <c r="R49" s="40" t="s">
        <v>32</v>
      </c>
      <c r="S49" s="40" t="s">
        <v>32</v>
      </c>
      <c r="T49" s="31">
        <v>26.06336545254868</v>
      </c>
      <c r="U49" s="24">
        <f>M49</f>
        <v>1.0652261887304362E-2</v>
      </c>
      <c r="V49" s="40" t="s">
        <v>32</v>
      </c>
      <c r="W49" s="40" t="s">
        <v>32</v>
      </c>
      <c r="X49" s="51">
        <v>0.395946915351506</v>
      </c>
      <c r="Y49" s="36">
        <v>0.260154241176699</v>
      </c>
    </row>
    <row r="50" spans="1:25" x14ac:dyDescent="0.3">
      <c r="A50" s="5">
        <f>A49+1</f>
        <v>48</v>
      </c>
      <c r="B50" s="5" t="s">
        <v>31</v>
      </c>
      <c r="C50">
        <v>0.4</v>
      </c>
      <c r="D50">
        <v>5.0000000000000001E-3</v>
      </c>
      <c r="E50" s="40" t="s">
        <v>32</v>
      </c>
      <c r="F50">
        <v>1</v>
      </c>
      <c r="G50" s="17">
        <v>0.5714285714285714</v>
      </c>
      <c r="H50" s="56">
        <v>2179.1712755359399</v>
      </c>
      <c r="I50">
        <v>7.54</v>
      </c>
      <c r="J50" s="17">
        <v>19.952863543680699</v>
      </c>
      <c r="K50" s="36">
        <v>19.952863543680699</v>
      </c>
      <c r="L50">
        <v>30</v>
      </c>
      <c r="M50" s="24">
        <v>1.0652261887304362E-2</v>
      </c>
      <c r="N50">
        <v>3.5</v>
      </c>
      <c r="O50">
        <v>25</v>
      </c>
      <c r="P50" s="24">
        <v>1.19490265157905E-2</v>
      </c>
      <c r="Q50">
        <v>2</v>
      </c>
      <c r="R50" s="40" t="s">
        <v>32</v>
      </c>
      <c r="S50" s="40" t="s">
        <v>32</v>
      </c>
      <c r="T50" s="31">
        <v>26.390378214575396</v>
      </c>
      <c r="U50" s="24">
        <f>M50</f>
        <v>1.0652261887304362E-2</v>
      </c>
      <c r="V50" s="40" t="s">
        <v>32</v>
      </c>
      <c r="W50" s="40" t="s">
        <v>32</v>
      </c>
      <c r="X50" s="51">
        <v>0.36305595408895203</v>
      </c>
      <c r="Y50" s="36">
        <v>0.240142376470799</v>
      </c>
    </row>
    <row r="51" spans="1:25" x14ac:dyDescent="0.3">
      <c r="A51" s="5">
        <f>A50+1</f>
        <v>49</v>
      </c>
      <c r="B51" s="5" t="s">
        <v>30</v>
      </c>
      <c r="C51">
        <v>0.4</v>
      </c>
      <c r="D51">
        <v>4.0000000000000001E-3</v>
      </c>
      <c r="E51" s="40" t="s">
        <v>32</v>
      </c>
      <c r="F51">
        <v>1</v>
      </c>
      <c r="G51" s="17">
        <v>0.33333333333333331</v>
      </c>
      <c r="H51" s="56">
        <v>1496.9529008335201</v>
      </c>
      <c r="I51">
        <v>7.54</v>
      </c>
      <c r="J51" s="17">
        <v>24.9202656156803</v>
      </c>
      <c r="K51" s="36">
        <v>24.9202656156803</v>
      </c>
      <c r="L51">
        <v>30</v>
      </c>
      <c r="M51" s="24">
        <v>1.0652261887304362E-2</v>
      </c>
      <c r="N51">
        <v>3</v>
      </c>
      <c r="O51">
        <v>25</v>
      </c>
      <c r="P51" s="24">
        <v>1.19490265157905E-2</v>
      </c>
      <c r="Q51">
        <v>1</v>
      </c>
      <c r="R51" s="40" t="s">
        <v>32</v>
      </c>
      <c r="S51" s="40" t="s">
        <v>32</v>
      </c>
      <c r="T51" s="31">
        <v>25.784487358208011</v>
      </c>
      <c r="U51" s="24">
        <f>M51</f>
        <v>1.0652261887304362E-2</v>
      </c>
      <c r="V51" s="40" t="s">
        <v>32</v>
      </c>
      <c r="W51" s="40" t="s">
        <v>32</v>
      </c>
      <c r="X51" s="51">
        <v>0.42399648913904098</v>
      </c>
      <c r="Y51" s="36">
        <v>0.28016610588259899</v>
      </c>
    </row>
    <row r="52" spans="1:25" x14ac:dyDescent="0.3">
      <c r="A52" s="5">
        <f>A51+1</f>
        <v>50</v>
      </c>
      <c r="B52" s="5" t="s">
        <v>30</v>
      </c>
      <c r="C52">
        <v>0.4</v>
      </c>
      <c r="D52">
        <v>4.0000000000000001E-3</v>
      </c>
      <c r="E52" s="40" t="s">
        <v>32</v>
      </c>
      <c r="F52">
        <v>1</v>
      </c>
      <c r="G52">
        <v>0.5</v>
      </c>
      <c r="H52" s="56">
        <v>1498.6551688475299</v>
      </c>
      <c r="I52">
        <v>7.54</v>
      </c>
      <c r="J52" s="17">
        <v>24.906993562958998</v>
      </c>
      <c r="K52" s="36">
        <v>24.906993562958998</v>
      </c>
      <c r="L52">
        <v>30</v>
      </c>
      <c r="M52" s="24">
        <v>1.0652261887304362E-2</v>
      </c>
      <c r="N52">
        <v>3</v>
      </c>
      <c r="O52">
        <v>25</v>
      </c>
      <c r="P52" s="24">
        <v>1.19490265157905E-2</v>
      </c>
      <c r="Q52">
        <v>1.5</v>
      </c>
      <c r="R52" s="40" t="s">
        <v>32</v>
      </c>
      <c r="S52" s="40" t="s">
        <v>32</v>
      </c>
      <c r="T52" s="31">
        <v>25.398245683896366</v>
      </c>
      <c r="U52" s="24">
        <f>M52</f>
        <v>1.0652261887304362E-2</v>
      </c>
      <c r="V52" s="40" t="s">
        <v>32</v>
      </c>
      <c r="W52" s="40" t="s">
        <v>32</v>
      </c>
      <c r="X52" s="51">
        <v>0.46284469759743302</v>
      </c>
      <c r="Y52" s="36">
        <v>0.30684859215713201</v>
      </c>
    </row>
    <row r="53" spans="1:25" x14ac:dyDescent="0.3">
      <c r="A53" s="5">
        <f>A52+1</f>
        <v>51</v>
      </c>
      <c r="B53" s="5" t="s">
        <v>30</v>
      </c>
      <c r="C53">
        <v>0.4</v>
      </c>
      <c r="D53">
        <v>4.0000000000000001E-3</v>
      </c>
      <c r="E53" s="40" t="s">
        <v>32</v>
      </c>
      <c r="F53">
        <v>1</v>
      </c>
      <c r="G53" s="17">
        <v>0.66666666666666663</v>
      </c>
      <c r="H53" s="56">
        <v>1499.82087347072</v>
      </c>
      <c r="I53">
        <v>7.54</v>
      </c>
      <c r="J53" s="17">
        <v>24.8979173165412</v>
      </c>
      <c r="K53" s="36">
        <v>24.8979173165412</v>
      </c>
      <c r="L53">
        <v>30</v>
      </c>
      <c r="M53" s="24">
        <v>1.0652261887304362E-2</v>
      </c>
      <c r="N53">
        <v>3</v>
      </c>
      <c r="O53">
        <v>25</v>
      </c>
      <c r="P53" s="24">
        <v>1.19490265157905E-2</v>
      </c>
      <c r="Q53">
        <v>2</v>
      </c>
      <c r="R53" s="40" t="s">
        <v>32</v>
      </c>
      <c r="S53" s="40" t="s">
        <v>32</v>
      </c>
      <c r="T53" s="31">
        <v>25.134158395712085</v>
      </c>
      <c r="U53" s="24">
        <f>M53</f>
        <v>1.0652261887304362E-2</v>
      </c>
      <c r="V53" s="40" t="s">
        <v>32</v>
      </c>
      <c r="W53" s="40" t="s">
        <v>32</v>
      </c>
      <c r="X53" s="51">
        <v>0.48940661130308999</v>
      </c>
      <c r="Y53" s="36">
        <v>0.326860456863032</v>
      </c>
    </row>
    <row r="54" spans="1:25" x14ac:dyDescent="0.3">
      <c r="A54" s="5">
        <f>A53+1</f>
        <v>52</v>
      </c>
      <c r="B54" s="5" t="s">
        <v>30</v>
      </c>
      <c r="C54">
        <v>0.4</v>
      </c>
      <c r="D54">
        <v>4.0000000000000001E-3</v>
      </c>
      <c r="E54" s="40" t="s">
        <v>32</v>
      </c>
      <c r="F54">
        <v>1</v>
      </c>
      <c r="G54" s="17">
        <v>0.83333333333333337</v>
      </c>
      <c r="H54" s="56">
        <v>1500.5154810803399</v>
      </c>
      <c r="I54">
        <v>7.54</v>
      </c>
      <c r="J54" s="17">
        <v>24.892513839147099</v>
      </c>
      <c r="K54" s="36">
        <v>24.892513839147099</v>
      </c>
      <c r="L54">
        <v>30</v>
      </c>
      <c r="M54" s="24">
        <v>1.0652261887304362E-2</v>
      </c>
      <c r="N54">
        <v>3</v>
      </c>
      <c r="O54">
        <v>25</v>
      </c>
      <c r="P54" s="24">
        <v>1.19490265157905E-2</v>
      </c>
      <c r="Q54">
        <v>2.5</v>
      </c>
      <c r="R54" s="40" t="s">
        <v>32</v>
      </c>
      <c r="S54" s="40" t="s">
        <v>32</v>
      </c>
      <c r="T54" s="31">
        <v>24.976954669771473</v>
      </c>
      <c r="U54" s="24">
        <f>M54</f>
        <v>1.0652261887304362E-2</v>
      </c>
      <c r="V54" s="40" t="s">
        <v>32</v>
      </c>
      <c r="W54" s="40" t="s">
        <v>32</v>
      </c>
      <c r="X54" s="51">
        <v>0.50521817054682205</v>
      </c>
      <c r="Y54" s="36">
        <v>0.33353107843166602</v>
      </c>
    </row>
    <row r="55" spans="1:25" x14ac:dyDescent="0.3">
      <c r="A55" s="5">
        <f>A54+1</f>
        <v>53</v>
      </c>
      <c r="B55" s="5" t="s">
        <v>30</v>
      </c>
      <c r="C55">
        <v>0.4</v>
      </c>
      <c r="D55">
        <v>4.0000000000000001E-3</v>
      </c>
      <c r="E55" s="40" t="s">
        <v>32</v>
      </c>
      <c r="F55">
        <v>1</v>
      </c>
      <c r="G55">
        <v>1</v>
      </c>
      <c r="H55" s="56">
        <v>1500.9773042315701</v>
      </c>
      <c r="I55">
        <v>7.54</v>
      </c>
      <c r="J55" s="17">
        <v>24.888923206722399</v>
      </c>
      <c r="K55" s="36">
        <v>24.888923206722399</v>
      </c>
      <c r="L55">
        <v>30</v>
      </c>
      <c r="M55" s="24">
        <v>1.0652261887304362E-2</v>
      </c>
      <c r="N55">
        <v>3</v>
      </c>
      <c r="O55">
        <v>25</v>
      </c>
      <c r="P55" s="24">
        <v>1.19490265157905E-2</v>
      </c>
      <c r="Q55">
        <v>3</v>
      </c>
      <c r="R55" s="40" t="s">
        <v>32</v>
      </c>
      <c r="S55" s="40" t="s">
        <v>32</v>
      </c>
      <c r="T55" s="31">
        <v>24.872499891057917</v>
      </c>
      <c r="U55" s="24">
        <f>M55</f>
        <v>1.0652261887304362E-2</v>
      </c>
      <c r="V55" s="40" t="s">
        <v>32</v>
      </c>
      <c r="W55" s="40" t="s">
        <v>32</v>
      </c>
      <c r="X55" s="51">
        <v>0.51572423783013999</v>
      </c>
      <c r="Y55" s="36">
        <v>0.34020170000029898</v>
      </c>
    </row>
    <row r="56" spans="1:25" x14ac:dyDescent="0.3">
      <c r="A56" s="5">
        <f>A55+1</f>
        <v>54</v>
      </c>
      <c r="B56" s="5" t="s">
        <v>31</v>
      </c>
      <c r="C56">
        <v>0.4</v>
      </c>
      <c r="D56">
        <v>4.0000000000000001E-3</v>
      </c>
      <c r="E56" s="40" t="s">
        <v>32</v>
      </c>
      <c r="F56">
        <v>1</v>
      </c>
      <c r="G56" s="17">
        <v>0.33333333333333331</v>
      </c>
      <c r="H56" s="56">
        <v>1496.2624868682001</v>
      </c>
      <c r="I56">
        <v>7.54</v>
      </c>
      <c r="J56" s="17">
        <v>24.925654691317</v>
      </c>
      <c r="K56" s="36">
        <v>24.925654691317</v>
      </c>
      <c r="L56">
        <v>30</v>
      </c>
      <c r="M56" s="24">
        <v>1.0652261887304362E-2</v>
      </c>
      <c r="N56">
        <v>3</v>
      </c>
      <c r="O56">
        <v>25</v>
      </c>
      <c r="P56" s="24">
        <v>1.19490265157905E-2</v>
      </c>
      <c r="Q56">
        <v>1</v>
      </c>
      <c r="R56" s="40" t="s">
        <v>32</v>
      </c>
      <c r="S56" s="40" t="s">
        <v>32</v>
      </c>
      <c r="T56" s="31">
        <v>25.941343650122718</v>
      </c>
      <c r="U56" s="24">
        <f>M56</f>
        <v>1.0652261887304362E-2</v>
      </c>
      <c r="V56" s="40" t="s">
        <v>32</v>
      </c>
      <c r="W56" s="40" t="s">
        <v>32</v>
      </c>
      <c r="X56" s="51">
        <v>0.408219874828395</v>
      </c>
      <c r="Y56" s="36">
        <v>0.27349548431396598</v>
      </c>
    </row>
    <row r="57" spans="1:25" x14ac:dyDescent="0.3">
      <c r="A57" s="5">
        <f>A56+1</f>
        <v>55</v>
      </c>
      <c r="B57" s="5" t="s">
        <v>31</v>
      </c>
      <c r="C57">
        <v>0.4</v>
      </c>
      <c r="D57">
        <v>4.0000000000000001E-3</v>
      </c>
      <c r="E57" s="40" t="s">
        <v>32</v>
      </c>
      <c r="F57">
        <v>1</v>
      </c>
      <c r="G57">
        <v>0.5</v>
      </c>
      <c r="H57" s="56">
        <v>1497.9696036360001</v>
      </c>
      <c r="I57">
        <v>7.54</v>
      </c>
      <c r="J57" s="17">
        <v>24.9123361155678</v>
      </c>
      <c r="K57" s="36">
        <v>24.9123361155678</v>
      </c>
      <c r="L57">
        <v>30</v>
      </c>
      <c r="M57" s="24">
        <v>1.0652261887304362E-2</v>
      </c>
      <c r="N57">
        <v>3</v>
      </c>
      <c r="O57">
        <v>25</v>
      </c>
      <c r="P57" s="24">
        <v>1.19490265157905E-2</v>
      </c>
      <c r="Q57">
        <v>1.5</v>
      </c>
      <c r="R57" s="40" t="s">
        <v>32</v>
      </c>
      <c r="S57" s="40" t="s">
        <v>32</v>
      </c>
      <c r="T57" s="31">
        <v>25.553713867033061</v>
      </c>
      <c r="U57" s="24">
        <f>M57</f>
        <v>1.0652261887304362E-2</v>
      </c>
      <c r="V57" s="40" t="s">
        <v>32</v>
      </c>
      <c r="W57" s="40" t="s">
        <v>32</v>
      </c>
      <c r="X57" s="51">
        <v>0.44720769934263399</v>
      </c>
      <c r="Y57" s="36">
        <v>0.29350734901986603</v>
      </c>
    </row>
    <row r="58" spans="1:25" x14ac:dyDescent="0.3">
      <c r="A58" s="5">
        <f>A57+1</f>
        <v>56</v>
      </c>
      <c r="B58" s="5" t="s">
        <v>31</v>
      </c>
      <c r="C58">
        <v>0.4</v>
      </c>
      <c r="D58">
        <v>4.0000000000000001E-3</v>
      </c>
      <c r="E58" s="40" t="s">
        <v>32</v>
      </c>
      <c r="F58">
        <v>1</v>
      </c>
      <c r="G58" s="17">
        <v>0.66666666666666663</v>
      </c>
      <c r="H58" s="56">
        <v>1499.00579707068</v>
      </c>
      <c r="I58">
        <v>7.54</v>
      </c>
      <c r="J58" s="17">
        <v>24.904262492613299</v>
      </c>
      <c r="K58" s="36">
        <v>24.904262492613299</v>
      </c>
      <c r="L58">
        <v>30</v>
      </c>
      <c r="M58" s="24">
        <v>1.0652261887304362E-2</v>
      </c>
      <c r="N58">
        <v>3</v>
      </c>
      <c r="O58">
        <v>25</v>
      </c>
      <c r="P58" s="24">
        <v>1.19490265157905E-2</v>
      </c>
      <c r="Q58">
        <v>2</v>
      </c>
      <c r="R58" s="40" t="s">
        <v>32</v>
      </c>
      <c r="S58" s="40" t="s">
        <v>32</v>
      </c>
      <c r="T58" s="31">
        <v>25.318776863186926</v>
      </c>
      <c r="U58" s="24">
        <f>M58</f>
        <v>1.0652261887304362E-2</v>
      </c>
      <c r="V58" s="40" t="s">
        <v>32</v>
      </c>
      <c r="W58" s="40" t="s">
        <v>32</v>
      </c>
      <c r="X58" s="51">
        <v>0.470837675875515</v>
      </c>
      <c r="Y58" s="36">
        <v>0.31351921372576602</v>
      </c>
    </row>
    <row r="59" spans="1:25" x14ac:dyDescent="0.3">
      <c r="A59" s="5">
        <f>A58+1</f>
        <v>57</v>
      </c>
      <c r="B59" s="5" t="s">
        <v>31</v>
      </c>
      <c r="C59">
        <v>0.4</v>
      </c>
      <c r="D59">
        <v>4.0000000000000001E-3</v>
      </c>
      <c r="E59" s="40" t="s">
        <v>32</v>
      </c>
      <c r="F59">
        <v>1</v>
      </c>
      <c r="G59" s="17">
        <v>0.83333333333333337</v>
      </c>
      <c r="H59" s="56">
        <v>1499.7488377754601</v>
      </c>
      <c r="I59">
        <v>7.54</v>
      </c>
      <c r="J59" s="17">
        <v>24.8984778992956</v>
      </c>
      <c r="K59" s="36">
        <v>24.8984778992956</v>
      </c>
      <c r="L59">
        <v>30</v>
      </c>
      <c r="M59" s="24">
        <v>1.0652261887304362E-2</v>
      </c>
      <c r="N59">
        <v>3</v>
      </c>
      <c r="O59">
        <v>25</v>
      </c>
      <c r="P59" s="24">
        <v>1.19490265157905E-2</v>
      </c>
      <c r="Q59">
        <v>2.5</v>
      </c>
      <c r="R59" s="40" t="s">
        <v>32</v>
      </c>
      <c r="S59" s="40" t="s">
        <v>32</v>
      </c>
      <c r="T59" s="31">
        <v>25.150468267022255</v>
      </c>
      <c r="U59" s="24">
        <f>M59</f>
        <v>1.0652261887304362E-2</v>
      </c>
      <c r="V59" s="40" t="s">
        <v>32</v>
      </c>
      <c r="W59" s="40" t="s">
        <v>32</v>
      </c>
      <c r="X59" s="51">
        <v>0.48776616356601898</v>
      </c>
      <c r="Y59" s="36">
        <v>0.32018983529439898</v>
      </c>
    </row>
    <row r="60" spans="1:25" x14ac:dyDescent="0.3">
      <c r="A60" s="5">
        <f>A59+1</f>
        <v>58</v>
      </c>
      <c r="B60" s="5" t="s">
        <v>31</v>
      </c>
      <c r="C60">
        <v>0.4</v>
      </c>
      <c r="D60">
        <v>4.0000000000000001E-3</v>
      </c>
      <c r="E60" s="40" t="s">
        <v>32</v>
      </c>
      <c r="F60">
        <v>1</v>
      </c>
      <c r="G60">
        <v>1</v>
      </c>
      <c r="H60" s="56">
        <v>1500.1734780832101</v>
      </c>
      <c r="I60">
        <v>7.54</v>
      </c>
      <c r="J60" s="17">
        <v>24.895173896249901</v>
      </c>
      <c r="K60" s="36">
        <v>24.895173896249901</v>
      </c>
      <c r="L60">
        <v>30</v>
      </c>
      <c r="M60" s="24">
        <v>1.0652261887304362E-2</v>
      </c>
      <c r="N60">
        <v>3</v>
      </c>
      <c r="O60">
        <v>25</v>
      </c>
      <c r="P60" s="24">
        <v>1.19490265157905E-2</v>
      </c>
      <c r="Q60">
        <v>3</v>
      </c>
      <c r="R60" s="40" t="s">
        <v>32</v>
      </c>
      <c r="S60" s="40" t="s">
        <v>32</v>
      </c>
      <c r="T60" s="31">
        <v>25.054342140976729</v>
      </c>
      <c r="U60" s="24">
        <f>M60</f>
        <v>1.0652261887304362E-2</v>
      </c>
      <c r="V60" s="40" t="s">
        <v>32</v>
      </c>
      <c r="W60" s="40" t="s">
        <v>32</v>
      </c>
      <c r="X60" s="51">
        <v>0.49743453451425901</v>
      </c>
      <c r="Y60" s="36">
        <v>0.326860456863032</v>
      </c>
    </row>
    <row r="61" spans="1:25" x14ac:dyDescent="0.3">
      <c r="A61" s="5">
        <f>A60+1</f>
        <v>59</v>
      </c>
      <c r="B61" s="5" t="s">
        <v>30</v>
      </c>
      <c r="C61">
        <v>0.4</v>
      </c>
      <c r="D61">
        <v>5.0000000000000001E-3</v>
      </c>
      <c r="E61" s="40" t="s">
        <v>32</v>
      </c>
      <c r="F61">
        <v>1</v>
      </c>
      <c r="G61" s="17">
        <v>0.33333333333333331</v>
      </c>
      <c r="H61" s="56">
        <v>1868.0171746030001</v>
      </c>
      <c r="I61">
        <v>7.54</v>
      </c>
      <c r="J61" s="17">
        <v>19.952082150776501</v>
      </c>
      <c r="K61" s="36">
        <v>19.952082150776501</v>
      </c>
      <c r="L61">
        <v>30</v>
      </c>
      <c r="M61" s="24">
        <v>1.0652261887304362E-2</v>
      </c>
      <c r="N61">
        <v>3</v>
      </c>
      <c r="O61">
        <v>25</v>
      </c>
      <c r="P61" s="24">
        <v>1.19490265157905E-2</v>
      </c>
      <c r="Q61">
        <v>1</v>
      </c>
      <c r="R61" s="40" t="s">
        <v>32</v>
      </c>
      <c r="S61" s="40" t="s">
        <v>32</v>
      </c>
      <c r="T61" s="31">
        <v>26.361940609858607</v>
      </c>
      <c r="U61" s="24">
        <f>M61</f>
        <v>1.0652261887304362E-2</v>
      </c>
      <c r="V61" s="40" t="s">
        <v>32</v>
      </c>
      <c r="W61" s="40" t="s">
        <v>32</v>
      </c>
      <c r="X61" s="51">
        <v>0.36591620990692902</v>
      </c>
      <c r="Y61" s="36">
        <v>0.240142376470799</v>
      </c>
    </row>
    <row r="62" spans="1:25" x14ac:dyDescent="0.3">
      <c r="A62" s="5">
        <f>A61+1</f>
        <v>60</v>
      </c>
      <c r="B62" s="5" t="s">
        <v>30</v>
      </c>
      <c r="C62">
        <v>0.4</v>
      </c>
      <c r="D62">
        <v>5.0000000000000001E-3</v>
      </c>
      <c r="E62" s="40" t="s">
        <v>32</v>
      </c>
      <c r="F62">
        <v>1</v>
      </c>
      <c r="G62">
        <v>0.5</v>
      </c>
      <c r="H62" s="56">
        <v>1869.7270522545</v>
      </c>
      <c r="I62">
        <v>7.54</v>
      </c>
      <c r="J62" s="17">
        <v>19.943528044919301</v>
      </c>
      <c r="K62" s="36">
        <v>19.943528044919301</v>
      </c>
      <c r="L62">
        <v>30</v>
      </c>
      <c r="M62" s="24">
        <v>1.0652261887304362E-2</v>
      </c>
      <c r="N62">
        <v>3</v>
      </c>
      <c r="O62">
        <v>25</v>
      </c>
      <c r="P62" s="24">
        <v>1.19490265157905E-2</v>
      </c>
      <c r="Q62">
        <v>1.5</v>
      </c>
      <c r="R62" s="40" t="s">
        <v>32</v>
      </c>
      <c r="S62" s="40" t="s">
        <v>32</v>
      </c>
      <c r="T62" s="31">
        <v>26.050656809559293</v>
      </c>
      <c r="U62" s="24">
        <f>M62</f>
        <v>1.0652261887304362E-2</v>
      </c>
      <c r="V62" s="40" t="s">
        <v>32</v>
      </c>
      <c r="W62" s="40" t="s">
        <v>32</v>
      </c>
      <c r="X62" s="51">
        <v>0.397225151349615</v>
      </c>
      <c r="Y62" s="36">
        <v>0.260154241176699</v>
      </c>
    </row>
    <row r="63" spans="1:25" x14ac:dyDescent="0.3">
      <c r="A63" s="5">
        <f>A62+1</f>
        <v>61</v>
      </c>
      <c r="B63" s="5" t="s">
        <v>30</v>
      </c>
      <c r="C63">
        <v>0.4</v>
      </c>
      <c r="D63">
        <v>5.0000000000000001E-3</v>
      </c>
      <c r="E63" s="40" t="s">
        <v>32</v>
      </c>
      <c r="F63">
        <v>1</v>
      </c>
      <c r="G63" s="17">
        <v>0.66666666666666663</v>
      </c>
      <c r="H63" s="56">
        <v>1870.5686195211799</v>
      </c>
      <c r="I63">
        <v>7.54</v>
      </c>
      <c r="J63" s="17">
        <v>19.939321979896398</v>
      </c>
      <c r="K63" s="36">
        <v>19.939321979896398</v>
      </c>
      <c r="L63">
        <v>30</v>
      </c>
      <c r="M63" s="24">
        <v>1.0652261887304362E-2</v>
      </c>
      <c r="N63">
        <v>3</v>
      </c>
      <c r="O63">
        <v>25</v>
      </c>
      <c r="P63" s="24">
        <v>1.19490265157905E-2</v>
      </c>
      <c r="Q63">
        <v>2</v>
      </c>
      <c r="R63" s="40" t="s">
        <v>32</v>
      </c>
      <c r="S63" s="40" t="s">
        <v>32</v>
      </c>
      <c r="T63" s="31">
        <v>25.897618223615524</v>
      </c>
      <c r="U63" s="24">
        <f>M63</f>
        <v>1.0652261887304362E-2</v>
      </c>
      <c r="V63" s="40" t="s">
        <v>32</v>
      </c>
      <c r="W63" s="40" t="s">
        <v>32</v>
      </c>
      <c r="X63" s="51">
        <v>0.41261778058755699</v>
      </c>
      <c r="Y63" s="36">
        <v>0.27349548431396598</v>
      </c>
    </row>
    <row r="64" spans="1:25" x14ac:dyDescent="0.3">
      <c r="A64" s="5">
        <f>A63+1</f>
        <v>62</v>
      </c>
      <c r="B64" s="5" t="s">
        <v>30</v>
      </c>
      <c r="C64">
        <v>0.4</v>
      </c>
      <c r="D64">
        <v>5.0000000000000001E-3</v>
      </c>
      <c r="E64" s="40" t="s">
        <v>32</v>
      </c>
      <c r="F64">
        <v>1</v>
      </c>
      <c r="G64" s="17">
        <v>0.83333333333333337</v>
      </c>
      <c r="H64" s="56">
        <v>1871.1204588452899</v>
      </c>
      <c r="I64">
        <v>7.54</v>
      </c>
      <c r="J64" s="17">
        <v>19.936565408635499</v>
      </c>
      <c r="K64" s="36">
        <v>19.936565408635499</v>
      </c>
      <c r="L64">
        <v>30</v>
      </c>
      <c r="M64" s="24">
        <v>1.0652261887304362E-2</v>
      </c>
      <c r="N64">
        <v>3</v>
      </c>
      <c r="O64">
        <v>25</v>
      </c>
      <c r="P64" s="24">
        <v>1.19490265157905E-2</v>
      </c>
      <c r="Q64">
        <v>2.5</v>
      </c>
      <c r="R64" s="40" t="s">
        <v>32</v>
      </c>
      <c r="S64" s="40" t="s">
        <v>32</v>
      </c>
      <c r="T64" s="31">
        <v>25.797326957573155</v>
      </c>
      <c r="U64" s="24">
        <f>M64</f>
        <v>1.0652261887304362E-2</v>
      </c>
      <c r="V64" s="40" t="s">
        <v>32</v>
      </c>
      <c r="W64" s="40" t="s">
        <v>32</v>
      </c>
      <c r="X64" s="51">
        <v>0.42270508154158698</v>
      </c>
      <c r="Y64" s="36">
        <v>0.28016610588259899</v>
      </c>
    </row>
    <row r="65" spans="1:25" x14ac:dyDescent="0.3">
      <c r="A65" s="5">
        <f>A64+1</f>
        <v>63</v>
      </c>
      <c r="B65" s="5" t="s">
        <v>30</v>
      </c>
      <c r="C65">
        <v>0.4</v>
      </c>
      <c r="D65">
        <v>5.0000000000000001E-3</v>
      </c>
      <c r="E65" s="40" t="s">
        <v>32</v>
      </c>
      <c r="F65">
        <v>1</v>
      </c>
      <c r="G65">
        <v>1</v>
      </c>
      <c r="H65" s="56">
        <v>1871.60376892306</v>
      </c>
      <c r="I65">
        <v>7.54</v>
      </c>
      <c r="J65" s="17">
        <v>19.934152109253102</v>
      </c>
      <c r="K65" s="36">
        <v>19.934152109253102</v>
      </c>
      <c r="L65">
        <v>30</v>
      </c>
      <c r="M65" s="24">
        <v>1.0652261887304362E-2</v>
      </c>
      <c r="N65">
        <v>3</v>
      </c>
      <c r="O65">
        <v>25</v>
      </c>
      <c r="P65" s="24">
        <v>1.19490265157905E-2</v>
      </c>
      <c r="Q65">
        <v>3</v>
      </c>
      <c r="R65" s="40" t="s">
        <v>32</v>
      </c>
      <c r="S65" s="40" t="s">
        <v>32</v>
      </c>
      <c r="T65" s="31">
        <v>25.709529484195681</v>
      </c>
      <c r="U65" s="24">
        <f>M65</f>
        <v>1.0652261887304362E-2</v>
      </c>
      <c r="V65" s="40" t="s">
        <v>32</v>
      </c>
      <c r="W65" s="40" t="s">
        <v>32</v>
      </c>
      <c r="X65" s="51">
        <v>0.43153575615474699</v>
      </c>
      <c r="Y65" s="36">
        <v>0.28683672745123201</v>
      </c>
    </row>
    <row r="66" spans="1:25" x14ac:dyDescent="0.3">
      <c r="A66" s="5">
        <f>A65+1</f>
        <v>64</v>
      </c>
      <c r="B66" s="5" t="s">
        <v>31</v>
      </c>
      <c r="C66">
        <v>0.4</v>
      </c>
      <c r="D66">
        <v>5.0000000000000001E-3</v>
      </c>
      <c r="E66" s="40" t="s">
        <v>32</v>
      </c>
      <c r="F66">
        <v>1</v>
      </c>
      <c r="G66" s="17">
        <v>0.33333333333333331</v>
      </c>
      <c r="H66" s="56">
        <v>1867.1489097172</v>
      </c>
      <c r="I66">
        <v>7.54</v>
      </c>
      <c r="J66" s="17">
        <v>19.956430144321999</v>
      </c>
      <c r="K66" s="36">
        <v>19.956430144321999</v>
      </c>
      <c r="L66">
        <v>30</v>
      </c>
      <c r="M66" s="24">
        <v>1.0652261887304362E-2</v>
      </c>
      <c r="N66">
        <v>3</v>
      </c>
      <c r="O66">
        <v>25</v>
      </c>
      <c r="P66" s="24">
        <v>1.19490265157905E-2</v>
      </c>
      <c r="Q66">
        <v>1</v>
      </c>
      <c r="R66" s="40" t="s">
        <v>32</v>
      </c>
      <c r="S66" s="40" t="s">
        <v>32</v>
      </c>
      <c r="T66" s="31">
        <v>26.520185010551319</v>
      </c>
      <c r="U66" s="24">
        <f>M66</f>
        <v>1.0652261887304362E-2</v>
      </c>
      <c r="V66" s="40" t="s">
        <v>32</v>
      </c>
      <c r="W66" s="40" t="s">
        <v>32</v>
      </c>
      <c r="X66" s="51">
        <v>0.34999997954043699</v>
      </c>
      <c r="Y66" s="36">
        <v>0.23347175490216601</v>
      </c>
    </row>
    <row r="67" spans="1:25" x14ac:dyDescent="0.3">
      <c r="A67" s="5">
        <f>A66+1</f>
        <v>65</v>
      </c>
      <c r="B67" s="5" t="s">
        <v>31</v>
      </c>
      <c r="C67">
        <v>0.4</v>
      </c>
      <c r="D67">
        <v>5.0000000000000001E-3</v>
      </c>
      <c r="E67" s="40" t="s">
        <v>32</v>
      </c>
      <c r="F67">
        <v>1</v>
      </c>
      <c r="G67">
        <v>0.5</v>
      </c>
      <c r="H67" s="56">
        <v>1868.7202640734499</v>
      </c>
      <c r="I67">
        <v>7.54</v>
      </c>
      <c r="J67" s="17">
        <v>19.948563413113298</v>
      </c>
      <c r="K67" s="36">
        <v>19.948563413113298</v>
      </c>
      <c r="L67">
        <v>30</v>
      </c>
      <c r="M67" s="24">
        <v>1.0652261887304362E-2</v>
      </c>
      <c r="N67">
        <v>3</v>
      </c>
      <c r="O67">
        <v>25</v>
      </c>
      <c r="P67" s="24">
        <v>1.19490265157905E-2</v>
      </c>
      <c r="Q67">
        <v>1.5</v>
      </c>
      <c r="R67" s="40" t="s">
        <v>32</v>
      </c>
      <c r="S67" s="40" t="s">
        <v>32</v>
      </c>
      <c r="T67" s="31">
        <v>26.233887168256118</v>
      </c>
      <c r="U67" s="24">
        <f>M67</f>
        <v>1.0652261887304362E-2</v>
      </c>
      <c r="V67" s="40" t="s">
        <v>32</v>
      </c>
      <c r="W67" s="40" t="s">
        <v>32</v>
      </c>
      <c r="X67" s="51">
        <v>0.37879583197788702</v>
      </c>
      <c r="Y67" s="36">
        <v>0.25348361960806598</v>
      </c>
    </row>
    <row r="68" spans="1:25" x14ac:dyDescent="0.3">
      <c r="A68" s="5">
        <f>A67+1</f>
        <v>66</v>
      </c>
      <c r="B68" s="5" t="s">
        <v>31</v>
      </c>
      <c r="C68">
        <v>0.4</v>
      </c>
      <c r="D68">
        <v>5.0000000000000001E-3</v>
      </c>
      <c r="E68" s="40" t="s">
        <v>32</v>
      </c>
      <c r="F68">
        <v>1</v>
      </c>
      <c r="G68" s="17">
        <v>0.66666666666666663</v>
      </c>
      <c r="H68" s="56">
        <v>1869.65265497788</v>
      </c>
      <c r="I68">
        <v>7.54</v>
      </c>
      <c r="J68" s="17">
        <v>19.943900004526199</v>
      </c>
      <c r="K68" s="36">
        <v>19.943900004526199</v>
      </c>
      <c r="L68">
        <v>30</v>
      </c>
      <c r="M68" s="24">
        <v>1.0652261887304362E-2</v>
      </c>
      <c r="N68">
        <v>3</v>
      </c>
      <c r="O68">
        <v>25</v>
      </c>
      <c r="P68" s="24">
        <v>1.19490265157905E-2</v>
      </c>
      <c r="Q68">
        <v>2</v>
      </c>
      <c r="R68" s="40" t="s">
        <v>32</v>
      </c>
      <c r="S68" s="40" t="s">
        <v>32</v>
      </c>
      <c r="T68" s="31">
        <v>26.064191276976267</v>
      </c>
      <c r="U68" s="24">
        <f>M68</f>
        <v>1.0652261887304362E-2</v>
      </c>
      <c r="V68" s="40" t="s">
        <v>32</v>
      </c>
      <c r="W68" s="40" t="s">
        <v>32</v>
      </c>
      <c r="X68" s="51">
        <v>0.39586385388598699</v>
      </c>
      <c r="Y68" s="36">
        <v>0.260154241176699</v>
      </c>
    </row>
    <row r="69" spans="1:25" x14ac:dyDescent="0.3">
      <c r="A69" s="5">
        <f>A68+1</f>
        <v>67</v>
      </c>
      <c r="B69" s="5" t="s">
        <v>31</v>
      </c>
      <c r="C69">
        <v>0.4</v>
      </c>
      <c r="D69">
        <v>5.0000000000000001E-3</v>
      </c>
      <c r="E69" s="40" t="s">
        <v>32</v>
      </c>
      <c r="F69">
        <v>1</v>
      </c>
      <c r="G69" s="17">
        <v>0.83333333333333337</v>
      </c>
      <c r="H69" s="56">
        <v>1870.1658896317199</v>
      </c>
      <c r="I69">
        <v>7.54</v>
      </c>
      <c r="J69" s="17">
        <v>19.941334445094299</v>
      </c>
      <c r="K69" s="36">
        <v>19.941334445094299</v>
      </c>
      <c r="L69">
        <v>30</v>
      </c>
      <c r="M69" s="24">
        <v>1.0652261887304362E-2</v>
      </c>
      <c r="N69">
        <v>3</v>
      </c>
      <c r="O69">
        <v>25</v>
      </c>
      <c r="P69" s="24">
        <v>1.19490265157905E-2</v>
      </c>
      <c r="Q69">
        <v>2.5</v>
      </c>
      <c r="R69" s="40" t="s">
        <v>32</v>
      </c>
      <c r="S69" s="40" t="s">
        <v>32</v>
      </c>
      <c r="T69" s="31">
        <v>25.970840554823937</v>
      </c>
      <c r="U69" s="24">
        <f>M69</f>
        <v>1.0652261887304362E-2</v>
      </c>
      <c r="V69" s="40" t="s">
        <v>32</v>
      </c>
      <c r="W69" s="40" t="s">
        <v>32</v>
      </c>
      <c r="X69" s="51">
        <v>0.40525307456078402</v>
      </c>
      <c r="Y69" s="36">
        <v>0.26682486274533201</v>
      </c>
    </row>
    <row r="70" spans="1:25" ht="15" thickBot="1" x14ac:dyDescent="0.35">
      <c r="A70" s="7">
        <f>A69+1</f>
        <v>68</v>
      </c>
      <c r="B70" s="7" t="s">
        <v>31</v>
      </c>
      <c r="C70" s="8">
        <v>0.4</v>
      </c>
      <c r="D70" s="8">
        <v>5.0000000000000001E-3</v>
      </c>
      <c r="E70" s="41" t="s">
        <v>32</v>
      </c>
      <c r="F70" s="8">
        <v>1</v>
      </c>
      <c r="G70" s="8">
        <v>1</v>
      </c>
      <c r="H70" s="55">
        <v>1870.6488009494799</v>
      </c>
      <c r="I70" s="8">
        <v>7.54</v>
      </c>
      <c r="J70" s="47">
        <v>19.938921382248001</v>
      </c>
      <c r="K70" s="48">
        <v>19.938921382248001</v>
      </c>
      <c r="L70" s="8">
        <v>30</v>
      </c>
      <c r="M70" s="25">
        <v>1.0652261887304362E-2</v>
      </c>
      <c r="N70" s="8">
        <v>3</v>
      </c>
      <c r="O70" s="8">
        <v>25</v>
      </c>
      <c r="P70" s="25">
        <v>1.19490265157905E-2</v>
      </c>
      <c r="Q70" s="8">
        <v>3</v>
      </c>
      <c r="R70" s="41" t="s">
        <v>32</v>
      </c>
      <c r="S70" s="41" t="s">
        <v>32</v>
      </c>
      <c r="T70" s="32">
        <v>25.883043081446452</v>
      </c>
      <c r="U70" s="25">
        <f>M70</f>
        <v>1.0652261887304362E-2</v>
      </c>
      <c r="V70" s="41" t="s">
        <v>32</v>
      </c>
      <c r="W70" s="41" t="s">
        <v>32</v>
      </c>
      <c r="X70" s="52">
        <v>0.41408374917394503</v>
      </c>
      <c r="Y70" s="48">
        <v>0.27349548431396598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Characteristics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Zeoli Alanis</dc:creator>
  <cp:lastModifiedBy>Zeoli Alanis</cp:lastModifiedBy>
  <dcterms:created xsi:type="dcterms:W3CDTF">2023-10-02T08:13:39Z</dcterms:created>
  <dcterms:modified xsi:type="dcterms:W3CDTF">2026-01-28T07:49:47Z</dcterms:modified>
</cp:coreProperties>
</file>