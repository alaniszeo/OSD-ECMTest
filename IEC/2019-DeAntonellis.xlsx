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\alaniszeo_git\OSD-ECMTest\IEC\"/>
    </mc:Choice>
  </mc:AlternateContent>
  <xr:revisionPtr revIDLastSave="0" documentId="13_ncr:1_{A7B33E0E-555B-43BF-879C-1EEED0894728}" xr6:coauthVersionLast="47" xr6:coauthVersionMax="47" xr10:uidLastSave="{00000000-0000-0000-0000-000000000000}"/>
  <bookViews>
    <workbookView xWindow="-108" yWindow="-108" windowWidth="30936" windowHeight="16776" xr2:uid="{1306219A-737B-4B5D-BCFD-98C34D3C77CC}"/>
  </bookViews>
  <sheets>
    <sheet name="Characteristics" sheetId="8" r:id="rId1"/>
    <sheet name="Data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2" i="9" l="1"/>
  <c r="D122" i="9"/>
  <c r="U121" i="9"/>
  <c r="D121" i="9"/>
  <c r="U120" i="9"/>
  <c r="D120" i="9"/>
  <c r="U119" i="9"/>
  <c r="D119" i="9"/>
  <c r="U118" i="9"/>
  <c r="D118" i="9"/>
  <c r="U117" i="9"/>
  <c r="D117" i="9"/>
  <c r="U116" i="9"/>
  <c r="D116" i="9"/>
  <c r="U115" i="9"/>
  <c r="D115" i="9"/>
  <c r="U114" i="9"/>
  <c r="D114" i="9"/>
  <c r="U113" i="9"/>
  <c r="D113" i="9"/>
  <c r="U112" i="9"/>
  <c r="D112" i="9"/>
  <c r="U111" i="9"/>
  <c r="D111" i="9"/>
  <c r="U110" i="9"/>
  <c r="D110" i="9"/>
  <c r="U109" i="9"/>
  <c r="D109" i="9"/>
  <c r="U108" i="9"/>
  <c r="D108" i="9"/>
  <c r="U107" i="9"/>
  <c r="D107" i="9"/>
  <c r="U106" i="9"/>
  <c r="D106" i="9"/>
  <c r="U105" i="9"/>
  <c r="D105" i="9"/>
  <c r="U104" i="9"/>
  <c r="D104" i="9"/>
  <c r="U103" i="9"/>
  <c r="D103" i="9"/>
  <c r="U102" i="9"/>
  <c r="D102" i="9"/>
  <c r="U101" i="9"/>
  <c r="D101" i="9"/>
  <c r="U100" i="9"/>
  <c r="D100" i="9"/>
  <c r="U99" i="9"/>
  <c r="D99" i="9"/>
  <c r="U98" i="9"/>
  <c r="D98" i="9"/>
  <c r="U97" i="9"/>
  <c r="D97" i="9"/>
  <c r="U96" i="9"/>
  <c r="D96" i="9"/>
  <c r="U95" i="9"/>
  <c r="D95" i="9"/>
  <c r="U94" i="9"/>
  <c r="D94" i="9"/>
  <c r="U93" i="9"/>
  <c r="D93" i="9"/>
  <c r="U92" i="9"/>
  <c r="D92" i="9"/>
  <c r="U91" i="9"/>
  <c r="D91" i="9"/>
  <c r="U90" i="9"/>
  <c r="D90" i="9"/>
  <c r="U89" i="9"/>
  <c r="D89" i="9"/>
  <c r="U88" i="9"/>
  <c r="D88" i="9"/>
  <c r="U87" i="9"/>
  <c r="D87" i="9"/>
  <c r="U86" i="9"/>
  <c r="D86" i="9"/>
  <c r="U85" i="9"/>
  <c r="D85" i="9"/>
  <c r="U84" i="9"/>
  <c r="D84" i="9"/>
  <c r="U83" i="9"/>
  <c r="D83" i="9"/>
  <c r="U82" i="9"/>
  <c r="D82" i="9"/>
  <c r="U81" i="9"/>
  <c r="D81" i="9"/>
  <c r="U80" i="9"/>
  <c r="D80" i="9"/>
  <c r="U79" i="9"/>
  <c r="D79" i="9"/>
  <c r="U78" i="9"/>
  <c r="D78" i="9"/>
  <c r="U77" i="9"/>
  <c r="D77" i="9"/>
  <c r="U76" i="9"/>
  <c r="D76" i="9"/>
  <c r="U75" i="9"/>
  <c r="D75" i="9"/>
  <c r="U74" i="9"/>
  <c r="D74" i="9"/>
  <c r="U73" i="9"/>
  <c r="D73" i="9"/>
  <c r="U72" i="9"/>
  <c r="D72" i="9"/>
  <c r="U71" i="9"/>
  <c r="D71" i="9"/>
  <c r="U70" i="9"/>
  <c r="D70" i="9"/>
  <c r="U69" i="9"/>
  <c r="D69" i="9"/>
  <c r="U68" i="9"/>
  <c r="D68" i="9"/>
  <c r="U67" i="9"/>
  <c r="D67" i="9"/>
  <c r="U66" i="9"/>
  <c r="D66" i="9"/>
  <c r="U65" i="9"/>
  <c r="D65" i="9"/>
  <c r="U64" i="9"/>
  <c r="D64" i="9"/>
  <c r="U63" i="9"/>
  <c r="D63" i="9"/>
  <c r="U62" i="9"/>
  <c r="D62" i="9"/>
  <c r="U61" i="9"/>
  <c r="D61" i="9"/>
  <c r="U60" i="9"/>
  <c r="D60" i="9"/>
  <c r="U59" i="9"/>
  <c r="D59" i="9"/>
  <c r="U58" i="9"/>
  <c r="D58" i="9"/>
  <c r="U57" i="9"/>
  <c r="D57" i="9"/>
  <c r="U56" i="9"/>
  <c r="D56" i="9"/>
  <c r="U55" i="9"/>
  <c r="D55" i="9"/>
  <c r="U54" i="9"/>
  <c r="D54" i="9"/>
  <c r="U53" i="9"/>
  <c r="D53" i="9"/>
  <c r="U52" i="9"/>
  <c r="D52" i="9"/>
  <c r="U51" i="9"/>
  <c r="D51" i="9"/>
  <c r="U50" i="9"/>
  <c r="D50" i="9"/>
  <c r="U49" i="9"/>
  <c r="D49" i="9"/>
  <c r="U48" i="9"/>
  <c r="D48" i="9"/>
  <c r="U47" i="9"/>
  <c r="D47" i="9"/>
  <c r="U46" i="9"/>
  <c r="D46" i="9"/>
  <c r="U45" i="9"/>
  <c r="D45" i="9"/>
  <c r="U44" i="9"/>
  <c r="D44" i="9"/>
  <c r="U43" i="9"/>
  <c r="D43" i="9"/>
  <c r="U42" i="9"/>
  <c r="D42" i="9"/>
  <c r="U41" i="9"/>
  <c r="D41" i="9"/>
  <c r="U40" i="9"/>
  <c r="D40" i="9"/>
  <c r="U39" i="9"/>
  <c r="D39" i="9"/>
  <c r="U38" i="9"/>
  <c r="D38" i="9"/>
  <c r="U37" i="9"/>
  <c r="D37" i="9"/>
  <c r="U36" i="9"/>
  <c r="D36" i="9"/>
  <c r="U35" i="9"/>
  <c r="D35" i="9"/>
  <c r="U34" i="9"/>
  <c r="D34" i="9"/>
  <c r="U33" i="9"/>
  <c r="D33" i="9"/>
  <c r="U32" i="9"/>
  <c r="D32" i="9"/>
  <c r="U31" i="9"/>
  <c r="D31" i="9"/>
  <c r="U30" i="9"/>
  <c r="D30" i="9"/>
  <c r="U29" i="9"/>
  <c r="D29" i="9"/>
  <c r="U28" i="9"/>
  <c r="D28" i="9"/>
  <c r="U27" i="9"/>
  <c r="D27" i="9"/>
  <c r="U26" i="9"/>
  <c r="D26" i="9"/>
  <c r="U25" i="9"/>
  <c r="D25" i="9"/>
  <c r="U24" i="9"/>
  <c r="D24" i="9"/>
  <c r="U23" i="9"/>
  <c r="D23" i="9"/>
  <c r="U22" i="9"/>
  <c r="D22" i="9"/>
  <c r="U21" i="9"/>
  <c r="D21" i="9"/>
  <c r="U20" i="9"/>
  <c r="D20" i="9"/>
  <c r="U19" i="9"/>
  <c r="D19" i="9"/>
  <c r="U18" i="9"/>
  <c r="D18" i="9"/>
  <c r="U17" i="9"/>
  <c r="D17" i="9"/>
  <c r="U16" i="9"/>
  <c r="D16" i="9"/>
  <c r="U15" i="9"/>
  <c r="D15" i="9"/>
  <c r="U14" i="9"/>
  <c r="D14" i="9"/>
  <c r="U13" i="9"/>
  <c r="D13" i="9"/>
  <c r="U12" i="9"/>
  <c r="D12" i="9"/>
  <c r="U11" i="9"/>
  <c r="D11" i="9"/>
  <c r="U10" i="9"/>
  <c r="D10" i="9"/>
  <c r="U9" i="9"/>
  <c r="D9" i="9"/>
  <c r="U8" i="9"/>
  <c r="D8" i="9"/>
  <c r="U7" i="9"/>
  <c r="D7" i="9"/>
  <c r="U6" i="9"/>
  <c r="D6" i="9"/>
  <c r="U5" i="9"/>
  <c r="D5" i="9"/>
  <c r="U4" i="9"/>
  <c r="D4" i="9"/>
  <c r="U3" i="9"/>
  <c r="D3" i="9"/>
  <c r="C19" i="8" l="1"/>
  <c r="C18" i="8"/>
  <c r="C17" i="8"/>
  <c r="E32" i="9" l="1"/>
  <c r="E47" i="9"/>
  <c r="E29" i="9"/>
  <c r="E122" i="9"/>
  <c r="E120" i="9"/>
  <c r="E118" i="9"/>
  <c r="E116" i="9"/>
  <c r="E114" i="9"/>
  <c r="E112" i="9"/>
  <c r="E110" i="9"/>
  <c r="E108" i="9"/>
  <c r="E106" i="9"/>
  <c r="E104" i="9"/>
  <c r="E102" i="9"/>
  <c r="E100" i="9"/>
  <c r="E98" i="9"/>
  <c r="E96" i="9"/>
  <c r="E94" i="9"/>
  <c r="E92" i="9"/>
  <c r="E90" i="9"/>
  <c r="E88" i="9"/>
  <c r="E86" i="9"/>
  <c r="E84" i="9"/>
  <c r="E82" i="9"/>
  <c r="E80" i="9"/>
  <c r="E78" i="9"/>
  <c r="E76" i="9"/>
  <c r="E74" i="9"/>
  <c r="E72" i="9"/>
  <c r="E70" i="9"/>
  <c r="E68" i="9"/>
  <c r="E66" i="9"/>
  <c r="E64" i="9"/>
  <c r="E62" i="9"/>
  <c r="E60" i="9"/>
  <c r="E58" i="9"/>
  <c r="E56" i="9"/>
  <c r="E54" i="9"/>
  <c r="E52" i="9"/>
  <c r="E50" i="9"/>
  <c r="E48" i="9"/>
  <c r="E46" i="9"/>
  <c r="E44" i="9"/>
  <c r="E42" i="9"/>
  <c r="E40" i="9"/>
  <c r="E38" i="9"/>
  <c r="E34" i="9"/>
  <c r="E30" i="9"/>
  <c r="E26" i="9"/>
  <c r="E22" i="9"/>
  <c r="E16" i="9"/>
  <c r="E12" i="9"/>
  <c r="E6" i="9"/>
  <c r="E53" i="9"/>
  <c r="E31" i="9"/>
  <c r="E41" i="9"/>
  <c r="E121" i="9"/>
  <c r="E117" i="9"/>
  <c r="E115" i="9"/>
  <c r="E113" i="9"/>
  <c r="E111" i="9"/>
  <c r="E109" i="9"/>
  <c r="E107" i="9"/>
  <c r="E105" i="9"/>
  <c r="E101" i="9"/>
  <c r="E99" i="9"/>
  <c r="E95" i="9"/>
  <c r="E91" i="9"/>
  <c r="E87" i="9"/>
  <c r="E83" i="9"/>
  <c r="E79" i="9"/>
  <c r="E75" i="9"/>
  <c r="E71" i="9"/>
  <c r="E67" i="9"/>
  <c r="E63" i="9"/>
  <c r="E59" i="9"/>
  <c r="E51" i="9"/>
  <c r="E45" i="9"/>
  <c r="E39" i="9"/>
  <c r="E33" i="9"/>
  <c r="E25" i="9"/>
  <c r="E119" i="9"/>
  <c r="E103" i="9"/>
  <c r="E97" i="9"/>
  <c r="E93" i="9"/>
  <c r="E89" i="9"/>
  <c r="E85" i="9"/>
  <c r="E81" i="9"/>
  <c r="E77" i="9"/>
  <c r="E73" i="9"/>
  <c r="E69" i="9"/>
  <c r="E65" i="9"/>
  <c r="E61" i="9"/>
  <c r="E57" i="9"/>
  <c r="E49" i="9"/>
  <c r="E43" i="9"/>
  <c r="E37" i="9"/>
  <c r="E27" i="9"/>
  <c r="E19" i="9"/>
  <c r="E36" i="9"/>
  <c r="E28" i="9"/>
  <c r="E24" i="9"/>
  <c r="E20" i="9"/>
  <c r="E18" i="9"/>
  <c r="E14" i="9"/>
  <c r="E10" i="9"/>
  <c r="E8" i="9"/>
  <c r="E4" i="9"/>
  <c r="E55" i="9"/>
  <c r="E35" i="9"/>
  <c r="E23" i="9"/>
  <c r="E3" i="9"/>
  <c r="E9" i="9"/>
  <c r="E15" i="9"/>
  <c r="E5" i="9"/>
  <c r="E21" i="9"/>
  <c r="E11" i="9"/>
  <c r="E17" i="9"/>
  <c r="E7" i="9"/>
  <c r="E13" i="9"/>
  <c r="C122" i="9"/>
  <c r="C120" i="9"/>
  <c r="C118" i="9"/>
  <c r="C116" i="9"/>
  <c r="C114" i="9"/>
  <c r="C112" i="9"/>
  <c r="C110" i="9"/>
  <c r="C108" i="9"/>
  <c r="C106" i="9"/>
  <c r="C104" i="9"/>
  <c r="C102" i="9"/>
  <c r="C100" i="9"/>
  <c r="C98" i="9"/>
  <c r="C96" i="9"/>
  <c r="C94" i="9"/>
  <c r="C92" i="9"/>
  <c r="C90" i="9"/>
  <c r="C88" i="9"/>
  <c r="C86" i="9"/>
  <c r="C84" i="9"/>
  <c r="C82" i="9"/>
  <c r="C80" i="9"/>
  <c r="C78" i="9"/>
  <c r="C76" i="9"/>
  <c r="C74" i="9"/>
  <c r="C72" i="9"/>
  <c r="C70" i="9"/>
  <c r="C68" i="9"/>
  <c r="C66" i="9"/>
  <c r="C64" i="9"/>
  <c r="C62" i="9"/>
  <c r="C60" i="9"/>
  <c r="C58" i="9"/>
  <c r="C56" i="9"/>
  <c r="C54" i="9"/>
  <c r="C52" i="9"/>
  <c r="C50" i="9"/>
  <c r="C48" i="9"/>
  <c r="C46" i="9"/>
  <c r="C44" i="9"/>
  <c r="C42" i="9"/>
  <c r="C40" i="9"/>
  <c r="C38" i="9"/>
  <c r="C36" i="9"/>
  <c r="C34" i="9"/>
  <c r="C32" i="9"/>
  <c r="C30" i="9"/>
  <c r="C28" i="9"/>
  <c r="C26" i="9"/>
  <c r="C24" i="9"/>
  <c r="C22" i="9"/>
  <c r="C20" i="9"/>
  <c r="C18" i="9"/>
  <c r="C16" i="9"/>
  <c r="C14" i="9"/>
  <c r="C12" i="9"/>
  <c r="C10" i="9"/>
  <c r="C8" i="9"/>
  <c r="C6" i="9"/>
  <c r="C4" i="9"/>
  <c r="C121" i="9"/>
  <c r="C119" i="9"/>
  <c r="C117" i="9"/>
  <c r="C115" i="9"/>
  <c r="C113" i="9"/>
  <c r="C111" i="9"/>
  <c r="C109" i="9"/>
  <c r="C107" i="9"/>
  <c r="C105" i="9"/>
  <c r="C103" i="9"/>
  <c r="C101" i="9"/>
  <c r="C99" i="9"/>
  <c r="C97" i="9"/>
  <c r="C95" i="9"/>
  <c r="C93" i="9"/>
  <c r="C91" i="9"/>
  <c r="C89" i="9"/>
  <c r="C87" i="9"/>
  <c r="C85" i="9"/>
  <c r="C83" i="9"/>
  <c r="C81" i="9"/>
  <c r="C79" i="9"/>
  <c r="C77" i="9"/>
  <c r="C75" i="9"/>
  <c r="C73" i="9"/>
  <c r="C71" i="9"/>
  <c r="C69" i="9"/>
  <c r="C67" i="9"/>
  <c r="C65" i="9"/>
  <c r="C63" i="9"/>
  <c r="C61" i="9"/>
  <c r="C59" i="9"/>
  <c r="C57" i="9"/>
  <c r="C55" i="9"/>
  <c r="C53" i="9"/>
  <c r="C51" i="9"/>
  <c r="C49" i="9"/>
  <c r="C47" i="9"/>
  <c r="C45" i="9"/>
  <c r="C43" i="9"/>
  <c r="C41" i="9"/>
  <c r="C39" i="9"/>
  <c r="C37" i="9"/>
  <c r="C35" i="9"/>
  <c r="C33" i="9"/>
  <c r="C31" i="9"/>
  <c r="C29" i="9"/>
  <c r="C27" i="9"/>
  <c r="C25" i="9"/>
  <c r="C23" i="9"/>
  <c r="C21" i="9"/>
  <c r="C19" i="9"/>
  <c r="C17" i="9"/>
  <c r="C15" i="9"/>
  <c r="C13" i="9"/>
  <c r="C11" i="9"/>
  <c r="C9" i="9"/>
  <c r="C7" i="9"/>
  <c r="C5" i="9"/>
  <c r="C3" i="9"/>
</calcChain>
</file>

<file path=xl/sharedStrings.xml><?xml version="1.0" encoding="utf-8"?>
<sst xmlns="http://schemas.openxmlformats.org/spreadsheetml/2006/main" count="573" uniqueCount="87">
  <si>
    <t>Authors</t>
  </si>
  <si>
    <t>Title</t>
  </si>
  <si>
    <t>Year</t>
  </si>
  <si>
    <t>HEX characteristics</t>
  </si>
  <si>
    <t>Data type</t>
  </si>
  <si>
    <t>L</t>
  </si>
  <si>
    <t>m/s</t>
  </si>
  <si>
    <t>-</t>
  </si>
  <si>
    <t>m</t>
  </si>
  <si>
    <t>Configuration</t>
  </si>
  <si>
    <t>Water recirculation</t>
  </si>
  <si>
    <t>Run</t>
  </si>
  <si>
    <t>epsilon_wb</t>
  </si>
  <si>
    <t>Inlet conditions</t>
  </si>
  <si>
    <t>Outlet conditions</t>
  </si>
  <si>
    <t>HEX type</t>
  </si>
  <si>
    <t>Water injection type</t>
  </si>
  <si>
    <t>wf</t>
  </si>
  <si>
    <t>Geometry</t>
  </si>
  <si>
    <t>Length</t>
  </si>
  <si>
    <t>Height</t>
  </si>
  <si>
    <t>Paper information</t>
  </si>
  <si>
    <t>Operating conditions</t>
  </si>
  <si>
    <t>Water supplied</t>
  </si>
  <si>
    <t>Wall thickness</t>
  </si>
  <si>
    <t>Primary fluid velocity</t>
  </si>
  <si>
    <t>Secondary fluid velocity</t>
  </si>
  <si>
    <t>epsilon_dp</t>
  </si>
  <si>
    <t>kg/kg</t>
  </si>
  <si>
    <t>parallel</t>
  </si>
  <si>
    <t>NA</t>
  </si>
  <si>
    <t>Testing conditions</t>
  </si>
  <si>
    <t>W</t>
  </si>
  <si>
    <t>h_ch</t>
  </si>
  <si>
    <t>Channel height</t>
  </si>
  <si>
    <t>crossflow</t>
  </si>
  <si>
    <t>Number of channels</t>
  </si>
  <si>
    <t>SPR</t>
  </si>
  <si>
    <t>Temperature</t>
  </si>
  <si>
    <t>pd</t>
  </si>
  <si>
    <t>sw</t>
  </si>
  <si>
    <t>Wall material</t>
  </si>
  <si>
    <t>Measurement uncertainties</t>
  </si>
  <si>
    <t>K</t>
  </si>
  <si>
    <t>Width</t>
  </si>
  <si>
    <t>Humidity</t>
  </si>
  <si>
    <t>%</t>
  </si>
  <si>
    <t>Air flow</t>
  </si>
  <si>
    <t>Secondary-to-Primary flow rate ratio</t>
  </si>
  <si>
    <t>kg/s</t>
  </si>
  <si>
    <t>Test</t>
  </si>
  <si>
    <t>T_pdi</t>
  </si>
  <si>
    <t>w_pdi</t>
  </si>
  <si>
    <t>v_pdi</t>
  </si>
  <si>
    <t>T_swi</t>
  </si>
  <si>
    <t>w_swi</t>
  </si>
  <si>
    <t>v_swi</t>
  </si>
  <si>
    <t>T_wfi</t>
  </si>
  <si>
    <t>T_pdo</t>
  </si>
  <si>
    <t>w_pdo</t>
  </si>
  <si>
    <t>T_swo</t>
  </si>
  <si>
    <r>
      <t xml:space="preserve">De Antonellis </t>
    </r>
    <r>
      <rPr>
        <i/>
        <sz val="11"/>
        <color theme="1"/>
        <rFont val="Calibri"/>
        <family val="2"/>
        <scheme val="minor"/>
      </rPr>
      <t>et al.</t>
    </r>
  </si>
  <si>
    <t>IEC</t>
  </si>
  <si>
    <t>Aluminium alloy</t>
  </si>
  <si>
    <t>XPP</t>
  </si>
  <si>
    <t>w_swo</t>
  </si>
  <si>
    <t>Performance measurement of a cross-flow indirect evaporative cooler: Effect of water nozzles and airflows arrangement</t>
  </si>
  <si>
    <t>Experimental data, extracted from graphs</t>
  </si>
  <si>
    <t>No</t>
  </si>
  <si>
    <t>TOP</t>
  </si>
  <si>
    <t>SIDE</t>
  </si>
  <si>
    <t>BOTTOM</t>
  </si>
  <si>
    <t>HORIZONTAL</t>
  </si>
  <si>
    <t>TOPSIDE</t>
  </si>
  <si>
    <t>Sprayed-water</t>
  </si>
  <si>
    <t xml:space="preserve">Indicates the orientation of the heat exchanger </t>
  </si>
  <si>
    <t>1-1.54</t>
  </si>
  <si>
    <t>3.7-5.7</t>
  </si>
  <si>
    <t>0.008-0.018</t>
  </si>
  <si>
    <t>WWR</t>
  </si>
  <si>
    <t>Re</t>
  </si>
  <si>
    <t>Nu</t>
  </si>
  <si>
    <t>h_T_pd</t>
  </si>
  <si>
    <t>h_T_sw</t>
  </si>
  <si>
    <t>Description</t>
  </si>
  <si>
    <t>Experimental study of a crossflow IEC, consisting of a commercial 118-channel plate heat exchanger with water spray nozzles installed at the inlet of the secondary channels. Investigation of the effect of water nozzles and airflow arrangement by testing 6 different orientations of the IEC (cfr. Figure).</t>
  </si>
  <si>
    <t>m_dot_wf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</si>
</sst>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" xfId="0" applyBorder="1"/>
    <xf numFmtId="0" fontId="1" fillId="0" borderId="2" xfId="0" applyFont="1" applyBorder="1"/>
    <xf numFmtId="0" fontId="1" fillId="0" borderId="6" xfId="0" applyFont="1" applyBorder="1"/>
    <xf numFmtId="0" fontId="1" fillId="0" borderId="14" xfId="0" applyFont="1" applyBorder="1"/>
    <xf numFmtId="2" fontId="0" fillId="0" borderId="0" xfId="0" applyNumberFormat="1"/>
    <xf numFmtId="0" fontId="0" fillId="0" borderId="10" xfId="0" applyBorder="1"/>
    <xf numFmtId="0" fontId="0" fillId="0" borderId="11" xfId="0" applyBorder="1"/>
    <xf numFmtId="0" fontId="1" fillId="0" borderId="4" xfId="0" applyFont="1" applyBorder="1"/>
    <xf numFmtId="0" fontId="1" fillId="0" borderId="12" xfId="0" applyFont="1" applyBorder="1"/>
    <xf numFmtId="0" fontId="1" fillId="0" borderId="13" xfId="0" applyFont="1" applyBorder="1"/>
    <xf numFmtId="164" fontId="0" fillId="0" borderId="0" xfId="0" applyNumberFormat="1"/>
    <xf numFmtId="164" fontId="0" fillId="0" borderId="7" xfId="0" applyNumberFormat="1" applyBorder="1"/>
    <xf numFmtId="164" fontId="0" fillId="0" borderId="2" xfId="0" applyNumberFormat="1" applyBorder="1"/>
    <xf numFmtId="0" fontId="0" fillId="0" borderId="0" xfId="0" quotePrefix="1"/>
    <xf numFmtId="0" fontId="1" fillId="0" borderId="4" xfId="0" applyFont="1" applyBorder="1" applyAlignment="1">
      <alignment wrapText="1"/>
    </xf>
    <xf numFmtId="0" fontId="0" fillId="0" borderId="5" xfId="0" applyBorder="1" applyAlignment="1">
      <alignment vertical="center"/>
    </xf>
    <xf numFmtId="0" fontId="1" fillId="0" borderId="7" xfId="0" applyFont="1" applyBorder="1"/>
    <xf numFmtId="0" fontId="1" fillId="0" borderId="8" xfId="0" applyFont="1" applyBorder="1"/>
    <xf numFmtId="165" fontId="0" fillId="0" borderId="0" xfId="0" applyNumberFormat="1"/>
    <xf numFmtId="166" fontId="0" fillId="0" borderId="0" xfId="0" applyNumberFormat="1"/>
    <xf numFmtId="166" fontId="0" fillId="0" borderId="2" xfId="0" applyNumberFormat="1" applyBorder="1"/>
    <xf numFmtId="166" fontId="0" fillId="0" borderId="7" xfId="0" applyNumberFormat="1" applyBorder="1"/>
    <xf numFmtId="166" fontId="0" fillId="0" borderId="4" xfId="0" applyNumberFormat="1" applyBorder="1"/>
    <xf numFmtId="166" fontId="0" fillId="0" borderId="6" xfId="0" applyNumberFormat="1" applyBorder="1"/>
    <xf numFmtId="1" fontId="0" fillId="0" borderId="2" xfId="0" applyNumberFormat="1" applyBorder="1"/>
    <xf numFmtId="1" fontId="0" fillId="0" borderId="0" xfId="0" applyNumberFormat="1"/>
    <xf numFmtId="2" fontId="0" fillId="0" borderId="3" xfId="0" applyNumberFormat="1" applyBorder="1"/>
    <xf numFmtId="2" fontId="0" fillId="0" borderId="5" xfId="0" applyNumberFormat="1" applyBorder="1"/>
    <xf numFmtId="0" fontId="0" fillId="0" borderId="0" xfId="0" applyAlignment="1">
      <alignment horizontal="right"/>
    </xf>
    <xf numFmtId="0" fontId="0" fillId="0" borderId="7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right" vertical="center"/>
    </xf>
    <xf numFmtId="0" fontId="0" fillId="0" borderId="6" xfId="0" applyBorder="1" applyAlignment="1">
      <alignment horizontal="right"/>
    </xf>
    <xf numFmtId="2" fontId="0" fillId="0" borderId="2" xfId="0" applyNumberFormat="1" applyBorder="1"/>
    <xf numFmtId="2" fontId="0" fillId="0" borderId="7" xfId="0" applyNumberFormat="1" applyBorder="1"/>
    <xf numFmtId="2" fontId="0" fillId="0" borderId="8" xfId="0" applyNumberFormat="1" applyBorder="1"/>
    <xf numFmtId="167" fontId="0" fillId="0" borderId="3" xfId="0" applyNumberFormat="1" applyBorder="1" applyAlignment="1">
      <alignment horizontal="right"/>
    </xf>
    <xf numFmtId="167" fontId="0" fillId="0" borderId="5" xfId="0" applyNumberFormat="1" applyBorder="1" applyAlignment="1">
      <alignment horizontal="right"/>
    </xf>
    <xf numFmtId="167" fontId="0" fillId="0" borderId="0" xfId="0" applyNumberFormat="1" applyAlignment="1">
      <alignment horizontal="right"/>
    </xf>
    <xf numFmtId="167" fontId="0" fillId="0" borderId="7" xfId="0" applyNumberFormat="1" applyBorder="1" applyAlignment="1">
      <alignment horizontal="right"/>
    </xf>
    <xf numFmtId="1" fontId="0" fillId="0" borderId="7" xfId="0" applyNumberFormat="1" applyBorder="1"/>
    <xf numFmtId="0" fontId="1" fillId="0" borderId="12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301416</xdr:colOff>
      <xdr:row>0</xdr:row>
      <xdr:rowOff>105152</xdr:rowOff>
    </xdr:from>
    <xdr:to>
      <xdr:col>24</xdr:col>
      <xdr:colOff>381000</xdr:colOff>
      <xdr:row>28</xdr:row>
      <xdr:rowOff>94710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C2B016-8F9E-4C8C-AF8B-BF822053B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776" y="105152"/>
          <a:ext cx="6747084" cy="56435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20D7-D25F-41E7-AFAD-E1421FA432AD}">
  <dimension ref="B1:AA169"/>
  <sheetViews>
    <sheetView tabSelected="1" zoomScaleNormal="100" workbookViewId="0">
      <selection activeCell="B24" sqref="B24"/>
    </sheetView>
  </sheetViews>
  <sheetFormatPr defaultColWidth="8.88671875" defaultRowHeight="14.4" x14ac:dyDescent="0.3"/>
  <cols>
    <col min="1" max="1" width="2.6640625" customWidth="1"/>
    <col min="2" max="2" width="22.33203125" bestFit="1" customWidth="1"/>
    <col min="3" max="3" width="15.5546875" customWidth="1"/>
    <col min="6" max="6" width="12.88671875" customWidth="1"/>
    <col min="7" max="7" width="10.33203125" customWidth="1"/>
    <col min="8" max="12" width="9.33203125" customWidth="1"/>
    <col min="13" max="19" width="9.6640625" customWidth="1"/>
    <col min="20" max="20" width="10.21875" customWidth="1"/>
    <col min="21" max="24" width="9.6640625" customWidth="1"/>
    <col min="25" max="25" width="10.5546875" bestFit="1" customWidth="1"/>
    <col min="26" max="26" width="10.21875" bestFit="1" customWidth="1"/>
  </cols>
  <sheetData>
    <row r="1" spans="2:14" ht="15" thickBot="1" x14ac:dyDescent="0.35"/>
    <row r="2" spans="2:14" ht="15" thickBot="1" x14ac:dyDescent="0.35">
      <c r="B2" s="10" t="s">
        <v>21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</row>
    <row r="3" spans="2:14" x14ac:dyDescent="0.3">
      <c r="B3" s="54" t="s">
        <v>0</v>
      </c>
      <c r="C3" s="55" t="s">
        <v>61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7"/>
    </row>
    <row r="4" spans="2:14" x14ac:dyDescent="0.3">
      <c r="B4" s="58" t="s">
        <v>1</v>
      </c>
      <c r="C4" s="59" t="s">
        <v>66</v>
      </c>
      <c r="D4" s="60"/>
      <c r="E4" s="60"/>
      <c r="F4" s="60"/>
      <c r="G4" s="60"/>
      <c r="H4" s="60"/>
      <c r="I4" s="60"/>
      <c r="J4" s="60"/>
      <c r="K4" s="60"/>
      <c r="L4" s="60"/>
      <c r="M4" s="60"/>
      <c r="N4" s="61"/>
    </row>
    <row r="5" spans="2:14" x14ac:dyDescent="0.3">
      <c r="B5" s="58" t="s">
        <v>2</v>
      </c>
      <c r="C5" s="59">
        <v>2019</v>
      </c>
      <c r="D5" s="60"/>
      <c r="E5" s="60"/>
      <c r="F5" s="60"/>
      <c r="G5" s="60"/>
      <c r="H5" s="60"/>
      <c r="I5" s="60"/>
      <c r="J5" s="60"/>
      <c r="K5" s="60"/>
      <c r="L5" s="60"/>
      <c r="M5" s="60"/>
      <c r="N5" s="61"/>
    </row>
    <row r="6" spans="2:14" x14ac:dyDescent="0.3">
      <c r="B6" s="58" t="s">
        <v>4</v>
      </c>
      <c r="C6" s="59" t="s">
        <v>67</v>
      </c>
      <c r="D6" s="60"/>
      <c r="E6" s="60"/>
      <c r="F6" s="60"/>
      <c r="G6" s="60"/>
      <c r="H6" s="60"/>
      <c r="I6" s="60"/>
      <c r="J6" s="60"/>
      <c r="K6" s="60"/>
      <c r="L6" s="60"/>
      <c r="M6" s="60"/>
      <c r="N6" s="61"/>
    </row>
    <row r="7" spans="2:14" ht="33" customHeight="1" thickBot="1" x14ac:dyDescent="0.35">
      <c r="B7" s="62" t="s">
        <v>84</v>
      </c>
      <c r="C7" s="63" t="s">
        <v>85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5"/>
    </row>
    <row r="8" spans="2:14" ht="15" thickBot="1" x14ac:dyDescent="0.35"/>
    <row r="9" spans="2:14" ht="15" thickBot="1" x14ac:dyDescent="0.35">
      <c r="B9" s="10" t="s">
        <v>3</v>
      </c>
      <c r="C9" s="19"/>
      <c r="E9" s="10" t="s">
        <v>9</v>
      </c>
      <c r="F9" s="18"/>
      <c r="G9" s="18"/>
      <c r="H9" s="18"/>
      <c r="I9" s="18"/>
      <c r="J9" s="19"/>
    </row>
    <row r="10" spans="2:14" ht="15" thickBot="1" x14ac:dyDescent="0.35">
      <c r="B10" s="21" t="s">
        <v>15</v>
      </c>
      <c r="C10" s="6" t="s">
        <v>62</v>
      </c>
      <c r="E10" s="10" t="s">
        <v>39</v>
      </c>
      <c r="F10" s="11" t="s">
        <v>17</v>
      </c>
      <c r="G10" s="10" t="s">
        <v>39</v>
      </c>
      <c r="H10" s="12" t="s">
        <v>40</v>
      </c>
      <c r="I10" s="11" t="s">
        <v>40</v>
      </c>
      <c r="J10" s="12" t="s">
        <v>17</v>
      </c>
    </row>
    <row r="11" spans="2:14" ht="15" thickBot="1" x14ac:dyDescent="0.35">
      <c r="B11" s="22" t="s">
        <v>16</v>
      </c>
      <c r="C11" s="6" t="s">
        <v>74</v>
      </c>
      <c r="E11" s="67" t="s">
        <v>35</v>
      </c>
      <c r="F11" s="68"/>
      <c r="G11" s="67" t="s">
        <v>35</v>
      </c>
      <c r="H11" s="68"/>
      <c r="I11" s="67" t="s">
        <v>29</v>
      </c>
      <c r="J11" s="68"/>
    </row>
    <row r="12" spans="2:14" x14ac:dyDescent="0.3">
      <c r="B12" s="22" t="s">
        <v>10</v>
      </c>
      <c r="C12" s="6" t="s">
        <v>68</v>
      </c>
    </row>
    <row r="13" spans="2:14" x14ac:dyDescent="0.3">
      <c r="B13" s="22" t="s">
        <v>41</v>
      </c>
      <c r="C13" s="6" t="s">
        <v>63</v>
      </c>
      <c r="E13" s="1"/>
      <c r="F13" s="1"/>
      <c r="G13" s="1"/>
      <c r="H13" s="1"/>
      <c r="I13" s="1"/>
      <c r="J13" s="1"/>
    </row>
    <row r="14" spans="2:14" ht="15" thickBot="1" x14ac:dyDescent="0.35">
      <c r="B14" s="16" t="s">
        <v>9</v>
      </c>
      <c r="C14" s="9" t="s">
        <v>64</v>
      </c>
      <c r="E14" s="66"/>
      <c r="F14" s="66"/>
      <c r="G14" s="66"/>
      <c r="H14" s="66"/>
      <c r="I14" s="66"/>
      <c r="J14" s="66"/>
    </row>
    <row r="15" spans="2:14" ht="15" thickBot="1" x14ac:dyDescent="0.35">
      <c r="B15" s="1"/>
    </row>
    <row r="16" spans="2:14" ht="15" thickBot="1" x14ac:dyDescent="0.35">
      <c r="B16" s="10" t="s">
        <v>18</v>
      </c>
      <c r="C16" s="18"/>
      <c r="D16" s="19"/>
      <c r="F16" s="10" t="s">
        <v>42</v>
      </c>
      <c r="G16" s="18"/>
      <c r="H16" s="19"/>
    </row>
    <row r="17" spans="2:27" x14ac:dyDescent="0.3">
      <c r="B17" s="21" t="s">
        <v>19</v>
      </c>
      <c r="C17" s="3">
        <f>0.47</f>
        <v>0.47</v>
      </c>
      <c r="D17" s="4" t="s">
        <v>8</v>
      </c>
      <c r="F17" s="21" t="s">
        <v>38</v>
      </c>
      <c r="G17" s="26">
        <v>0.2</v>
      </c>
      <c r="H17" s="6" t="s">
        <v>43</v>
      </c>
    </row>
    <row r="18" spans="2:27" x14ac:dyDescent="0.3">
      <c r="B18" s="22" t="s">
        <v>44</v>
      </c>
      <c r="C18">
        <f>0.47</f>
        <v>0.47</v>
      </c>
      <c r="D18" s="6" t="s">
        <v>8</v>
      </c>
      <c r="F18" s="22" t="s">
        <v>45</v>
      </c>
      <c r="G18">
        <v>1</v>
      </c>
      <c r="H18" s="6" t="s">
        <v>46</v>
      </c>
    </row>
    <row r="19" spans="2:27" ht="15" thickBot="1" x14ac:dyDescent="0.35">
      <c r="B19" s="22" t="s">
        <v>20</v>
      </c>
      <c r="C19">
        <f>C22*C20+(C22+1)*C21</f>
        <v>0.39878999999999998</v>
      </c>
      <c r="D19" s="6" t="s">
        <v>8</v>
      </c>
      <c r="F19" s="16" t="s">
        <v>47</v>
      </c>
      <c r="G19" s="8">
        <v>0.5</v>
      </c>
      <c r="H19" s="9" t="s">
        <v>46</v>
      </c>
    </row>
    <row r="20" spans="2:27" x14ac:dyDescent="0.3">
      <c r="B20" s="22" t="s">
        <v>34</v>
      </c>
      <c r="C20">
        <v>3.2100000000000002E-3</v>
      </c>
      <c r="D20" s="6" t="s">
        <v>8</v>
      </c>
    </row>
    <row r="21" spans="2:27" x14ac:dyDescent="0.3">
      <c r="B21" s="22" t="s">
        <v>24</v>
      </c>
      <c r="C21">
        <v>1.3999999999999999E-4</v>
      </c>
      <c r="D21" s="6" t="s">
        <v>8</v>
      </c>
    </row>
    <row r="22" spans="2:27" ht="15" thickBot="1" x14ac:dyDescent="0.35">
      <c r="B22" s="16" t="s">
        <v>36</v>
      </c>
      <c r="C22" s="8">
        <v>119</v>
      </c>
      <c r="D22" s="9" t="s">
        <v>7</v>
      </c>
    </row>
    <row r="23" spans="2:27" ht="15" thickBot="1" x14ac:dyDescent="0.35">
      <c r="B23" s="1"/>
    </row>
    <row r="24" spans="2:27" ht="15" thickBot="1" x14ac:dyDescent="0.35">
      <c r="B24" s="2" t="s">
        <v>22</v>
      </c>
      <c r="C24" s="3"/>
      <c r="D24" s="4"/>
      <c r="F24" s="10" t="s">
        <v>50</v>
      </c>
      <c r="G24" s="11"/>
      <c r="H24" s="11"/>
      <c r="I24" s="12"/>
    </row>
    <row r="25" spans="2:27" ht="15" thickBot="1" x14ac:dyDescent="0.35">
      <c r="B25" s="2" t="s">
        <v>25</v>
      </c>
      <c r="C25" s="13">
        <v>3.7</v>
      </c>
      <c r="D25" s="4" t="s">
        <v>6</v>
      </c>
      <c r="F25" s="7" t="s">
        <v>75</v>
      </c>
      <c r="G25" s="8"/>
      <c r="H25" s="8"/>
      <c r="I25" s="9"/>
    </row>
    <row r="26" spans="2:27" x14ac:dyDescent="0.3">
      <c r="B26" s="20" t="s">
        <v>26</v>
      </c>
      <c r="C26" s="43" t="s">
        <v>77</v>
      </c>
      <c r="D26" s="6" t="s">
        <v>6</v>
      </c>
    </row>
    <row r="27" spans="2:27" ht="28.8" x14ac:dyDescent="0.3">
      <c r="B27" s="27" t="s">
        <v>48</v>
      </c>
      <c r="C27" s="44" t="s">
        <v>76</v>
      </c>
      <c r="D27" s="28" t="s">
        <v>28</v>
      </c>
      <c r="M27" s="23"/>
    </row>
    <row r="28" spans="2:27" ht="15" thickBot="1" x14ac:dyDescent="0.35">
      <c r="B28" s="15" t="s">
        <v>23</v>
      </c>
      <c r="C28" s="45" t="s">
        <v>78</v>
      </c>
      <c r="D28" s="9" t="s">
        <v>49</v>
      </c>
      <c r="I28" s="17"/>
      <c r="J28" s="17"/>
      <c r="K28" s="17"/>
      <c r="L28" s="17"/>
      <c r="M28" s="23"/>
    </row>
    <row r="32" spans="2:27" x14ac:dyDescent="0.3">
      <c r="AA32" s="17"/>
    </row>
    <row r="33" spans="27:27" x14ac:dyDescent="0.3">
      <c r="AA33" s="17"/>
    </row>
    <row r="34" spans="27:27" x14ac:dyDescent="0.3">
      <c r="AA34" s="17"/>
    </row>
    <row r="35" spans="27:27" x14ac:dyDescent="0.3">
      <c r="AA35" s="17"/>
    </row>
    <row r="36" spans="27:27" x14ac:dyDescent="0.3">
      <c r="AA36" s="17"/>
    </row>
    <row r="37" spans="27:27" x14ac:dyDescent="0.3">
      <c r="AA37" s="17"/>
    </row>
    <row r="38" spans="27:27" x14ac:dyDescent="0.3">
      <c r="AA38" s="17"/>
    </row>
    <row r="39" spans="27:27" x14ac:dyDescent="0.3">
      <c r="AA39" s="17"/>
    </row>
    <row r="40" spans="27:27" x14ac:dyDescent="0.3">
      <c r="AA40" s="17"/>
    </row>
    <row r="41" spans="27:27" x14ac:dyDescent="0.3">
      <c r="AA41" s="17"/>
    </row>
    <row r="42" spans="27:27" x14ac:dyDescent="0.3">
      <c r="AA42" s="17"/>
    </row>
    <row r="43" spans="27:27" x14ac:dyDescent="0.3">
      <c r="AA43" s="17"/>
    </row>
    <row r="44" spans="27:27" x14ac:dyDescent="0.3">
      <c r="AA44" s="17"/>
    </row>
    <row r="45" spans="27:27" x14ac:dyDescent="0.3">
      <c r="AA45" s="17"/>
    </row>
    <row r="46" spans="27:27" x14ac:dyDescent="0.3">
      <c r="AA46" s="17"/>
    </row>
    <row r="47" spans="27:27" x14ac:dyDescent="0.3">
      <c r="AA47" s="17"/>
    </row>
    <row r="48" spans="27:27" x14ac:dyDescent="0.3">
      <c r="AA48" s="17"/>
    </row>
    <row r="49" spans="27:27" x14ac:dyDescent="0.3">
      <c r="AA49" s="17"/>
    </row>
    <row r="50" spans="27:27" x14ac:dyDescent="0.3">
      <c r="AA50" s="17"/>
    </row>
    <row r="51" spans="27:27" x14ac:dyDescent="0.3">
      <c r="AA51" s="17"/>
    </row>
    <row r="52" spans="27:27" x14ac:dyDescent="0.3">
      <c r="AA52" s="17"/>
    </row>
    <row r="53" spans="27:27" x14ac:dyDescent="0.3">
      <c r="AA53" s="17"/>
    </row>
    <row r="54" spans="27:27" x14ac:dyDescent="0.3">
      <c r="AA54" s="17"/>
    </row>
    <row r="55" spans="27:27" x14ac:dyDescent="0.3">
      <c r="AA55" s="17"/>
    </row>
    <row r="56" spans="27:27" x14ac:dyDescent="0.3">
      <c r="AA56" s="17"/>
    </row>
    <row r="57" spans="27:27" x14ac:dyDescent="0.3">
      <c r="AA57" s="17"/>
    </row>
    <row r="58" spans="27:27" x14ac:dyDescent="0.3">
      <c r="AA58" s="17"/>
    </row>
    <row r="59" spans="27:27" x14ac:dyDescent="0.3">
      <c r="AA59" s="17"/>
    </row>
    <row r="60" spans="27:27" x14ac:dyDescent="0.3">
      <c r="AA60" s="17"/>
    </row>
    <row r="61" spans="27:27" x14ac:dyDescent="0.3">
      <c r="AA61" s="17"/>
    </row>
    <row r="62" spans="27:27" x14ac:dyDescent="0.3">
      <c r="AA62" s="17"/>
    </row>
    <row r="63" spans="27:27" x14ac:dyDescent="0.3">
      <c r="AA63" s="17"/>
    </row>
    <row r="64" spans="27:27" x14ac:dyDescent="0.3">
      <c r="AA64" s="17"/>
    </row>
    <row r="65" spans="27:27" x14ac:dyDescent="0.3">
      <c r="AA65" s="17"/>
    </row>
    <row r="66" spans="27:27" x14ac:dyDescent="0.3">
      <c r="AA66" s="17"/>
    </row>
    <row r="67" spans="27:27" x14ac:dyDescent="0.3">
      <c r="AA67" s="17"/>
    </row>
    <row r="68" spans="27:27" x14ac:dyDescent="0.3">
      <c r="AA68" s="17"/>
    </row>
    <row r="69" spans="27:27" x14ac:dyDescent="0.3">
      <c r="AA69" s="17"/>
    </row>
    <row r="70" spans="27:27" x14ac:dyDescent="0.3">
      <c r="AA70" s="17"/>
    </row>
    <row r="71" spans="27:27" x14ac:dyDescent="0.3">
      <c r="AA71" s="17"/>
    </row>
    <row r="72" spans="27:27" x14ac:dyDescent="0.3">
      <c r="AA72" s="17"/>
    </row>
    <row r="73" spans="27:27" x14ac:dyDescent="0.3">
      <c r="AA73" s="17"/>
    </row>
    <row r="74" spans="27:27" x14ac:dyDescent="0.3">
      <c r="AA74" s="17"/>
    </row>
    <row r="75" spans="27:27" x14ac:dyDescent="0.3">
      <c r="AA75" s="17"/>
    </row>
    <row r="76" spans="27:27" x14ac:dyDescent="0.3">
      <c r="AA76" s="17"/>
    </row>
    <row r="77" spans="27:27" x14ac:dyDescent="0.3">
      <c r="AA77" s="17"/>
    </row>
    <row r="78" spans="27:27" x14ac:dyDescent="0.3">
      <c r="AA78" s="17"/>
    </row>
    <row r="79" spans="27:27" x14ac:dyDescent="0.3">
      <c r="AA79" s="17"/>
    </row>
    <row r="80" spans="27:27" x14ac:dyDescent="0.3">
      <c r="AA80" s="17"/>
    </row>
    <row r="81" spans="27:27" x14ac:dyDescent="0.3">
      <c r="AA81" s="17"/>
    </row>
    <row r="82" spans="27:27" x14ac:dyDescent="0.3">
      <c r="AA82" s="17"/>
    </row>
    <row r="83" spans="27:27" x14ac:dyDescent="0.3">
      <c r="AA83" s="17"/>
    </row>
    <row r="84" spans="27:27" x14ac:dyDescent="0.3">
      <c r="AA84" s="17"/>
    </row>
    <row r="85" spans="27:27" x14ac:dyDescent="0.3">
      <c r="AA85" s="17"/>
    </row>
    <row r="86" spans="27:27" x14ac:dyDescent="0.3">
      <c r="AA86" s="17"/>
    </row>
    <row r="87" spans="27:27" x14ac:dyDescent="0.3">
      <c r="AA87" s="17"/>
    </row>
    <row r="88" spans="27:27" x14ac:dyDescent="0.3">
      <c r="AA88" s="17"/>
    </row>
    <row r="89" spans="27:27" x14ac:dyDescent="0.3">
      <c r="AA89" s="17"/>
    </row>
    <row r="90" spans="27:27" x14ac:dyDescent="0.3">
      <c r="AA90" s="17"/>
    </row>
    <row r="91" spans="27:27" x14ac:dyDescent="0.3">
      <c r="AA91" s="17"/>
    </row>
    <row r="92" spans="27:27" x14ac:dyDescent="0.3">
      <c r="AA92" s="17"/>
    </row>
    <row r="93" spans="27:27" x14ac:dyDescent="0.3">
      <c r="AA93" s="17"/>
    </row>
    <row r="94" spans="27:27" x14ac:dyDescent="0.3">
      <c r="AA94" s="17"/>
    </row>
    <row r="95" spans="27:27" x14ac:dyDescent="0.3">
      <c r="AA95" s="17"/>
    </row>
    <row r="96" spans="27:27" x14ac:dyDescent="0.3">
      <c r="AA96" s="17"/>
    </row>
    <row r="97" spans="27:27" x14ac:dyDescent="0.3">
      <c r="AA97" s="17"/>
    </row>
    <row r="98" spans="27:27" x14ac:dyDescent="0.3">
      <c r="AA98" s="17"/>
    </row>
    <row r="99" spans="27:27" x14ac:dyDescent="0.3">
      <c r="AA99" s="17"/>
    </row>
    <row r="100" spans="27:27" x14ac:dyDescent="0.3">
      <c r="AA100" s="17"/>
    </row>
    <row r="101" spans="27:27" x14ac:dyDescent="0.3">
      <c r="AA101" s="17"/>
    </row>
    <row r="102" spans="27:27" x14ac:dyDescent="0.3">
      <c r="AA102" s="17"/>
    </row>
    <row r="103" spans="27:27" x14ac:dyDescent="0.3">
      <c r="AA103" s="17"/>
    </row>
    <row r="104" spans="27:27" x14ac:dyDescent="0.3">
      <c r="AA104" s="17"/>
    </row>
    <row r="105" spans="27:27" x14ac:dyDescent="0.3">
      <c r="AA105" s="17"/>
    </row>
    <row r="106" spans="27:27" x14ac:dyDescent="0.3">
      <c r="AA106" s="17"/>
    </row>
    <row r="107" spans="27:27" x14ac:dyDescent="0.3">
      <c r="AA107" s="17"/>
    </row>
    <row r="108" spans="27:27" x14ac:dyDescent="0.3">
      <c r="AA108" s="17"/>
    </row>
    <row r="109" spans="27:27" x14ac:dyDescent="0.3">
      <c r="AA109" s="17"/>
    </row>
    <row r="110" spans="27:27" x14ac:dyDescent="0.3">
      <c r="AA110" s="17"/>
    </row>
    <row r="111" spans="27:27" x14ac:dyDescent="0.3">
      <c r="AA111" s="17"/>
    </row>
    <row r="112" spans="27:27" x14ac:dyDescent="0.3">
      <c r="AA112" s="17"/>
    </row>
    <row r="113" spans="27:27" x14ac:dyDescent="0.3">
      <c r="AA113" s="17"/>
    </row>
    <row r="114" spans="27:27" x14ac:dyDescent="0.3">
      <c r="AA114" s="17"/>
    </row>
    <row r="115" spans="27:27" x14ac:dyDescent="0.3">
      <c r="AA115" s="17"/>
    </row>
    <row r="116" spans="27:27" x14ac:dyDescent="0.3">
      <c r="AA116" s="17"/>
    </row>
    <row r="117" spans="27:27" x14ac:dyDescent="0.3">
      <c r="AA117" s="17"/>
    </row>
    <row r="118" spans="27:27" x14ac:dyDescent="0.3">
      <c r="AA118" s="17"/>
    </row>
    <row r="119" spans="27:27" x14ac:dyDescent="0.3">
      <c r="AA119" s="17"/>
    </row>
    <row r="120" spans="27:27" x14ac:dyDescent="0.3">
      <c r="AA120" s="17"/>
    </row>
    <row r="121" spans="27:27" x14ac:dyDescent="0.3">
      <c r="AA121" s="17"/>
    </row>
    <row r="122" spans="27:27" x14ac:dyDescent="0.3">
      <c r="AA122" s="17"/>
    </row>
    <row r="123" spans="27:27" x14ac:dyDescent="0.3">
      <c r="AA123" s="17"/>
    </row>
    <row r="124" spans="27:27" x14ac:dyDescent="0.3">
      <c r="AA124" s="17"/>
    </row>
    <row r="125" spans="27:27" x14ac:dyDescent="0.3">
      <c r="AA125" s="17"/>
    </row>
    <row r="126" spans="27:27" x14ac:dyDescent="0.3">
      <c r="AA126" s="17"/>
    </row>
    <row r="127" spans="27:27" x14ac:dyDescent="0.3">
      <c r="AA127" s="17"/>
    </row>
    <row r="128" spans="27:27" x14ac:dyDescent="0.3">
      <c r="AA128" s="17"/>
    </row>
    <row r="129" spans="27:27" x14ac:dyDescent="0.3">
      <c r="AA129" s="17"/>
    </row>
    <row r="130" spans="27:27" x14ac:dyDescent="0.3">
      <c r="AA130" s="17"/>
    </row>
    <row r="131" spans="27:27" x14ac:dyDescent="0.3">
      <c r="AA131" s="17"/>
    </row>
    <row r="132" spans="27:27" x14ac:dyDescent="0.3">
      <c r="AA132" s="17"/>
    </row>
    <row r="133" spans="27:27" x14ac:dyDescent="0.3">
      <c r="AA133" s="17"/>
    </row>
    <row r="134" spans="27:27" x14ac:dyDescent="0.3">
      <c r="AA134" s="17"/>
    </row>
    <row r="135" spans="27:27" x14ac:dyDescent="0.3">
      <c r="AA135" s="17"/>
    </row>
    <row r="136" spans="27:27" x14ac:dyDescent="0.3">
      <c r="AA136" s="17"/>
    </row>
    <row r="137" spans="27:27" x14ac:dyDescent="0.3">
      <c r="AA137" s="17"/>
    </row>
    <row r="138" spans="27:27" x14ac:dyDescent="0.3">
      <c r="AA138" s="17"/>
    </row>
    <row r="139" spans="27:27" x14ac:dyDescent="0.3">
      <c r="AA139" s="17"/>
    </row>
    <row r="140" spans="27:27" x14ac:dyDescent="0.3">
      <c r="AA140" s="17"/>
    </row>
    <row r="141" spans="27:27" x14ac:dyDescent="0.3">
      <c r="AA141" s="17"/>
    </row>
    <row r="142" spans="27:27" x14ac:dyDescent="0.3">
      <c r="AA142" s="17"/>
    </row>
    <row r="143" spans="27:27" x14ac:dyDescent="0.3">
      <c r="AA143" s="17"/>
    </row>
    <row r="144" spans="27:27" x14ac:dyDescent="0.3">
      <c r="AA144" s="17"/>
    </row>
    <row r="145" spans="2:27" x14ac:dyDescent="0.3">
      <c r="AA145" s="17"/>
    </row>
    <row r="146" spans="2:27" x14ac:dyDescent="0.3">
      <c r="AA146" s="17"/>
    </row>
    <row r="147" spans="2:27" x14ac:dyDescent="0.3">
      <c r="AA147" s="17"/>
    </row>
    <row r="148" spans="2:27" x14ac:dyDescent="0.3">
      <c r="AA148" s="17"/>
    </row>
    <row r="149" spans="2:27" x14ac:dyDescent="0.3">
      <c r="AA149" s="17"/>
    </row>
    <row r="150" spans="2:27" x14ac:dyDescent="0.3">
      <c r="AA150" s="17"/>
    </row>
    <row r="151" spans="2:27" ht="15" thickBot="1" x14ac:dyDescent="0.35">
      <c r="AA151" s="17"/>
    </row>
    <row r="152" spans="2:27" x14ac:dyDescent="0.3">
      <c r="B152" s="3"/>
      <c r="L152" s="32"/>
      <c r="N152" s="31"/>
      <c r="P152" s="23"/>
      <c r="Q152" s="31"/>
    </row>
    <row r="153" spans="2:27" x14ac:dyDescent="0.3">
      <c r="N153" s="31"/>
      <c r="P153" s="23"/>
      <c r="Q153" s="31"/>
    </row>
    <row r="154" spans="2:27" x14ac:dyDescent="0.3">
      <c r="N154" s="31"/>
      <c r="P154" s="23"/>
      <c r="Q154" s="31"/>
    </row>
    <row r="155" spans="2:27" x14ac:dyDescent="0.3">
      <c r="N155" s="31"/>
      <c r="P155" s="23"/>
      <c r="Q155" s="31"/>
    </row>
    <row r="156" spans="2:27" x14ac:dyDescent="0.3">
      <c r="N156" s="31"/>
      <c r="P156" s="23"/>
      <c r="Q156" s="31"/>
    </row>
    <row r="157" spans="2:27" x14ac:dyDescent="0.3">
      <c r="N157" s="31"/>
      <c r="P157" s="23"/>
      <c r="Q157" s="31"/>
    </row>
    <row r="158" spans="2:27" x14ac:dyDescent="0.3">
      <c r="N158" s="31"/>
      <c r="P158" s="23"/>
      <c r="Q158" s="31"/>
    </row>
    <row r="159" spans="2:27" x14ac:dyDescent="0.3">
      <c r="N159" s="31"/>
      <c r="P159" s="23"/>
      <c r="Q159" s="31"/>
    </row>
    <row r="160" spans="2:27" x14ac:dyDescent="0.3">
      <c r="N160" s="31"/>
      <c r="P160" s="23"/>
      <c r="Q160" s="31"/>
    </row>
    <row r="161" spans="14:17" x14ac:dyDescent="0.3">
      <c r="N161" s="31"/>
      <c r="P161" s="23"/>
      <c r="Q161" s="31"/>
    </row>
    <row r="162" spans="14:17" x14ac:dyDescent="0.3">
      <c r="N162" s="31"/>
      <c r="P162" s="23"/>
      <c r="Q162" s="31"/>
    </row>
    <row r="163" spans="14:17" x14ac:dyDescent="0.3">
      <c r="N163" s="31"/>
      <c r="P163" s="23"/>
      <c r="Q163" s="31"/>
    </row>
    <row r="164" spans="14:17" x14ac:dyDescent="0.3">
      <c r="N164" s="31"/>
      <c r="P164" s="23"/>
      <c r="Q164" s="31"/>
    </row>
    <row r="165" spans="14:17" x14ac:dyDescent="0.3">
      <c r="N165" s="31"/>
      <c r="P165" s="23"/>
      <c r="Q165" s="31"/>
    </row>
    <row r="166" spans="14:17" x14ac:dyDescent="0.3">
      <c r="N166" s="31"/>
      <c r="P166" s="23"/>
      <c r="Q166" s="31"/>
    </row>
    <row r="167" spans="14:17" x14ac:dyDescent="0.3">
      <c r="N167" s="31"/>
      <c r="P167" s="23"/>
      <c r="Q167" s="31"/>
    </row>
    <row r="168" spans="14:17" x14ac:dyDescent="0.3">
      <c r="N168" s="31"/>
      <c r="P168" s="23"/>
      <c r="Q168" s="31"/>
    </row>
    <row r="169" spans="14:17" x14ac:dyDescent="0.3">
      <c r="N169" s="31"/>
      <c r="P169" s="23"/>
      <c r="Q169" s="31"/>
    </row>
  </sheetData>
  <mergeCells count="7">
    <mergeCell ref="C7:N7"/>
    <mergeCell ref="E14:F14"/>
    <mergeCell ref="G14:H14"/>
    <mergeCell ref="I14:J14"/>
    <mergeCell ref="E11:F11"/>
    <mergeCell ref="G11:H11"/>
    <mergeCell ref="I11:J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A881-C558-462E-BD82-75749A629B19}">
  <dimension ref="A1:Y122"/>
  <sheetViews>
    <sheetView workbookViewId="0">
      <selection activeCell="AA5" sqref="AA5"/>
    </sheetView>
  </sheetViews>
  <sheetFormatPr defaultRowHeight="14.4" x14ac:dyDescent="0.3"/>
  <cols>
    <col min="24" max="24" width="10.5546875" bestFit="1" customWidth="1"/>
    <col min="25" max="25" width="10.21875" bestFit="1" customWidth="1"/>
  </cols>
  <sheetData>
    <row r="1" spans="1:25" ht="15" thickBot="1" x14ac:dyDescent="0.35">
      <c r="A1" s="2"/>
      <c r="B1" s="2" t="s">
        <v>31</v>
      </c>
      <c r="C1" s="14"/>
      <c r="D1" s="14"/>
      <c r="E1" s="14"/>
      <c r="F1" s="14"/>
      <c r="G1" s="14"/>
      <c r="H1" s="14"/>
      <c r="I1" s="14"/>
      <c r="J1" s="14"/>
      <c r="K1" s="14"/>
      <c r="L1" s="10" t="s">
        <v>13</v>
      </c>
      <c r="M1" s="11"/>
      <c r="N1" s="11"/>
      <c r="O1" s="11"/>
      <c r="P1" s="11"/>
      <c r="Q1" s="11"/>
      <c r="R1" s="11"/>
      <c r="S1" s="12"/>
      <c r="T1" s="12" t="s">
        <v>14</v>
      </c>
      <c r="U1" s="3"/>
      <c r="V1" s="3"/>
      <c r="W1" s="18"/>
      <c r="X1" s="3"/>
      <c r="Y1" s="4"/>
    </row>
    <row r="2" spans="1:25" ht="15" thickBot="1" x14ac:dyDescent="0.35">
      <c r="A2" s="15" t="s">
        <v>11</v>
      </c>
      <c r="B2" s="10" t="s">
        <v>50</v>
      </c>
      <c r="C2" s="11" t="s">
        <v>5</v>
      </c>
      <c r="D2" s="11" t="s">
        <v>33</v>
      </c>
      <c r="E2" s="11" t="s">
        <v>32</v>
      </c>
      <c r="F2" s="11" t="s">
        <v>79</v>
      </c>
      <c r="G2" s="11" t="s">
        <v>37</v>
      </c>
      <c r="H2" s="11" t="s">
        <v>80</v>
      </c>
      <c r="I2" s="11" t="s">
        <v>81</v>
      </c>
      <c r="J2" s="11" t="s">
        <v>82</v>
      </c>
      <c r="K2" s="12" t="s">
        <v>83</v>
      </c>
      <c r="L2" s="10" t="s">
        <v>51</v>
      </c>
      <c r="M2" s="11" t="s">
        <v>52</v>
      </c>
      <c r="N2" s="29" t="s">
        <v>53</v>
      </c>
      <c r="O2" s="11" t="s">
        <v>54</v>
      </c>
      <c r="P2" s="11" t="s">
        <v>55</v>
      </c>
      <c r="Q2" s="29" t="s">
        <v>56</v>
      </c>
      <c r="R2" s="29" t="s">
        <v>57</v>
      </c>
      <c r="S2" s="30" t="s">
        <v>86</v>
      </c>
      <c r="T2" s="11" t="s">
        <v>58</v>
      </c>
      <c r="U2" s="11" t="s">
        <v>59</v>
      </c>
      <c r="V2" s="11" t="s">
        <v>60</v>
      </c>
      <c r="W2" s="11" t="s">
        <v>65</v>
      </c>
      <c r="X2" s="11" t="s">
        <v>12</v>
      </c>
      <c r="Y2" s="12" t="s">
        <v>27</v>
      </c>
    </row>
    <row r="3" spans="1:25" x14ac:dyDescent="0.3">
      <c r="A3" s="5">
        <v>1</v>
      </c>
      <c r="B3" s="5" t="s">
        <v>69</v>
      </c>
      <c r="C3">
        <f>Characteristics!$C$17</f>
        <v>0.47</v>
      </c>
      <c r="D3">
        <f>Characteristics!$C$20</f>
        <v>3.2100000000000002E-3</v>
      </c>
      <c r="E3" s="3">
        <f>Characteristics!$C$18</f>
        <v>0.47</v>
      </c>
      <c r="F3">
        <v>1</v>
      </c>
      <c r="G3">
        <v>1</v>
      </c>
      <c r="H3" s="37">
        <v>1466.57836558859</v>
      </c>
      <c r="I3">
        <v>7.54</v>
      </c>
      <c r="J3" s="17">
        <v>31.214002683071701</v>
      </c>
      <c r="K3" s="17">
        <v>31.214002683071701</v>
      </c>
      <c r="L3" s="13">
        <v>35</v>
      </c>
      <c r="M3" s="3">
        <v>0.01</v>
      </c>
      <c r="N3" s="3">
        <v>3.7</v>
      </c>
      <c r="O3" s="37">
        <v>30</v>
      </c>
      <c r="P3" s="25">
        <v>1.06E-2</v>
      </c>
      <c r="Q3" s="33">
        <v>3.7</v>
      </c>
      <c r="R3" s="41" t="s">
        <v>30</v>
      </c>
      <c r="S3" s="49">
        <v>1.4455199174065399E-4</v>
      </c>
      <c r="T3" s="32">
        <v>24.5028174456248</v>
      </c>
      <c r="U3">
        <f>M3</f>
        <v>0.01</v>
      </c>
      <c r="V3" s="41" t="s">
        <v>30</v>
      </c>
      <c r="W3" s="41" t="s">
        <v>30</v>
      </c>
      <c r="X3" s="46">
        <v>0.75520833333333304</v>
      </c>
      <c r="Y3" s="39">
        <v>0.499385923870937</v>
      </c>
    </row>
    <row r="4" spans="1:25" x14ac:dyDescent="0.3">
      <c r="A4" s="5">
        <v>2</v>
      </c>
      <c r="B4" s="5" t="s">
        <v>69</v>
      </c>
      <c r="C4">
        <f>Characteristics!$C$17</f>
        <v>0.47</v>
      </c>
      <c r="D4">
        <f>Characteristics!$C$20</f>
        <v>3.2100000000000002E-3</v>
      </c>
      <c r="E4">
        <f>Characteristics!$C$18</f>
        <v>0.47</v>
      </c>
      <c r="F4">
        <v>1</v>
      </c>
      <c r="G4">
        <v>1</v>
      </c>
      <c r="H4" s="38">
        <v>1467.65175997755</v>
      </c>
      <c r="I4">
        <v>7.54</v>
      </c>
      <c r="J4" s="17">
        <v>31.203298202755501</v>
      </c>
      <c r="K4" s="17">
        <v>31.203298202755501</v>
      </c>
      <c r="L4" s="5">
        <v>35</v>
      </c>
      <c r="M4">
        <v>0.01</v>
      </c>
      <c r="N4">
        <v>3.7</v>
      </c>
      <c r="O4" s="38">
        <v>30</v>
      </c>
      <c r="P4" s="23">
        <v>1.06E-2</v>
      </c>
      <c r="Q4" s="32">
        <v>3.7</v>
      </c>
      <c r="R4" s="41" t="s">
        <v>30</v>
      </c>
      <c r="S4" s="50">
        <v>1.6268889294074009E-4</v>
      </c>
      <c r="T4" s="32">
        <v>24.2525534906861</v>
      </c>
      <c r="U4">
        <f>M4</f>
        <v>0.01</v>
      </c>
      <c r="V4" s="41" t="s">
        <v>30</v>
      </c>
      <c r="W4" s="41" t="s">
        <v>30</v>
      </c>
      <c r="X4" s="17">
        <v>0.77265624999999905</v>
      </c>
      <c r="Y4" s="40">
        <v>0.51129181344666796</v>
      </c>
    </row>
    <row r="5" spans="1:25" x14ac:dyDescent="0.3">
      <c r="A5" s="5">
        <v>3</v>
      </c>
      <c r="B5" s="5" t="s">
        <v>69</v>
      </c>
      <c r="C5">
        <f>Characteristics!$C$17</f>
        <v>0.47</v>
      </c>
      <c r="D5">
        <f>Characteristics!$C$20</f>
        <v>3.2100000000000002E-3</v>
      </c>
      <c r="E5">
        <f>Characteristics!$C$18</f>
        <v>0.47</v>
      </c>
      <c r="F5">
        <v>1</v>
      </c>
      <c r="G5">
        <v>1</v>
      </c>
      <c r="H5" s="38">
        <v>1469.1446947705699</v>
      </c>
      <c r="I5">
        <v>7.54</v>
      </c>
      <c r="J5" s="17">
        <v>31.188428375931402</v>
      </c>
      <c r="K5" s="17">
        <v>31.188428375931402</v>
      </c>
      <c r="L5" s="5">
        <v>35</v>
      </c>
      <c r="M5">
        <v>0.01</v>
      </c>
      <c r="N5">
        <v>3.7</v>
      </c>
      <c r="O5" s="38">
        <v>30</v>
      </c>
      <c r="P5" s="23">
        <v>1.06E-2</v>
      </c>
      <c r="Q5" s="32">
        <v>3.7</v>
      </c>
      <c r="R5" s="41" t="s">
        <v>30</v>
      </c>
      <c r="S5" s="50">
        <v>2.0619454823671377E-4</v>
      </c>
      <c r="T5" s="32">
        <v>23.904964664382199</v>
      </c>
      <c r="U5">
        <f>M5</f>
        <v>0.01</v>
      </c>
      <c r="V5" s="41" t="s">
        <v>30</v>
      </c>
      <c r="W5" s="41" t="s">
        <v>30</v>
      </c>
      <c r="X5" s="17">
        <v>0.79765624999999996</v>
      </c>
      <c r="Y5" s="40">
        <v>0.52782777119073798</v>
      </c>
    </row>
    <row r="6" spans="1:25" x14ac:dyDescent="0.3">
      <c r="A6" s="5">
        <v>4</v>
      </c>
      <c r="B6" s="5" t="s">
        <v>69</v>
      </c>
      <c r="C6">
        <f>Characteristics!$C$17</f>
        <v>0.47</v>
      </c>
      <c r="D6">
        <f>Characteristics!$C$20</f>
        <v>3.2100000000000002E-3</v>
      </c>
      <c r="E6">
        <f>Characteristics!$C$18</f>
        <v>0.47</v>
      </c>
      <c r="F6">
        <v>1</v>
      </c>
      <c r="G6">
        <v>1</v>
      </c>
      <c r="H6" s="38">
        <v>1470.69995410663</v>
      </c>
      <c r="I6">
        <v>7.54</v>
      </c>
      <c r="J6" s="17">
        <v>31.172960679084301</v>
      </c>
      <c r="K6" s="17">
        <v>31.172960679084301</v>
      </c>
      <c r="L6" s="5">
        <v>35</v>
      </c>
      <c r="M6">
        <v>0.01</v>
      </c>
      <c r="N6">
        <v>3.7</v>
      </c>
      <c r="O6" s="38">
        <v>30</v>
      </c>
      <c r="P6" s="23">
        <v>1.06E-2</v>
      </c>
      <c r="Q6" s="32">
        <v>3.7</v>
      </c>
      <c r="R6" s="41" t="s">
        <v>30</v>
      </c>
      <c r="S6" s="50">
        <v>2.5249773085771047E-4</v>
      </c>
      <c r="T6" s="32">
        <v>23.543472285026301</v>
      </c>
      <c r="U6">
        <f>M6</f>
        <v>0.01</v>
      </c>
      <c r="V6" s="41" t="s">
        <v>30</v>
      </c>
      <c r="W6" s="41" t="s">
        <v>30</v>
      </c>
      <c r="X6" s="17">
        <v>0.82447916666666599</v>
      </c>
      <c r="Y6" s="40">
        <v>0.54502516724457195</v>
      </c>
    </row>
    <row r="7" spans="1:25" x14ac:dyDescent="0.3">
      <c r="A7" s="5">
        <v>5</v>
      </c>
      <c r="B7" s="5" t="s">
        <v>69</v>
      </c>
      <c r="C7">
        <f>Characteristics!$C$17</f>
        <v>0.47</v>
      </c>
      <c r="D7">
        <f>Characteristics!$C$20</f>
        <v>3.2100000000000002E-3</v>
      </c>
      <c r="E7">
        <f>Characteristics!$C$18</f>
        <v>0.47</v>
      </c>
      <c r="F7">
        <v>1</v>
      </c>
      <c r="G7">
        <v>1</v>
      </c>
      <c r="H7" s="38">
        <v>1471.4186643882199</v>
      </c>
      <c r="I7">
        <v>7.54</v>
      </c>
      <c r="J7" s="17">
        <v>31.165820683375902</v>
      </c>
      <c r="K7" s="17">
        <v>31.165820683375902</v>
      </c>
      <c r="L7" s="5">
        <v>35</v>
      </c>
      <c r="M7">
        <v>0.01</v>
      </c>
      <c r="N7">
        <v>3.7</v>
      </c>
      <c r="O7" s="38">
        <v>30</v>
      </c>
      <c r="P7" s="23">
        <v>1.06E-2</v>
      </c>
      <c r="Q7" s="32">
        <v>3.7</v>
      </c>
      <c r="R7" s="41" t="s">
        <v>30</v>
      </c>
      <c r="S7" s="50">
        <v>3.0381317551915298E-4</v>
      </c>
      <c r="T7" s="32">
        <v>23.376629648400499</v>
      </c>
      <c r="U7">
        <f>M7</f>
        <v>0.01</v>
      </c>
      <c r="V7" s="41" t="s">
        <v>30</v>
      </c>
      <c r="W7" s="41" t="s">
        <v>30</v>
      </c>
      <c r="X7" s="17">
        <v>0.8359375</v>
      </c>
      <c r="Y7" s="40">
        <v>0.55296242696172604</v>
      </c>
    </row>
    <row r="8" spans="1:25" x14ac:dyDescent="0.3">
      <c r="A8" s="5">
        <v>6</v>
      </c>
      <c r="B8" s="5" t="s">
        <v>73</v>
      </c>
      <c r="C8">
        <f>Characteristics!$C$17</f>
        <v>0.47</v>
      </c>
      <c r="D8">
        <f>Characteristics!$C$20</f>
        <v>3.2100000000000002E-3</v>
      </c>
      <c r="E8">
        <f>Characteristics!$C$18</f>
        <v>0.47</v>
      </c>
      <c r="F8">
        <v>1</v>
      </c>
      <c r="G8">
        <v>1</v>
      </c>
      <c r="H8" s="38">
        <v>1462.2974585062</v>
      </c>
      <c r="I8">
        <v>7.54</v>
      </c>
      <c r="J8" s="17">
        <v>31.2568055910968</v>
      </c>
      <c r="K8" s="17">
        <v>31.2568055910968</v>
      </c>
      <c r="L8" s="5">
        <v>35</v>
      </c>
      <c r="M8">
        <v>0.01</v>
      </c>
      <c r="N8">
        <v>3.7</v>
      </c>
      <c r="O8" s="38">
        <v>30</v>
      </c>
      <c r="P8" s="23">
        <v>1.06E-2</v>
      </c>
      <c r="Q8" s="32">
        <v>3.7</v>
      </c>
      <c r="R8" s="41" t="s">
        <v>30</v>
      </c>
      <c r="S8" s="50">
        <v>1.4347554738894939E-4</v>
      </c>
      <c r="T8" s="32">
        <v>25.503873265379799</v>
      </c>
      <c r="U8">
        <f>M8</f>
        <v>0.01</v>
      </c>
      <c r="V8" s="41" t="s">
        <v>30</v>
      </c>
      <c r="W8" s="41" t="s">
        <v>30</v>
      </c>
      <c r="X8" s="17">
        <v>0.68307291666666603</v>
      </c>
      <c r="Y8" s="40">
        <v>0.45176236556801302</v>
      </c>
    </row>
    <row r="9" spans="1:25" x14ac:dyDescent="0.3">
      <c r="A9" s="5">
        <v>7</v>
      </c>
      <c r="B9" s="5" t="s">
        <v>73</v>
      </c>
      <c r="C9">
        <f>Characteristics!$C$17</f>
        <v>0.47</v>
      </c>
      <c r="D9">
        <f>Characteristics!$C$20</f>
        <v>3.2100000000000002E-3</v>
      </c>
      <c r="E9">
        <f>Characteristics!$C$18</f>
        <v>0.47</v>
      </c>
      <c r="F9">
        <v>1</v>
      </c>
      <c r="G9">
        <v>1</v>
      </c>
      <c r="H9" s="38">
        <v>1463.5439665998699</v>
      </c>
      <c r="I9">
        <v>7.54</v>
      </c>
      <c r="J9" s="17">
        <v>31.244323889493501</v>
      </c>
      <c r="K9" s="17">
        <v>31.244323889493501</v>
      </c>
      <c r="L9" s="5">
        <v>35</v>
      </c>
      <c r="M9">
        <v>0.01</v>
      </c>
      <c r="N9">
        <v>3.7</v>
      </c>
      <c r="O9" s="38">
        <v>30</v>
      </c>
      <c r="P9" s="23">
        <v>1.06E-2</v>
      </c>
      <c r="Q9" s="32">
        <v>3.7</v>
      </c>
      <c r="R9" s="41" t="s">
        <v>30</v>
      </c>
      <c r="S9" s="50">
        <v>1.5958760569028353E-4</v>
      </c>
      <c r="T9" s="32">
        <v>25.211898651284599</v>
      </c>
      <c r="U9">
        <f>M9</f>
        <v>0.01</v>
      </c>
      <c r="V9" s="41" t="s">
        <v>30</v>
      </c>
      <c r="W9" s="41" t="s">
        <v>30</v>
      </c>
      <c r="X9" s="17">
        <v>0.70364583333333297</v>
      </c>
      <c r="Y9" s="40">
        <v>0.46565257007303201</v>
      </c>
    </row>
    <row r="10" spans="1:25" x14ac:dyDescent="0.3">
      <c r="A10" s="5">
        <v>8</v>
      </c>
      <c r="B10" s="5" t="s">
        <v>73</v>
      </c>
      <c r="C10">
        <f>Characteristics!$C$17</f>
        <v>0.47</v>
      </c>
      <c r="D10">
        <f>Characteristics!$C$20</f>
        <v>3.2100000000000002E-3</v>
      </c>
      <c r="E10">
        <f>Characteristics!$C$18</f>
        <v>0.47</v>
      </c>
      <c r="F10">
        <v>1</v>
      </c>
      <c r="G10">
        <v>1</v>
      </c>
      <c r="H10" s="38">
        <v>1465.6848398074801</v>
      </c>
      <c r="I10">
        <v>7.54</v>
      </c>
      <c r="J10" s="17">
        <v>31.222921935936402</v>
      </c>
      <c r="K10" s="17">
        <v>31.222921935936402</v>
      </c>
      <c r="L10" s="5">
        <v>35</v>
      </c>
      <c r="M10">
        <v>0.01</v>
      </c>
      <c r="N10">
        <v>3.7</v>
      </c>
      <c r="O10" s="38">
        <v>30</v>
      </c>
      <c r="P10" s="23">
        <v>1.06E-2</v>
      </c>
      <c r="Q10" s="32">
        <v>3.7</v>
      </c>
      <c r="R10" s="41" t="s">
        <v>30</v>
      </c>
      <c r="S10" s="50">
        <v>2.000091655875161E-4</v>
      </c>
      <c r="T10" s="32">
        <v>24.711370741407102</v>
      </c>
      <c r="U10">
        <f>M10</f>
        <v>0.01</v>
      </c>
      <c r="V10" s="41" t="s">
        <v>30</v>
      </c>
      <c r="W10" s="41" t="s">
        <v>30</v>
      </c>
      <c r="X10" s="17">
        <v>0.73984374999999902</v>
      </c>
      <c r="Y10" s="40">
        <v>0.489464349224494</v>
      </c>
    </row>
    <row r="11" spans="1:25" x14ac:dyDescent="0.3">
      <c r="A11" s="5">
        <v>9</v>
      </c>
      <c r="B11" s="5" t="s">
        <v>73</v>
      </c>
      <c r="C11">
        <f>Characteristics!$C$17</f>
        <v>0.47</v>
      </c>
      <c r="D11">
        <f>Characteristics!$C$20</f>
        <v>3.2100000000000002E-3</v>
      </c>
      <c r="E11">
        <f>Characteristics!$C$18</f>
        <v>0.47</v>
      </c>
      <c r="F11">
        <v>1</v>
      </c>
      <c r="G11">
        <v>1</v>
      </c>
      <c r="H11" s="38">
        <v>1467.65175997755</v>
      </c>
      <c r="I11">
        <v>7.54</v>
      </c>
      <c r="J11" s="17">
        <v>31.203298202755501</v>
      </c>
      <c r="K11" s="17">
        <v>31.203298202755501</v>
      </c>
      <c r="L11" s="5">
        <v>35</v>
      </c>
      <c r="M11">
        <v>0.01</v>
      </c>
      <c r="N11">
        <v>3.7</v>
      </c>
      <c r="O11" s="38">
        <v>30</v>
      </c>
      <c r="P11" s="23">
        <v>1.06E-2</v>
      </c>
      <c r="Q11" s="32">
        <v>3.7</v>
      </c>
      <c r="R11" s="41" t="s">
        <v>30</v>
      </c>
      <c r="S11" s="50">
        <v>2.4245562420120075E-4</v>
      </c>
      <c r="T11" s="32">
        <v>24.2525534906861</v>
      </c>
      <c r="U11">
        <f>M11</f>
        <v>0.01</v>
      </c>
      <c r="V11" s="41" t="s">
        <v>30</v>
      </c>
      <c r="W11" s="41" t="s">
        <v>30</v>
      </c>
      <c r="X11" s="17">
        <v>0.77317708333333302</v>
      </c>
      <c r="Y11" s="40">
        <v>0.51129181344666796</v>
      </c>
    </row>
    <row r="12" spans="1:25" x14ac:dyDescent="0.3">
      <c r="A12" s="5">
        <v>10</v>
      </c>
      <c r="B12" s="5" t="s">
        <v>73</v>
      </c>
      <c r="C12">
        <f>Characteristics!$C$17</f>
        <v>0.47</v>
      </c>
      <c r="D12">
        <f>Characteristics!$C$20</f>
        <v>3.2100000000000002E-3</v>
      </c>
      <c r="E12">
        <f>Characteristics!$C$18</f>
        <v>0.47</v>
      </c>
      <c r="F12">
        <v>1</v>
      </c>
      <c r="G12">
        <v>1</v>
      </c>
      <c r="H12" s="38">
        <v>1469.2044632443999</v>
      </c>
      <c r="I12">
        <v>7.54</v>
      </c>
      <c r="J12" s="17">
        <v>31.187833522538799</v>
      </c>
      <c r="K12" s="17">
        <v>31.187833522538799</v>
      </c>
      <c r="L12" s="5">
        <v>35</v>
      </c>
      <c r="M12">
        <v>0.01</v>
      </c>
      <c r="N12">
        <v>3.7</v>
      </c>
      <c r="O12" s="38">
        <v>30</v>
      </c>
      <c r="P12" s="23">
        <v>1.06E-2</v>
      </c>
      <c r="Q12" s="32">
        <v>3.7</v>
      </c>
      <c r="R12" s="41" t="s">
        <v>30</v>
      </c>
      <c r="S12" s="50">
        <v>2.9126630537607982E-4</v>
      </c>
      <c r="T12" s="32">
        <v>23.891061111330099</v>
      </c>
      <c r="U12">
        <f>M12</f>
        <v>0.01</v>
      </c>
      <c r="V12" s="41" t="s">
        <v>30</v>
      </c>
      <c r="W12" s="41" t="s">
        <v>30</v>
      </c>
      <c r="X12" s="17">
        <v>0.79869791666666601</v>
      </c>
      <c r="Y12" s="40">
        <v>0.52848920950050104</v>
      </c>
    </row>
    <row r="13" spans="1:25" x14ac:dyDescent="0.3">
      <c r="A13" s="5">
        <v>11</v>
      </c>
      <c r="B13" s="5" t="s">
        <v>70</v>
      </c>
      <c r="C13">
        <f>Characteristics!$C$17</f>
        <v>0.47</v>
      </c>
      <c r="D13">
        <f>Characteristics!$C$20</f>
        <v>3.2100000000000002E-3</v>
      </c>
      <c r="E13">
        <f>Characteristics!$C$18</f>
        <v>0.47</v>
      </c>
      <c r="F13">
        <v>1</v>
      </c>
      <c r="G13">
        <v>1</v>
      </c>
      <c r="H13" s="38">
        <v>1453.4435469125201</v>
      </c>
      <c r="I13">
        <v>7.54</v>
      </c>
      <c r="J13" s="17">
        <v>31.345901321470102</v>
      </c>
      <c r="K13" s="17">
        <v>31.345901321470102</v>
      </c>
      <c r="L13" s="5">
        <v>35</v>
      </c>
      <c r="M13">
        <v>0.01</v>
      </c>
      <c r="N13">
        <v>3.7</v>
      </c>
      <c r="O13" s="38">
        <v>30</v>
      </c>
      <c r="P13" s="23">
        <v>1.06E-2</v>
      </c>
      <c r="Q13" s="32">
        <v>3.7</v>
      </c>
      <c r="R13" s="41" t="s">
        <v>30</v>
      </c>
      <c r="S13" s="50">
        <v>1.4151439248632358E-4</v>
      </c>
      <c r="T13" s="32">
        <v>27.589406223202701</v>
      </c>
      <c r="U13">
        <f>M13</f>
        <v>0.01</v>
      </c>
      <c r="V13" s="41" t="s">
        <v>30</v>
      </c>
      <c r="W13" s="41" t="s">
        <v>30</v>
      </c>
      <c r="X13" s="17">
        <v>0.53333333333333299</v>
      </c>
      <c r="Y13" s="40">
        <v>0.35254661910358898</v>
      </c>
    </row>
    <row r="14" spans="1:25" x14ac:dyDescent="0.3">
      <c r="A14" s="5">
        <v>12</v>
      </c>
      <c r="B14" s="5" t="s">
        <v>70</v>
      </c>
      <c r="C14">
        <f>Characteristics!$C$17</f>
        <v>0.47</v>
      </c>
      <c r="D14">
        <f>Characteristics!$C$20</f>
        <v>3.2100000000000002E-3</v>
      </c>
      <c r="E14">
        <f>Characteristics!$C$18</f>
        <v>0.47</v>
      </c>
      <c r="F14">
        <v>1</v>
      </c>
      <c r="G14">
        <v>1</v>
      </c>
      <c r="H14" s="38">
        <v>1455.7960949046101</v>
      </c>
      <c r="I14">
        <v>7.54</v>
      </c>
      <c r="J14" s="17">
        <v>31.322152617833598</v>
      </c>
      <c r="K14" s="17">
        <v>31.322152617833598</v>
      </c>
      <c r="L14" s="5">
        <v>35</v>
      </c>
      <c r="M14">
        <v>0.01</v>
      </c>
      <c r="N14">
        <v>3.7</v>
      </c>
      <c r="O14" s="38">
        <v>30</v>
      </c>
      <c r="P14" s="23">
        <v>1.06E-2</v>
      </c>
      <c r="Q14" s="32">
        <v>3.7</v>
      </c>
      <c r="R14" s="41" t="s">
        <v>30</v>
      </c>
      <c r="S14" s="50">
        <v>1.6033120909466044E-4</v>
      </c>
      <c r="T14" s="32">
        <v>27.0332641011166</v>
      </c>
      <c r="U14">
        <f>M14</f>
        <v>0.01</v>
      </c>
      <c r="V14" s="41" t="s">
        <v>30</v>
      </c>
      <c r="W14" s="41" t="s">
        <v>30</v>
      </c>
      <c r="X14" s="17">
        <v>0.57291666666666596</v>
      </c>
      <c r="Y14" s="40">
        <v>0.37900415149410199</v>
      </c>
    </row>
    <row r="15" spans="1:25" x14ac:dyDescent="0.3">
      <c r="A15" s="5">
        <v>13</v>
      </c>
      <c r="B15" s="5" t="s">
        <v>70</v>
      </c>
      <c r="C15">
        <f>Characteristics!$C$17</f>
        <v>0.47</v>
      </c>
      <c r="D15">
        <f>Characteristics!$C$20</f>
        <v>3.2100000000000002E-3</v>
      </c>
      <c r="E15">
        <f>Characteristics!$C$18</f>
        <v>0.47</v>
      </c>
      <c r="F15">
        <v>1</v>
      </c>
      <c r="G15">
        <v>1</v>
      </c>
      <c r="H15" s="38">
        <v>1459.15913368152</v>
      </c>
      <c r="I15">
        <v>7.54</v>
      </c>
      <c r="J15" s="17">
        <v>31.2882979566869</v>
      </c>
      <c r="K15" s="17">
        <v>31.2882979566869</v>
      </c>
      <c r="L15" s="5">
        <v>35</v>
      </c>
      <c r="M15">
        <v>0.01</v>
      </c>
      <c r="N15">
        <v>3.7</v>
      </c>
      <c r="O15" s="38">
        <v>30</v>
      </c>
      <c r="P15" s="23">
        <v>1.06E-2</v>
      </c>
      <c r="Q15" s="32">
        <v>3.7</v>
      </c>
      <c r="R15" s="41" t="s">
        <v>30</v>
      </c>
      <c r="S15" s="50">
        <v>1.99985666335659E-4</v>
      </c>
      <c r="T15" s="32">
        <v>26.2407615771439</v>
      </c>
      <c r="U15">
        <f>M15</f>
        <v>0.01</v>
      </c>
      <c r="V15" s="41" t="s">
        <v>30</v>
      </c>
      <c r="W15" s="41" t="s">
        <v>30</v>
      </c>
      <c r="X15" s="17">
        <v>0.63020833333333304</v>
      </c>
      <c r="Y15" s="40">
        <v>0.41670613515058302</v>
      </c>
    </row>
    <row r="16" spans="1:25" x14ac:dyDescent="0.3">
      <c r="A16" s="5">
        <v>14</v>
      </c>
      <c r="B16" s="5" t="s">
        <v>70</v>
      </c>
      <c r="C16">
        <f>Characteristics!$C$17</f>
        <v>0.47</v>
      </c>
      <c r="D16">
        <f>Characteristics!$C$20</f>
        <v>3.2100000000000002E-3</v>
      </c>
      <c r="E16">
        <f>Characteristics!$C$18</f>
        <v>0.47</v>
      </c>
      <c r="F16">
        <v>1</v>
      </c>
      <c r="G16">
        <v>1</v>
      </c>
      <c r="H16" s="38">
        <v>1463.48457010728</v>
      </c>
      <c r="I16">
        <v>7.54</v>
      </c>
      <c r="J16" s="17">
        <v>31.244918302526202</v>
      </c>
      <c r="K16" s="17">
        <v>31.244918302526202</v>
      </c>
      <c r="L16" s="5">
        <v>35</v>
      </c>
      <c r="M16">
        <v>0.01</v>
      </c>
      <c r="N16">
        <v>3.7</v>
      </c>
      <c r="O16" s="38">
        <v>30</v>
      </c>
      <c r="P16" s="23">
        <v>1.06E-2</v>
      </c>
      <c r="Q16" s="32">
        <v>3.7</v>
      </c>
      <c r="R16" s="41" t="s">
        <v>30</v>
      </c>
      <c r="S16" s="50">
        <v>2.4282647700248289E-4</v>
      </c>
      <c r="T16" s="32">
        <v>25.225802204336699</v>
      </c>
      <c r="U16">
        <f>M16</f>
        <v>0.01</v>
      </c>
      <c r="V16" s="41" t="s">
        <v>30</v>
      </c>
      <c r="W16" s="41" t="s">
        <v>30</v>
      </c>
      <c r="X16" s="17">
        <v>0.70338541666666599</v>
      </c>
      <c r="Y16" s="40">
        <v>0.46499113176327</v>
      </c>
    </row>
    <row r="17" spans="1:25" x14ac:dyDescent="0.3">
      <c r="A17" s="5">
        <v>15</v>
      </c>
      <c r="B17" s="5" t="s">
        <v>70</v>
      </c>
      <c r="C17">
        <f>Characteristics!$C$17</f>
        <v>0.47</v>
      </c>
      <c r="D17">
        <f>Characteristics!$C$20</f>
        <v>3.2100000000000002E-3</v>
      </c>
      <c r="E17">
        <f>Characteristics!$C$18</f>
        <v>0.47</v>
      </c>
      <c r="F17">
        <v>1</v>
      </c>
      <c r="G17">
        <v>1</v>
      </c>
      <c r="H17" s="38">
        <v>1466.1017089054601</v>
      </c>
      <c r="I17">
        <v>7.54</v>
      </c>
      <c r="J17" s="17">
        <v>31.218759747711001</v>
      </c>
      <c r="K17" s="17">
        <v>31.218759747711001</v>
      </c>
      <c r="L17" s="5">
        <v>35</v>
      </c>
      <c r="M17">
        <v>0.01</v>
      </c>
      <c r="N17">
        <v>3.7</v>
      </c>
      <c r="O17" s="38">
        <v>30</v>
      </c>
      <c r="P17" s="23">
        <v>1.06E-2</v>
      </c>
      <c r="Q17" s="32">
        <v>3.7</v>
      </c>
      <c r="R17" s="41" t="s">
        <v>30</v>
      </c>
      <c r="S17" s="50">
        <v>2.8884387299756665E-4</v>
      </c>
      <c r="T17" s="32">
        <v>24.614045870041998</v>
      </c>
      <c r="U17">
        <f>M17</f>
        <v>0.01</v>
      </c>
      <c r="V17" s="41" t="s">
        <v>30</v>
      </c>
      <c r="W17" s="41" t="s">
        <v>30</v>
      </c>
      <c r="X17" s="17">
        <v>0.74687499999999996</v>
      </c>
      <c r="Y17" s="40">
        <v>0.494094417392834</v>
      </c>
    </row>
    <row r="18" spans="1:25" x14ac:dyDescent="0.3">
      <c r="A18" s="5">
        <v>16</v>
      </c>
      <c r="B18" s="5" t="s">
        <v>71</v>
      </c>
      <c r="C18">
        <f>Characteristics!$C$17</f>
        <v>0.47</v>
      </c>
      <c r="D18">
        <f>Characteristics!$C$20</f>
        <v>3.2100000000000002E-3</v>
      </c>
      <c r="E18">
        <f>Characteristics!$C$18</f>
        <v>0.47</v>
      </c>
      <c r="F18">
        <v>1</v>
      </c>
      <c r="G18">
        <v>1</v>
      </c>
      <c r="H18" s="38">
        <v>1450.68715119591</v>
      </c>
      <c r="I18">
        <v>7.54</v>
      </c>
      <c r="J18" s="17">
        <v>31.373796624150302</v>
      </c>
      <c r="K18" s="17">
        <v>31.373796624150302</v>
      </c>
      <c r="L18" s="5">
        <v>35</v>
      </c>
      <c r="M18">
        <v>0.01</v>
      </c>
      <c r="N18">
        <v>3.7</v>
      </c>
      <c r="O18" s="38">
        <v>30</v>
      </c>
      <c r="P18" s="23">
        <v>1.06E-2</v>
      </c>
      <c r="Q18" s="32">
        <v>3.7</v>
      </c>
      <c r="R18" s="41" t="s">
        <v>30</v>
      </c>
      <c r="S18" s="50">
        <v>1.4449433205616788E-4</v>
      </c>
      <c r="T18" s="32">
        <v>28.242873216653798</v>
      </c>
      <c r="U18">
        <f>M18</f>
        <v>0.01</v>
      </c>
      <c r="V18" s="41" t="s">
        <v>30</v>
      </c>
      <c r="W18" s="41" t="s">
        <v>30</v>
      </c>
      <c r="X18" s="17">
        <v>0.48619791666666601</v>
      </c>
      <c r="Y18" s="40">
        <v>0.32145901854473502</v>
      </c>
    </row>
    <row r="19" spans="1:25" x14ac:dyDescent="0.3">
      <c r="A19" s="5">
        <v>17</v>
      </c>
      <c r="B19" s="5" t="s">
        <v>71</v>
      </c>
      <c r="C19">
        <f>Characteristics!$C$17</f>
        <v>0.47</v>
      </c>
      <c r="D19">
        <f>Characteristics!$C$20</f>
        <v>3.2100000000000002E-3</v>
      </c>
      <c r="E19">
        <f>Characteristics!$C$18</f>
        <v>0.47</v>
      </c>
      <c r="F19">
        <v>1</v>
      </c>
      <c r="G19">
        <v>1</v>
      </c>
      <c r="H19" s="38">
        <v>1452.3869058436701</v>
      </c>
      <c r="I19">
        <v>7.54</v>
      </c>
      <c r="J19" s="17">
        <v>31.356585831364701</v>
      </c>
      <c r="K19" s="17">
        <v>31.356585831364701</v>
      </c>
      <c r="L19" s="5">
        <v>35</v>
      </c>
      <c r="M19">
        <v>0.01</v>
      </c>
      <c r="N19">
        <v>3.7</v>
      </c>
      <c r="O19" s="38">
        <v>30</v>
      </c>
      <c r="P19" s="23">
        <v>1.06E-2</v>
      </c>
      <c r="Q19" s="32">
        <v>3.7</v>
      </c>
      <c r="R19" s="41" t="s">
        <v>30</v>
      </c>
      <c r="S19" s="50">
        <v>1.6137974459617824E-4</v>
      </c>
      <c r="T19" s="32">
        <v>27.8396701781414</v>
      </c>
      <c r="U19">
        <f>M19</f>
        <v>0.01</v>
      </c>
      <c r="V19" s="41" t="s">
        <v>30</v>
      </c>
      <c r="W19" s="41" t="s">
        <v>30</v>
      </c>
      <c r="X19" s="17">
        <v>0.51484374999999905</v>
      </c>
      <c r="Y19" s="40">
        <v>0.34064072952785701</v>
      </c>
    </row>
    <row r="20" spans="1:25" x14ac:dyDescent="0.3">
      <c r="A20" s="5">
        <v>18</v>
      </c>
      <c r="B20" s="5" t="s">
        <v>71</v>
      </c>
      <c r="C20">
        <f>Characteristics!$C$17</f>
        <v>0.47</v>
      </c>
      <c r="D20">
        <f>Characteristics!$C$20</f>
        <v>3.2100000000000002E-3</v>
      </c>
      <c r="E20">
        <f>Characteristics!$C$18</f>
        <v>0.47</v>
      </c>
      <c r="F20">
        <v>1</v>
      </c>
      <c r="G20">
        <v>1</v>
      </c>
      <c r="H20" s="38">
        <v>1456.2084240445899</v>
      </c>
      <c r="I20">
        <v>7.54</v>
      </c>
      <c r="J20" s="17">
        <v>31.317995835833401</v>
      </c>
      <c r="K20" s="17">
        <v>31.317995835833401</v>
      </c>
      <c r="L20" s="5">
        <v>35</v>
      </c>
      <c r="M20">
        <v>0.01</v>
      </c>
      <c r="N20">
        <v>3.7</v>
      </c>
      <c r="O20" s="38">
        <v>30</v>
      </c>
      <c r="P20" s="23">
        <v>1.06E-2</v>
      </c>
      <c r="Q20" s="32">
        <v>3.7</v>
      </c>
      <c r="R20" s="41" t="s">
        <v>30</v>
      </c>
      <c r="S20" s="50">
        <v>2.006501202409058E-4</v>
      </c>
      <c r="T20" s="32">
        <v>26.935939229751501</v>
      </c>
      <c r="U20">
        <f>M20</f>
        <v>0.01</v>
      </c>
      <c r="V20" s="41" t="s">
        <v>30</v>
      </c>
      <c r="W20" s="41" t="s">
        <v>30</v>
      </c>
      <c r="X20" s="17">
        <v>0.58020833333333299</v>
      </c>
      <c r="Y20" s="40">
        <v>0.38363421966244099</v>
      </c>
    </row>
    <row r="21" spans="1:25" x14ac:dyDescent="0.3">
      <c r="A21" s="5">
        <v>19</v>
      </c>
      <c r="B21" s="5" t="s">
        <v>71</v>
      </c>
      <c r="C21">
        <f>Characteristics!$C$17</f>
        <v>0.47</v>
      </c>
      <c r="D21">
        <f>Characteristics!$C$20</f>
        <v>3.2100000000000002E-3</v>
      </c>
      <c r="E21">
        <f>Characteristics!$C$18</f>
        <v>0.47</v>
      </c>
      <c r="F21">
        <v>1</v>
      </c>
      <c r="G21">
        <v>1</v>
      </c>
      <c r="H21" s="38">
        <v>1459.04091967673</v>
      </c>
      <c r="I21">
        <v>7.54</v>
      </c>
      <c r="J21" s="17">
        <v>31.289486093569302</v>
      </c>
      <c r="K21" s="17">
        <v>31.289486093569302</v>
      </c>
      <c r="L21" s="5">
        <v>35</v>
      </c>
      <c r="M21">
        <v>0.01</v>
      </c>
      <c r="N21">
        <v>3.7</v>
      </c>
      <c r="O21" s="38">
        <v>30</v>
      </c>
      <c r="P21" s="23">
        <v>1.06E-2</v>
      </c>
      <c r="Q21" s="32">
        <v>3.7</v>
      </c>
      <c r="R21" s="41" t="s">
        <v>30</v>
      </c>
      <c r="S21" s="50">
        <v>2.4570387945674051E-4</v>
      </c>
      <c r="T21" s="32">
        <v>26.268568683248201</v>
      </c>
      <c r="U21">
        <f>M21</f>
        <v>0.01</v>
      </c>
      <c r="V21" s="41" t="s">
        <v>30</v>
      </c>
      <c r="W21" s="41" t="s">
        <v>30</v>
      </c>
      <c r="X21" s="17">
        <v>0.62786458333333295</v>
      </c>
      <c r="Y21" s="40">
        <v>0.41538325853105701</v>
      </c>
    </row>
    <row r="22" spans="1:25" x14ac:dyDescent="0.3">
      <c r="A22" s="5">
        <v>20</v>
      </c>
      <c r="B22" s="5" t="s">
        <v>71</v>
      </c>
      <c r="C22">
        <f>Characteristics!$C$17</f>
        <v>0.47</v>
      </c>
      <c r="D22">
        <f>Characteristics!$C$20</f>
        <v>3.2100000000000002E-3</v>
      </c>
      <c r="E22">
        <f>Characteristics!$C$18</f>
        <v>0.47</v>
      </c>
      <c r="F22">
        <v>1</v>
      </c>
      <c r="G22">
        <v>1</v>
      </c>
      <c r="H22" s="38">
        <v>1461.28963767509</v>
      </c>
      <c r="I22">
        <v>7.54</v>
      </c>
      <c r="J22" s="17">
        <v>31.266908331040799</v>
      </c>
      <c r="K22" s="17">
        <v>31.266908331040799</v>
      </c>
      <c r="L22" s="5">
        <v>35</v>
      </c>
      <c r="M22">
        <v>0.01</v>
      </c>
      <c r="N22">
        <v>3.7</v>
      </c>
      <c r="O22" s="38">
        <v>30</v>
      </c>
      <c r="P22" s="23">
        <v>1.06E-2</v>
      </c>
      <c r="Q22" s="32">
        <v>3.7</v>
      </c>
      <c r="R22" s="41" t="s">
        <v>30</v>
      </c>
      <c r="S22" s="50">
        <v>2.9528886377120148E-4</v>
      </c>
      <c r="T22" s="32">
        <v>25.740233667266398</v>
      </c>
      <c r="U22">
        <f>M22</f>
        <v>0.01</v>
      </c>
      <c r="V22" s="41" t="s">
        <v>30</v>
      </c>
      <c r="W22" s="41" t="s">
        <v>30</v>
      </c>
      <c r="X22" s="17">
        <v>0.66588541666666601</v>
      </c>
      <c r="Y22" s="40">
        <v>0.44051791430204501</v>
      </c>
    </row>
    <row r="23" spans="1:25" x14ac:dyDescent="0.3">
      <c r="A23" s="5">
        <v>21</v>
      </c>
      <c r="B23" s="5" t="s">
        <v>72</v>
      </c>
      <c r="C23">
        <f>Characteristics!$C$17</f>
        <v>0.47</v>
      </c>
      <c r="D23">
        <f>Characteristics!$C$20</f>
        <v>3.2100000000000002E-3</v>
      </c>
      <c r="E23">
        <f>Characteristics!$C$18</f>
        <v>0.47</v>
      </c>
      <c r="F23">
        <v>1</v>
      </c>
      <c r="G23">
        <v>1</v>
      </c>
      <c r="H23" s="38">
        <v>1469.3240119902</v>
      </c>
      <c r="I23">
        <v>7.54</v>
      </c>
      <c r="J23" s="17">
        <v>31.186643801830598</v>
      </c>
      <c r="K23" s="17">
        <v>31.186643801830598</v>
      </c>
      <c r="L23" s="5">
        <v>35</v>
      </c>
      <c r="M23">
        <v>0.01</v>
      </c>
      <c r="N23">
        <v>3.7</v>
      </c>
      <c r="O23" s="38">
        <v>30</v>
      </c>
      <c r="P23" s="23">
        <v>1.06E-2</v>
      </c>
      <c r="Q23" s="32">
        <v>3.7</v>
      </c>
      <c r="R23" s="41" t="s">
        <v>30</v>
      </c>
      <c r="S23" s="50">
        <v>1.4350077698951813E-4</v>
      </c>
      <c r="T23" s="32">
        <v>23.863254005225802</v>
      </c>
      <c r="U23">
        <f>M23</f>
        <v>0.01</v>
      </c>
      <c r="V23" s="41" t="s">
        <v>30</v>
      </c>
      <c r="W23" s="41" t="s">
        <v>30</v>
      </c>
      <c r="X23" s="17">
        <v>0.80078125</v>
      </c>
      <c r="Y23" s="40">
        <v>0.52981208612002695</v>
      </c>
    </row>
    <row r="24" spans="1:25" x14ac:dyDescent="0.3">
      <c r="A24" s="5">
        <v>22</v>
      </c>
      <c r="B24" s="5" t="s">
        <v>72</v>
      </c>
      <c r="C24">
        <f>Characteristics!$C$17</f>
        <v>0.47</v>
      </c>
      <c r="D24">
        <f>Characteristics!$C$20</f>
        <v>3.2100000000000002E-3</v>
      </c>
      <c r="E24">
        <f>Characteristics!$C$18</f>
        <v>0.47</v>
      </c>
      <c r="F24">
        <v>1</v>
      </c>
      <c r="G24">
        <v>1</v>
      </c>
      <c r="H24" s="38">
        <v>1468.8459113778099</v>
      </c>
      <c r="I24">
        <v>7.54</v>
      </c>
      <c r="J24" s="17">
        <v>31.191402573282701</v>
      </c>
      <c r="K24" s="17">
        <v>31.191402573282701</v>
      </c>
      <c r="L24" s="5">
        <v>35</v>
      </c>
      <c r="M24">
        <v>0.01</v>
      </c>
      <c r="N24">
        <v>3.7</v>
      </c>
      <c r="O24" s="38">
        <v>30</v>
      </c>
      <c r="P24" s="23">
        <v>1.06E-2</v>
      </c>
      <c r="Q24" s="32">
        <v>3.7</v>
      </c>
      <c r="R24" s="41" t="s">
        <v>30</v>
      </c>
      <c r="S24" s="50">
        <v>1.6143946953557761E-4</v>
      </c>
      <c r="T24" s="32">
        <v>23.974482429643</v>
      </c>
      <c r="U24">
        <f>M24</f>
        <v>0.01</v>
      </c>
      <c r="V24" s="41" t="s">
        <v>30</v>
      </c>
      <c r="W24" s="41" t="s">
        <v>30</v>
      </c>
      <c r="X24" s="17">
        <v>0.79348958333333297</v>
      </c>
      <c r="Y24" s="40">
        <v>0.524520579641924</v>
      </c>
    </row>
    <row r="25" spans="1:25" x14ac:dyDescent="0.3">
      <c r="A25" s="5">
        <v>23</v>
      </c>
      <c r="B25" s="5" t="s">
        <v>72</v>
      </c>
      <c r="C25">
        <f>Characteristics!$C$17</f>
        <v>0.47</v>
      </c>
      <c r="D25">
        <f>Characteristics!$C$20</f>
        <v>3.2100000000000002E-3</v>
      </c>
      <c r="E25">
        <f>Characteristics!$C$18</f>
        <v>0.47</v>
      </c>
      <c r="F25">
        <v>1</v>
      </c>
      <c r="G25">
        <v>1</v>
      </c>
      <c r="H25" s="38">
        <v>1470.9993477125599</v>
      </c>
      <c r="I25">
        <v>7.54</v>
      </c>
      <c r="J25" s="17">
        <v>31.1699857621539</v>
      </c>
      <c r="K25" s="17">
        <v>31.1699857621539</v>
      </c>
      <c r="L25" s="5">
        <v>35</v>
      </c>
      <c r="M25">
        <v>0.01</v>
      </c>
      <c r="N25">
        <v>3.7</v>
      </c>
      <c r="O25" s="38">
        <v>30</v>
      </c>
      <c r="P25" s="23">
        <v>1.06E-2</v>
      </c>
      <c r="Q25" s="32">
        <v>3.7</v>
      </c>
      <c r="R25" s="41" t="s">
        <v>30</v>
      </c>
      <c r="S25" s="50">
        <v>2.0176435317576319E-4</v>
      </c>
      <c r="T25" s="32">
        <v>23.473954519765499</v>
      </c>
      <c r="U25">
        <f>M25</f>
        <v>0.01</v>
      </c>
      <c r="V25" s="41" t="s">
        <v>30</v>
      </c>
      <c r="W25" s="41" t="s">
        <v>30</v>
      </c>
      <c r="X25" s="17">
        <v>0.82864583333333297</v>
      </c>
      <c r="Y25" s="40">
        <v>0.54833235879338604</v>
      </c>
    </row>
    <row r="26" spans="1:25" x14ac:dyDescent="0.3">
      <c r="A26" s="5">
        <v>24</v>
      </c>
      <c r="B26" s="5" t="s">
        <v>72</v>
      </c>
      <c r="C26">
        <f>Characteristics!$C$17</f>
        <v>0.47</v>
      </c>
      <c r="D26">
        <f>Characteristics!$C$20</f>
        <v>3.2100000000000002E-3</v>
      </c>
      <c r="E26">
        <f>Characteristics!$C$18</f>
        <v>0.47</v>
      </c>
      <c r="F26">
        <v>1</v>
      </c>
      <c r="G26">
        <v>1</v>
      </c>
      <c r="H26" s="38">
        <v>1471.0592382621401</v>
      </c>
      <c r="I26">
        <v>7.54</v>
      </c>
      <c r="J26" s="17">
        <v>31.1693907648345</v>
      </c>
      <c r="K26" s="17">
        <v>31.1693907648345</v>
      </c>
      <c r="L26" s="5">
        <v>35</v>
      </c>
      <c r="M26">
        <v>0.01</v>
      </c>
      <c r="N26">
        <v>3.7</v>
      </c>
      <c r="O26" s="38">
        <v>30</v>
      </c>
      <c r="P26" s="23">
        <v>1.06E-2</v>
      </c>
      <c r="Q26" s="32">
        <v>3.7</v>
      </c>
      <c r="R26" s="41" t="s">
        <v>30</v>
      </c>
      <c r="S26" s="50">
        <v>2.4391464307126564E-4</v>
      </c>
      <c r="T26" s="32">
        <v>23.4600509667134</v>
      </c>
      <c r="U26">
        <f>M26</f>
        <v>0.01</v>
      </c>
      <c r="V26" s="41" t="s">
        <v>30</v>
      </c>
      <c r="W26" s="41" t="s">
        <v>30</v>
      </c>
      <c r="X26" s="17">
        <v>0.83020833333333299</v>
      </c>
      <c r="Y26" s="40">
        <v>0.54899379710314899</v>
      </c>
    </row>
    <row r="27" spans="1:25" x14ac:dyDescent="0.3">
      <c r="A27" s="5">
        <v>25</v>
      </c>
      <c r="B27" s="5" t="s">
        <v>72</v>
      </c>
      <c r="C27">
        <f>Characteristics!$C$17</f>
        <v>0.47</v>
      </c>
      <c r="D27">
        <f>Characteristics!$C$20</f>
        <v>3.2100000000000002E-3</v>
      </c>
      <c r="E27">
        <f>Characteristics!$C$18</f>
        <v>0.47</v>
      </c>
      <c r="F27">
        <v>1</v>
      </c>
      <c r="G27">
        <v>1</v>
      </c>
      <c r="H27" s="38">
        <v>1471.7182946652999</v>
      </c>
      <c r="I27">
        <v>7.54</v>
      </c>
      <c r="J27" s="17">
        <v>31.1628454877462</v>
      </c>
      <c r="K27" s="17">
        <v>31.1628454877462</v>
      </c>
      <c r="L27" s="5">
        <v>35</v>
      </c>
      <c r="M27">
        <v>0.01</v>
      </c>
      <c r="N27">
        <v>3.7</v>
      </c>
      <c r="O27" s="38">
        <v>30</v>
      </c>
      <c r="P27" s="23">
        <v>1.06E-2</v>
      </c>
      <c r="Q27" s="32">
        <v>3.7</v>
      </c>
      <c r="R27" s="41" t="s">
        <v>30</v>
      </c>
      <c r="S27" s="50">
        <v>2.9117895067499495E-4</v>
      </c>
      <c r="T27" s="32">
        <v>23.307111883139701</v>
      </c>
      <c r="U27">
        <f>M27</f>
        <v>0.01</v>
      </c>
      <c r="V27" s="41" t="s">
        <v>30</v>
      </c>
      <c r="W27" s="41" t="s">
        <v>30</v>
      </c>
      <c r="X27" s="17">
        <v>0.84114583333333304</v>
      </c>
      <c r="Y27" s="40">
        <v>0.55626961851054002</v>
      </c>
    </row>
    <row r="28" spans="1:25" x14ac:dyDescent="0.3">
      <c r="A28" s="5">
        <v>26</v>
      </c>
      <c r="B28" s="5" t="s">
        <v>69</v>
      </c>
      <c r="C28">
        <f>Characteristics!$C$17</f>
        <v>0.47</v>
      </c>
      <c r="D28">
        <f>Characteristics!$C$20</f>
        <v>3.2100000000000002E-3</v>
      </c>
      <c r="E28">
        <f>Characteristics!$C$18</f>
        <v>0.47</v>
      </c>
      <c r="F28">
        <v>1</v>
      </c>
      <c r="G28">
        <v>1.5405405405405406</v>
      </c>
      <c r="H28" s="38">
        <v>1469.0251696192499</v>
      </c>
      <c r="I28">
        <v>7.54</v>
      </c>
      <c r="J28" s="17">
        <v>31.189618068793798</v>
      </c>
      <c r="K28" s="17">
        <v>31.189618068793798</v>
      </c>
      <c r="L28" s="5">
        <v>35</v>
      </c>
      <c r="M28">
        <v>0.01</v>
      </c>
      <c r="N28">
        <v>3.7</v>
      </c>
      <c r="O28" s="38">
        <v>30</v>
      </c>
      <c r="P28" s="23">
        <v>1.06E-2</v>
      </c>
      <c r="Q28" s="32">
        <v>5.7</v>
      </c>
      <c r="R28" s="41" t="s">
        <v>30</v>
      </c>
      <c r="S28" s="50">
        <v>1.4491373465407909E-4</v>
      </c>
      <c r="T28" s="32">
        <v>23.9327717704866</v>
      </c>
      <c r="U28">
        <f>M28</f>
        <v>0.01</v>
      </c>
      <c r="V28" s="41" t="s">
        <v>30</v>
      </c>
      <c r="W28" s="41" t="s">
        <v>30</v>
      </c>
      <c r="X28" s="17">
        <v>0.79575588765305605</v>
      </c>
      <c r="Y28" s="40">
        <v>0.52650489457121297</v>
      </c>
    </row>
    <row r="29" spans="1:25" x14ac:dyDescent="0.3">
      <c r="A29" s="5">
        <v>27</v>
      </c>
      <c r="B29" s="5" t="s">
        <v>69</v>
      </c>
      <c r="C29">
        <f>Characteristics!$C$17</f>
        <v>0.47</v>
      </c>
      <c r="D29">
        <f>Characteristics!$C$20</f>
        <v>3.2100000000000002E-3</v>
      </c>
      <c r="E29">
        <f>Characteristics!$C$18</f>
        <v>0.47</v>
      </c>
      <c r="F29">
        <v>1</v>
      </c>
      <c r="G29">
        <v>1.5405405405405406</v>
      </c>
      <c r="H29" s="38">
        <v>1469.86217608571</v>
      </c>
      <c r="I29">
        <v>7.54</v>
      </c>
      <c r="J29" s="17">
        <v>31.181289828887198</v>
      </c>
      <c r="K29" s="17">
        <v>31.181289828887198</v>
      </c>
      <c r="L29" s="5">
        <v>35</v>
      </c>
      <c r="M29">
        <v>0.01</v>
      </c>
      <c r="N29">
        <v>3.7</v>
      </c>
      <c r="O29" s="38">
        <v>30</v>
      </c>
      <c r="P29" s="23">
        <v>1.06E-2</v>
      </c>
      <c r="Q29" s="32">
        <v>5.7</v>
      </c>
      <c r="R29" s="41" t="s">
        <v>30</v>
      </c>
      <c r="S29" s="50">
        <v>1.6415034927521198E-4</v>
      </c>
      <c r="T29" s="32">
        <v>23.7381220277564</v>
      </c>
      <c r="U29">
        <f>M29</f>
        <v>0.01</v>
      </c>
      <c r="V29" s="41" t="s">
        <v>30</v>
      </c>
      <c r="W29" s="41" t="s">
        <v>30</v>
      </c>
      <c r="X29" s="17">
        <v>0.810056758533092</v>
      </c>
      <c r="Y29" s="40">
        <v>0.53576503090789196</v>
      </c>
    </row>
    <row r="30" spans="1:25" x14ac:dyDescent="0.3">
      <c r="A30" s="5">
        <v>28</v>
      </c>
      <c r="B30" s="5" t="s">
        <v>69</v>
      </c>
      <c r="C30">
        <f>Characteristics!$C$17</f>
        <v>0.47</v>
      </c>
      <c r="D30">
        <f>Characteristics!$C$20</f>
        <v>3.2100000000000002E-3</v>
      </c>
      <c r="E30">
        <f>Characteristics!$C$18</f>
        <v>0.47</v>
      </c>
      <c r="F30">
        <v>1</v>
      </c>
      <c r="G30">
        <v>1.5405405405405406</v>
      </c>
      <c r="H30" s="38">
        <v>1470.8795784428701</v>
      </c>
      <c r="I30">
        <v>7.54</v>
      </c>
      <c r="J30" s="17">
        <v>31.1711757428589</v>
      </c>
      <c r="K30" s="17">
        <v>31.1711757428589</v>
      </c>
      <c r="L30" s="5">
        <v>35</v>
      </c>
      <c r="M30">
        <v>0.01</v>
      </c>
      <c r="N30">
        <v>3.7</v>
      </c>
      <c r="O30" s="38">
        <v>30</v>
      </c>
      <c r="P30" s="23">
        <v>1.06E-2</v>
      </c>
      <c r="Q30" s="32">
        <v>5.7</v>
      </c>
      <c r="R30" s="41" t="s">
        <v>30</v>
      </c>
      <c r="S30" s="50">
        <v>2.0733843504226512E-4</v>
      </c>
      <c r="T30" s="32">
        <v>23.501761625869801</v>
      </c>
      <c r="U30">
        <f>M30</f>
        <v>0.01</v>
      </c>
      <c r="V30" s="41" t="s">
        <v>30</v>
      </c>
      <c r="W30" s="41" t="s">
        <v>30</v>
      </c>
      <c r="X30" s="17">
        <v>0.82693615361528505</v>
      </c>
      <c r="Y30" s="40">
        <v>0.54700948217386103</v>
      </c>
    </row>
    <row r="31" spans="1:25" x14ac:dyDescent="0.3">
      <c r="A31" s="5">
        <v>29</v>
      </c>
      <c r="B31" s="5" t="s">
        <v>69</v>
      </c>
      <c r="C31">
        <f>Characteristics!$C$17</f>
        <v>0.47</v>
      </c>
      <c r="D31">
        <f>Characteristics!$C$20</f>
        <v>3.2100000000000002E-3</v>
      </c>
      <c r="E31">
        <f>Characteristics!$C$18</f>
        <v>0.47</v>
      </c>
      <c r="F31">
        <v>1</v>
      </c>
      <c r="G31">
        <v>1.5405405405405406</v>
      </c>
      <c r="H31" s="38">
        <v>1471.95806994078</v>
      </c>
      <c r="I31">
        <v>7.54</v>
      </c>
      <c r="J31" s="17">
        <v>31.160465247615299</v>
      </c>
      <c r="K31" s="17">
        <v>31.160465247615299</v>
      </c>
      <c r="L31" s="5">
        <v>35</v>
      </c>
      <c r="M31">
        <v>0.01</v>
      </c>
      <c r="N31">
        <v>3.7</v>
      </c>
      <c r="O31" s="38">
        <v>30</v>
      </c>
      <c r="P31" s="23">
        <v>1.06E-2</v>
      </c>
      <c r="Q31" s="32">
        <v>5.7</v>
      </c>
      <c r="R31" s="41" t="s">
        <v>30</v>
      </c>
      <c r="S31" s="50">
        <v>2.5278965194121646E-4</v>
      </c>
      <c r="T31" s="32">
        <v>23.251497670931101</v>
      </c>
      <c r="U31">
        <f>M31</f>
        <v>0.01</v>
      </c>
      <c r="V31" s="41" t="s">
        <v>30</v>
      </c>
      <c r="W31" s="41" t="s">
        <v>30</v>
      </c>
      <c r="X31" s="17">
        <v>0.84534802909096396</v>
      </c>
      <c r="Y31" s="40">
        <v>0.55891537174959205</v>
      </c>
    </row>
    <row r="32" spans="1:25" x14ac:dyDescent="0.3">
      <c r="A32" s="5">
        <v>30</v>
      </c>
      <c r="B32" s="5" t="s">
        <v>69</v>
      </c>
      <c r="C32">
        <f>Characteristics!$C$17</f>
        <v>0.47</v>
      </c>
      <c r="D32">
        <f>Characteristics!$C$20</f>
        <v>3.2100000000000002E-3</v>
      </c>
      <c r="E32">
        <f>Characteristics!$C$18</f>
        <v>0.47</v>
      </c>
      <c r="F32">
        <v>1</v>
      </c>
      <c r="G32">
        <v>1.5405405405405406</v>
      </c>
      <c r="H32" s="38">
        <v>1472.6777749609601</v>
      </c>
      <c r="I32">
        <v>7.54</v>
      </c>
      <c r="J32" s="17">
        <v>31.153324081131899</v>
      </c>
      <c r="K32" s="17">
        <v>31.153324081131899</v>
      </c>
      <c r="L32" s="5">
        <v>35</v>
      </c>
      <c r="M32">
        <v>0.01</v>
      </c>
      <c r="N32">
        <v>3.7</v>
      </c>
      <c r="O32" s="38">
        <v>30</v>
      </c>
      <c r="P32" s="23">
        <v>1.06E-2</v>
      </c>
      <c r="Q32" s="32">
        <v>5.7</v>
      </c>
      <c r="R32" s="41" t="s">
        <v>30</v>
      </c>
      <c r="S32" s="50">
        <v>3.0220134832098928E-4</v>
      </c>
      <c r="T32" s="32">
        <v>23.0846550343052</v>
      </c>
      <c r="U32">
        <f>M32</f>
        <v>0.01</v>
      </c>
      <c r="V32" s="41" t="s">
        <v>30</v>
      </c>
      <c r="W32" s="41" t="s">
        <v>30</v>
      </c>
      <c r="X32" s="17">
        <v>0.85713579624674296</v>
      </c>
      <c r="Y32" s="40">
        <v>0.56685263146674603</v>
      </c>
    </row>
    <row r="33" spans="1:25" x14ac:dyDescent="0.3">
      <c r="A33" s="5">
        <v>31</v>
      </c>
      <c r="B33" s="5" t="s">
        <v>73</v>
      </c>
      <c r="C33">
        <f>Characteristics!$C$17</f>
        <v>0.47</v>
      </c>
      <c r="D33">
        <f>Characteristics!$C$20</f>
        <v>3.2100000000000002E-3</v>
      </c>
      <c r="E33">
        <f>Characteristics!$C$18</f>
        <v>0.47</v>
      </c>
      <c r="F33">
        <v>1</v>
      </c>
      <c r="G33">
        <v>1.5405405405405406</v>
      </c>
      <c r="H33" s="38">
        <v>1463.24702311996</v>
      </c>
      <c r="I33">
        <v>7.54</v>
      </c>
      <c r="J33" s="17">
        <v>31.247295908360901</v>
      </c>
      <c r="K33" s="17">
        <v>31.247295908360901</v>
      </c>
      <c r="L33" s="5">
        <v>35</v>
      </c>
      <c r="M33">
        <v>0.01</v>
      </c>
      <c r="N33">
        <v>3.7</v>
      </c>
      <c r="O33" s="38">
        <v>30</v>
      </c>
      <c r="P33" s="23">
        <v>1.06E-2</v>
      </c>
      <c r="Q33" s="32">
        <v>5.7</v>
      </c>
      <c r="R33" s="41" t="s">
        <v>30</v>
      </c>
      <c r="S33" s="50">
        <v>1.4274490065267688E-4</v>
      </c>
      <c r="T33" s="32">
        <v>25.281416416545401</v>
      </c>
      <c r="U33">
        <f>M33</f>
        <v>0.01</v>
      </c>
      <c r="V33" s="41" t="s">
        <v>30</v>
      </c>
      <c r="W33" s="41" t="s">
        <v>30</v>
      </c>
      <c r="X33" s="17">
        <v>0.69912437109088499</v>
      </c>
      <c r="Y33" s="40">
        <v>0.46234537852421798</v>
      </c>
    </row>
    <row r="34" spans="1:25" x14ac:dyDescent="0.3">
      <c r="A34" s="5">
        <v>32</v>
      </c>
      <c r="B34" s="5" t="s">
        <v>73</v>
      </c>
      <c r="C34">
        <f>Characteristics!$C$17</f>
        <v>0.47</v>
      </c>
      <c r="D34">
        <f>Characteristics!$C$20</f>
        <v>3.2100000000000002E-3</v>
      </c>
      <c r="E34">
        <f>Characteristics!$C$18</f>
        <v>0.47</v>
      </c>
      <c r="F34">
        <v>1</v>
      </c>
      <c r="G34">
        <v>1.5405405405405406</v>
      </c>
      <c r="H34" s="38">
        <v>1464.4948409857</v>
      </c>
      <c r="I34">
        <v>7.54</v>
      </c>
      <c r="J34" s="17">
        <v>31.234812651234002</v>
      </c>
      <c r="K34" s="17">
        <v>31.234812651234002</v>
      </c>
      <c r="L34" s="5">
        <v>35</v>
      </c>
      <c r="M34">
        <v>0.01</v>
      </c>
      <c r="N34">
        <v>3.7</v>
      </c>
      <c r="O34" s="38">
        <v>30</v>
      </c>
      <c r="P34" s="23">
        <v>1.06E-2</v>
      </c>
      <c r="Q34" s="32">
        <v>5.7</v>
      </c>
      <c r="R34" s="41" t="s">
        <v>30</v>
      </c>
      <c r="S34" s="50">
        <v>1.604727611858775E-4</v>
      </c>
      <c r="T34" s="32">
        <v>24.989441802450099</v>
      </c>
      <c r="U34">
        <f>M34</f>
        <v>0.01</v>
      </c>
      <c r="V34" s="41" t="s">
        <v>30</v>
      </c>
      <c r="W34" s="41" t="s">
        <v>30</v>
      </c>
      <c r="X34" s="17">
        <v>0.72030727109481096</v>
      </c>
      <c r="Y34" s="40">
        <v>0.47623558302923802</v>
      </c>
    </row>
    <row r="35" spans="1:25" x14ac:dyDescent="0.3">
      <c r="A35" s="5">
        <v>33</v>
      </c>
      <c r="B35" s="5" t="s">
        <v>73</v>
      </c>
      <c r="C35">
        <f>Characteristics!$C$17</f>
        <v>0.47</v>
      </c>
      <c r="D35">
        <f>Characteristics!$C$20</f>
        <v>3.2100000000000002E-3</v>
      </c>
      <c r="E35">
        <f>Characteristics!$C$18</f>
        <v>0.47</v>
      </c>
      <c r="F35">
        <v>1</v>
      </c>
      <c r="G35">
        <v>1.5405405405405406</v>
      </c>
      <c r="H35" s="38">
        <v>1466.63796529673</v>
      </c>
      <c r="I35">
        <v>7.54</v>
      </c>
      <c r="J35" s="17">
        <v>31.213408029131799</v>
      </c>
      <c r="K35" s="17">
        <v>31.213408029131799</v>
      </c>
      <c r="L35" s="5">
        <v>35</v>
      </c>
      <c r="M35">
        <v>0.01</v>
      </c>
      <c r="N35">
        <v>3.7</v>
      </c>
      <c r="O35" s="38">
        <v>30</v>
      </c>
      <c r="P35" s="23">
        <v>1.06E-2</v>
      </c>
      <c r="Q35" s="32">
        <v>5.7</v>
      </c>
      <c r="R35" s="41" t="s">
        <v>30</v>
      </c>
      <c r="S35" s="50">
        <v>2.0177490434301589E-4</v>
      </c>
      <c r="T35" s="32">
        <v>24.4889138925727</v>
      </c>
      <c r="U35">
        <f>M35</f>
        <v>0.01</v>
      </c>
      <c r="V35" s="41" t="s">
        <v>30</v>
      </c>
      <c r="W35" s="41" t="s">
        <v>30</v>
      </c>
      <c r="X35" s="17">
        <v>0.75579628473484095</v>
      </c>
      <c r="Y35" s="40">
        <v>0.50004736218070001</v>
      </c>
    </row>
    <row r="36" spans="1:25" x14ac:dyDescent="0.3">
      <c r="A36" s="5">
        <v>34</v>
      </c>
      <c r="B36" s="5" t="s">
        <v>73</v>
      </c>
      <c r="C36">
        <f>Characteristics!$C$17</f>
        <v>0.47</v>
      </c>
      <c r="D36">
        <f>Characteristics!$C$20</f>
        <v>3.2100000000000002E-3</v>
      </c>
      <c r="E36">
        <f>Characteristics!$C$18</f>
        <v>0.47</v>
      </c>
      <c r="F36">
        <v>1</v>
      </c>
      <c r="G36">
        <v>1.5405405405405406</v>
      </c>
      <c r="H36" s="38">
        <v>1468.4277796972301</v>
      </c>
      <c r="I36">
        <v>7.54</v>
      </c>
      <c r="J36" s="17">
        <v>31.195566254684401</v>
      </c>
      <c r="K36" s="17">
        <v>31.195566254684401</v>
      </c>
      <c r="L36" s="5">
        <v>35</v>
      </c>
      <c r="M36">
        <v>0.01</v>
      </c>
      <c r="N36">
        <v>3.7</v>
      </c>
      <c r="O36" s="38">
        <v>30</v>
      </c>
      <c r="P36" s="23">
        <v>1.06E-2</v>
      </c>
      <c r="Q36" s="32">
        <v>5.7</v>
      </c>
      <c r="R36" s="41" t="s">
        <v>30</v>
      </c>
      <c r="S36" s="50">
        <v>2.4505728724056501E-4</v>
      </c>
      <c r="T36" s="32">
        <v>24.0718073010081</v>
      </c>
      <c r="U36">
        <f>M36</f>
        <v>0.01</v>
      </c>
      <c r="V36" s="41" t="s">
        <v>30</v>
      </c>
      <c r="W36" s="41" t="s">
        <v>30</v>
      </c>
      <c r="X36" s="17">
        <v>0.78593358415826498</v>
      </c>
      <c r="Y36" s="40">
        <v>0.519890511473584</v>
      </c>
    </row>
    <row r="37" spans="1:25" x14ac:dyDescent="0.3">
      <c r="A37" s="5">
        <v>35</v>
      </c>
      <c r="B37" s="5" t="s">
        <v>73</v>
      </c>
      <c r="C37">
        <f>Characteristics!$C$17</f>
        <v>0.47</v>
      </c>
      <c r="D37">
        <f>Characteristics!$C$20</f>
        <v>3.2100000000000002E-3</v>
      </c>
      <c r="E37">
        <f>Characteristics!$C$18</f>
        <v>0.47</v>
      </c>
      <c r="F37">
        <v>1</v>
      </c>
      <c r="G37">
        <v>1.5405405405405406</v>
      </c>
      <c r="H37" s="38">
        <v>1470.8795784428701</v>
      </c>
      <c r="I37">
        <v>7.54</v>
      </c>
      <c r="J37" s="17">
        <v>31.1711757428589</v>
      </c>
      <c r="K37" s="17">
        <v>31.1711757428589</v>
      </c>
      <c r="L37" s="5">
        <v>35</v>
      </c>
      <c r="M37">
        <v>0.01</v>
      </c>
      <c r="N37">
        <v>3.7</v>
      </c>
      <c r="O37" s="38">
        <v>30</v>
      </c>
      <c r="P37" s="23">
        <v>1.06E-2</v>
      </c>
      <c r="Q37" s="32">
        <v>5.7</v>
      </c>
      <c r="R37" s="41" t="s">
        <v>30</v>
      </c>
      <c r="S37" s="50">
        <v>2.9116858405298671E-4</v>
      </c>
      <c r="T37" s="32">
        <v>23.501761625869801</v>
      </c>
      <c r="U37">
        <f>M37</f>
        <v>0.01</v>
      </c>
      <c r="V37" s="41" t="s">
        <v>30</v>
      </c>
      <c r="W37" s="41" t="s">
        <v>30</v>
      </c>
      <c r="X37" s="17">
        <v>0.82729243308204403</v>
      </c>
      <c r="Y37" s="40">
        <v>0.54700948217386103</v>
      </c>
    </row>
    <row r="38" spans="1:25" x14ac:dyDescent="0.3">
      <c r="A38" s="5">
        <v>36</v>
      </c>
      <c r="B38" s="5" t="s">
        <v>70</v>
      </c>
      <c r="C38">
        <f>Characteristics!$C$17</f>
        <v>0.47</v>
      </c>
      <c r="D38">
        <f>Characteristics!$C$20</f>
        <v>3.2100000000000002E-3</v>
      </c>
      <c r="E38">
        <f>Characteristics!$C$18</f>
        <v>0.47</v>
      </c>
      <c r="F38">
        <v>1</v>
      </c>
      <c r="G38">
        <v>1.5405405405405406</v>
      </c>
      <c r="H38" s="38">
        <v>1456.0316884286301</v>
      </c>
      <c r="I38">
        <v>7.54</v>
      </c>
      <c r="J38" s="17">
        <v>31.319777341522801</v>
      </c>
      <c r="K38" s="17">
        <v>31.319777341522801</v>
      </c>
      <c r="L38" s="5">
        <v>35</v>
      </c>
      <c r="M38">
        <v>0.01</v>
      </c>
      <c r="N38">
        <v>3.7</v>
      </c>
      <c r="O38" s="38">
        <v>30</v>
      </c>
      <c r="P38" s="23">
        <v>1.06E-2</v>
      </c>
      <c r="Q38" s="32">
        <v>5.7</v>
      </c>
      <c r="R38" s="41" t="s">
        <v>30</v>
      </c>
      <c r="S38" s="50">
        <v>1.4227341500019794E-4</v>
      </c>
      <c r="T38" s="32">
        <v>26.977649888908001</v>
      </c>
      <c r="U38">
        <f>M38</f>
        <v>0.01</v>
      </c>
      <c r="V38" s="41" t="s">
        <v>30</v>
      </c>
      <c r="W38" s="41" t="s">
        <v>30</v>
      </c>
      <c r="X38" s="17">
        <v>0.57699915533374402</v>
      </c>
      <c r="Y38" s="40">
        <v>0.38164990473315302</v>
      </c>
    </row>
    <row r="39" spans="1:25" x14ac:dyDescent="0.3">
      <c r="A39" s="5">
        <v>37</v>
      </c>
      <c r="B39" s="5" t="s">
        <v>70</v>
      </c>
      <c r="C39">
        <f>Characteristics!$C$17</f>
        <v>0.47</v>
      </c>
      <c r="D39">
        <f>Characteristics!$C$20</f>
        <v>3.2100000000000002E-3</v>
      </c>
      <c r="E39">
        <f>Characteristics!$C$18</f>
        <v>0.47</v>
      </c>
      <c r="F39">
        <v>1</v>
      </c>
      <c r="G39">
        <v>1.5405405405405406</v>
      </c>
      <c r="H39" s="38">
        <v>1457.8596310983401</v>
      </c>
      <c r="I39">
        <v>7.54</v>
      </c>
      <c r="J39" s="17">
        <v>31.301366445951601</v>
      </c>
      <c r="K39" s="17">
        <v>31.301366445951601</v>
      </c>
      <c r="L39" s="5">
        <v>35</v>
      </c>
      <c r="M39">
        <v>0.01</v>
      </c>
      <c r="N39">
        <v>3.7</v>
      </c>
      <c r="O39" s="38">
        <v>30</v>
      </c>
      <c r="P39" s="23">
        <v>1.06E-2</v>
      </c>
      <c r="Q39" s="32">
        <v>5.7</v>
      </c>
      <c r="R39" s="41" t="s">
        <v>30</v>
      </c>
      <c r="S39" s="50">
        <v>1.604727611858775E-4</v>
      </c>
      <c r="T39" s="32">
        <v>26.546639744291198</v>
      </c>
      <c r="U39">
        <f>M39</f>
        <v>0.01</v>
      </c>
      <c r="V39" s="41" t="s">
        <v>30</v>
      </c>
      <c r="W39" s="41" t="s">
        <v>30</v>
      </c>
      <c r="X39" s="17">
        <v>0.60812596797866403</v>
      </c>
      <c r="Y39" s="40">
        <v>0.40215449233580097</v>
      </c>
    </row>
    <row r="40" spans="1:25" x14ac:dyDescent="0.3">
      <c r="A40" s="5">
        <v>38</v>
      </c>
      <c r="B40" s="5" t="s">
        <v>70</v>
      </c>
      <c r="C40">
        <f>Characteristics!$C$17</f>
        <v>0.47</v>
      </c>
      <c r="D40">
        <f>Characteristics!$C$20</f>
        <v>3.2100000000000002E-3</v>
      </c>
      <c r="E40">
        <f>Characteristics!$C$18</f>
        <v>0.47</v>
      </c>
      <c r="F40">
        <v>1</v>
      </c>
      <c r="G40">
        <v>1.5405405405405406</v>
      </c>
      <c r="H40" s="38">
        <v>1460.57891094515</v>
      </c>
      <c r="I40">
        <v>7.54</v>
      </c>
      <c r="J40" s="17">
        <v>31.274038872037099</v>
      </c>
      <c r="K40" s="17">
        <v>31.274038872037099</v>
      </c>
      <c r="L40" s="5">
        <v>35</v>
      </c>
      <c r="M40">
        <v>0.01</v>
      </c>
      <c r="N40">
        <v>3.7</v>
      </c>
      <c r="O40" s="38">
        <v>30</v>
      </c>
      <c r="P40" s="23">
        <v>1.06E-2</v>
      </c>
      <c r="Q40" s="32">
        <v>5.7</v>
      </c>
      <c r="R40" s="41" t="s">
        <v>30</v>
      </c>
      <c r="S40" s="50">
        <v>2.0102052729904999E-4</v>
      </c>
      <c r="T40" s="32">
        <v>25.9070763038922</v>
      </c>
      <c r="U40">
        <f>M40</f>
        <v>0.01</v>
      </c>
      <c r="V40" s="41" t="s">
        <v>30</v>
      </c>
      <c r="W40" s="41" t="s">
        <v>30</v>
      </c>
      <c r="X40" s="17">
        <v>0.65355741261123401</v>
      </c>
      <c r="Y40" s="40">
        <v>0.43258065458489098</v>
      </c>
    </row>
    <row r="41" spans="1:25" x14ac:dyDescent="0.3">
      <c r="A41" s="5">
        <v>39</v>
      </c>
      <c r="B41" s="5" t="s">
        <v>70</v>
      </c>
      <c r="C41">
        <f>Characteristics!$C$17</f>
        <v>0.47</v>
      </c>
      <c r="D41">
        <f>Characteristics!$C$20</f>
        <v>3.2100000000000002E-3</v>
      </c>
      <c r="E41">
        <f>Characteristics!$C$18</f>
        <v>0.47</v>
      </c>
      <c r="F41">
        <v>1</v>
      </c>
      <c r="G41">
        <v>1.5405405405405406</v>
      </c>
      <c r="H41" s="38">
        <v>1463.30640402004</v>
      </c>
      <c r="I41">
        <v>7.54</v>
      </c>
      <c r="J41" s="17">
        <v>31.2467015138464</v>
      </c>
      <c r="K41" s="17">
        <v>31.2467015138464</v>
      </c>
      <c r="L41" s="5">
        <v>35</v>
      </c>
      <c r="M41">
        <v>0.01</v>
      </c>
      <c r="N41">
        <v>3.7</v>
      </c>
      <c r="O41" s="38">
        <v>30</v>
      </c>
      <c r="P41" s="23">
        <v>1.06E-2</v>
      </c>
      <c r="Q41" s="32">
        <v>5.7</v>
      </c>
      <c r="R41" s="41" t="s">
        <v>30</v>
      </c>
      <c r="S41" s="50">
        <v>2.4317134463065022E-4</v>
      </c>
      <c r="T41" s="32">
        <v>25.267512863493199</v>
      </c>
      <c r="U41">
        <f>M41</f>
        <v>0.01</v>
      </c>
      <c r="V41" s="41" t="s">
        <v>30</v>
      </c>
      <c r="W41" s="41" t="s">
        <v>30</v>
      </c>
      <c r="X41" s="17">
        <v>0.70026558231950098</v>
      </c>
      <c r="Y41" s="40">
        <v>0.46300681683398098</v>
      </c>
    </row>
    <row r="42" spans="1:25" x14ac:dyDescent="0.3">
      <c r="A42" s="5">
        <v>40</v>
      </c>
      <c r="B42" s="5" t="s">
        <v>70</v>
      </c>
      <c r="C42">
        <f>Characteristics!$C$17</f>
        <v>0.47</v>
      </c>
      <c r="D42">
        <f>Characteristics!$C$20</f>
        <v>3.2100000000000002E-3</v>
      </c>
      <c r="E42">
        <f>Characteristics!$C$18</f>
        <v>0.47</v>
      </c>
      <c r="F42">
        <v>1</v>
      </c>
      <c r="G42">
        <v>1.5405405405405406</v>
      </c>
      <c r="H42" s="38">
        <v>1466.2208495841901</v>
      </c>
      <c r="I42">
        <v>7.54</v>
      </c>
      <c r="J42" s="17">
        <v>31.217570509362901</v>
      </c>
      <c r="K42" s="17">
        <v>31.217570509362901</v>
      </c>
      <c r="L42" s="5">
        <v>35</v>
      </c>
      <c r="M42">
        <v>0.01</v>
      </c>
      <c r="N42">
        <v>3.7</v>
      </c>
      <c r="O42" s="38">
        <v>30</v>
      </c>
      <c r="P42" s="23">
        <v>1.06E-2</v>
      </c>
      <c r="Q42" s="32">
        <v>5.7</v>
      </c>
      <c r="R42" s="41" t="s">
        <v>30</v>
      </c>
      <c r="S42" s="50">
        <v>2.9116858405298671E-4</v>
      </c>
      <c r="T42" s="32">
        <v>24.5862387639377</v>
      </c>
      <c r="U42">
        <f>M42</f>
        <v>0.01</v>
      </c>
      <c r="V42" s="41" t="s">
        <v>30</v>
      </c>
      <c r="W42" s="41" t="s">
        <v>30</v>
      </c>
      <c r="X42" s="17">
        <v>0.74876552090074</v>
      </c>
      <c r="Y42" s="40">
        <v>0.49541729401236001</v>
      </c>
    </row>
    <row r="43" spans="1:25" x14ac:dyDescent="0.3">
      <c r="A43" s="5">
        <v>41</v>
      </c>
      <c r="B43" s="5" t="s">
        <v>71</v>
      </c>
      <c r="C43">
        <f>Characteristics!$C$17</f>
        <v>0.47</v>
      </c>
      <c r="D43">
        <f>Characteristics!$C$20</f>
        <v>3.2100000000000002E-3</v>
      </c>
      <c r="E43">
        <f>Characteristics!$C$18</f>
        <v>0.47</v>
      </c>
      <c r="F43">
        <v>1</v>
      </c>
      <c r="G43">
        <v>1.5405405405405406</v>
      </c>
      <c r="H43" s="38">
        <v>1450.5114981700599</v>
      </c>
      <c r="I43">
        <v>7.54</v>
      </c>
      <c r="J43" s="17">
        <v>31.375576829937</v>
      </c>
      <c r="K43" s="17">
        <v>31.375576829937</v>
      </c>
      <c r="L43" s="5">
        <v>35</v>
      </c>
      <c r="M43">
        <v>0.01</v>
      </c>
      <c r="N43">
        <v>3.7</v>
      </c>
      <c r="O43" s="38">
        <v>30</v>
      </c>
      <c r="P43" s="23">
        <v>1.06E-2</v>
      </c>
      <c r="Q43" s="32">
        <v>5.7</v>
      </c>
      <c r="R43" s="41" t="s">
        <v>30</v>
      </c>
      <c r="S43" s="50">
        <v>1.4227341500019794E-4</v>
      </c>
      <c r="T43" s="32">
        <v>28.284583875810299</v>
      </c>
      <c r="U43">
        <f>M43</f>
        <v>0.01</v>
      </c>
      <c r="V43" s="41" t="s">
        <v>30</v>
      </c>
      <c r="W43" s="41" t="s">
        <v>30</v>
      </c>
      <c r="X43" s="17">
        <v>0.48317479272751201</v>
      </c>
      <c r="Y43" s="40">
        <v>0.319474703615447</v>
      </c>
    </row>
    <row r="44" spans="1:25" x14ac:dyDescent="0.3">
      <c r="A44" s="5">
        <v>42</v>
      </c>
      <c r="B44" s="5" t="s">
        <v>71</v>
      </c>
      <c r="C44">
        <f>Characteristics!$C$17</f>
        <v>0.47</v>
      </c>
      <c r="D44">
        <f>Characteristics!$C$20</f>
        <v>3.2100000000000002E-3</v>
      </c>
      <c r="E44">
        <f>Characteristics!$C$18</f>
        <v>0.47</v>
      </c>
      <c r="F44">
        <v>1</v>
      </c>
      <c r="G44">
        <v>1.5405405405405406</v>
      </c>
      <c r="H44" s="38">
        <v>1452.3869058436701</v>
      </c>
      <c r="I44">
        <v>7.54</v>
      </c>
      <c r="J44" s="17">
        <v>31.356585831364701</v>
      </c>
      <c r="K44" s="17">
        <v>31.356585831364701</v>
      </c>
      <c r="L44" s="5">
        <v>35</v>
      </c>
      <c r="M44">
        <v>0.01</v>
      </c>
      <c r="N44">
        <v>3.7</v>
      </c>
      <c r="O44" s="38">
        <v>30</v>
      </c>
      <c r="P44" s="23">
        <v>1.06E-2</v>
      </c>
      <c r="Q44" s="32">
        <v>5.7</v>
      </c>
      <c r="R44" s="41" t="s">
        <v>30</v>
      </c>
      <c r="S44" s="50">
        <v>1.6339597223124608E-4</v>
      </c>
      <c r="T44" s="32">
        <v>27.8396701781414</v>
      </c>
      <c r="U44">
        <f>M44</f>
        <v>0.01</v>
      </c>
      <c r="V44" s="41" t="s">
        <v>30</v>
      </c>
      <c r="W44" s="41" t="s">
        <v>30</v>
      </c>
      <c r="X44" s="17">
        <v>0.51481505354829404</v>
      </c>
      <c r="Y44" s="40">
        <v>0.34064072952785701</v>
      </c>
    </row>
    <row r="45" spans="1:25" x14ac:dyDescent="0.3">
      <c r="A45" s="5">
        <v>43</v>
      </c>
      <c r="B45" s="5" t="s">
        <v>71</v>
      </c>
      <c r="C45">
        <f>Characteristics!$C$17</f>
        <v>0.47</v>
      </c>
      <c r="D45">
        <f>Characteristics!$C$20</f>
        <v>3.2100000000000002E-3</v>
      </c>
      <c r="E45">
        <f>Characteristics!$C$18</f>
        <v>0.47</v>
      </c>
      <c r="F45">
        <v>1</v>
      </c>
      <c r="G45">
        <v>1.5405405405405406</v>
      </c>
      <c r="H45" s="38">
        <v>1455.6194402224301</v>
      </c>
      <c r="I45">
        <v>7.54</v>
      </c>
      <c r="J45" s="17">
        <v>31.323934026614701</v>
      </c>
      <c r="K45" s="17">
        <v>31.323934026614701</v>
      </c>
      <c r="L45" s="5">
        <v>35</v>
      </c>
      <c r="M45">
        <v>0.01</v>
      </c>
      <c r="N45">
        <v>3.7</v>
      </c>
      <c r="O45" s="38">
        <v>30</v>
      </c>
      <c r="P45" s="23">
        <v>1.06E-2</v>
      </c>
      <c r="Q45" s="32">
        <v>5.7</v>
      </c>
      <c r="R45" s="41" t="s">
        <v>30</v>
      </c>
      <c r="S45" s="50">
        <v>1.9998325886359661E-4</v>
      </c>
      <c r="T45" s="32">
        <v>27.074974760273001</v>
      </c>
      <c r="U45">
        <f>M45</f>
        <v>0.01</v>
      </c>
      <c r="V45" s="41" t="s">
        <v>30</v>
      </c>
      <c r="W45" s="41" t="s">
        <v>30</v>
      </c>
      <c r="X45" s="17">
        <v>0.57018505409283204</v>
      </c>
      <c r="Y45" s="40">
        <v>0.37701983656481303</v>
      </c>
    </row>
    <row r="46" spans="1:25" x14ac:dyDescent="0.3">
      <c r="A46" s="5">
        <v>44</v>
      </c>
      <c r="B46" s="5" t="s">
        <v>71</v>
      </c>
      <c r="C46">
        <f>Characteristics!$C$17</f>
        <v>0.47</v>
      </c>
      <c r="D46">
        <f>Characteristics!$C$20</f>
        <v>3.2100000000000002E-3</v>
      </c>
      <c r="E46">
        <f>Characteristics!$C$18</f>
        <v>0.47</v>
      </c>
      <c r="F46">
        <v>1</v>
      </c>
      <c r="G46">
        <v>1.5405405405405406</v>
      </c>
      <c r="H46" s="38">
        <v>1458.27290608063</v>
      </c>
      <c r="I46">
        <v>7.54</v>
      </c>
      <c r="J46" s="17">
        <v>31.297208532809801</v>
      </c>
      <c r="K46" s="17">
        <v>31.297208532809801</v>
      </c>
      <c r="L46" s="5">
        <v>35</v>
      </c>
      <c r="M46">
        <v>0.01</v>
      </c>
      <c r="N46">
        <v>3.7</v>
      </c>
      <c r="O46" s="38">
        <v>30</v>
      </c>
      <c r="P46" s="23">
        <v>1.06E-2</v>
      </c>
      <c r="Q46" s="32">
        <v>5.7</v>
      </c>
      <c r="R46" s="41" t="s">
        <v>30</v>
      </c>
      <c r="S46" s="50">
        <v>2.4392572167461615E-4</v>
      </c>
      <c r="T46" s="32">
        <v>26.449314872926202</v>
      </c>
      <c r="U46">
        <f>M46</f>
        <v>0.01</v>
      </c>
      <c r="V46" s="41" t="s">
        <v>30</v>
      </c>
      <c r="W46" s="41" t="s">
        <v>30</v>
      </c>
      <c r="X46" s="17">
        <v>0.61485572923064402</v>
      </c>
      <c r="Y46" s="40">
        <v>0.40678456050414102</v>
      </c>
    </row>
    <row r="47" spans="1:25" x14ac:dyDescent="0.3">
      <c r="A47" s="5">
        <v>45</v>
      </c>
      <c r="B47" s="5" t="s">
        <v>71</v>
      </c>
      <c r="C47">
        <f>Characteristics!$C$17</f>
        <v>0.47</v>
      </c>
      <c r="D47">
        <f>Characteristics!$C$20</f>
        <v>3.2100000000000002E-3</v>
      </c>
      <c r="E47">
        <f>Characteristics!$C$18</f>
        <v>0.47</v>
      </c>
      <c r="F47">
        <v>1</v>
      </c>
      <c r="G47">
        <v>1.5405405405405406</v>
      </c>
      <c r="H47" s="38">
        <v>1460.57891094515</v>
      </c>
      <c r="I47">
        <v>7.54</v>
      </c>
      <c r="J47" s="17">
        <v>31.274038872037099</v>
      </c>
      <c r="K47" s="17">
        <v>31.274038872037099</v>
      </c>
      <c r="L47" s="5">
        <v>35</v>
      </c>
      <c r="M47">
        <v>0.01</v>
      </c>
      <c r="N47">
        <v>3.7</v>
      </c>
      <c r="O47" s="38">
        <v>30</v>
      </c>
      <c r="P47" s="23">
        <v>1.06E-2</v>
      </c>
      <c r="Q47" s="32">
        <v>5.7</v>
      </c>
      <c r="R47" s="41" t="s">
        <v>30</v>
      </c>
      <c r="S47" s="50">
        <v>2.9343171518488449E-4</v>
      </c>
      <c r="T47" s="32">
        <v>25.9070763038922</v>
      </c>
      <c r="U47">
        <f>M47</f>
        <v>0.01</v>
      </c>
      <c r="V47" s="41" t="s">
        <v>30</v>
      </c>
      <c r="W47" s="41" t="s">
        <v>30</v>
      </c>
      <c r="X47" s="17">
        <v>0.65417902112425397</v>
      </c>
      <c r="Y47" s="40">
        <v>0.43258065458489098</v>
      </c>
    </row>
    <row r="48" spans="1:25" x14ac:dyDescent="0.3">
      <c r="A48" s="5">
        <v>46</v>
      </c>
      <c r="B48" s="5" t="s">
        <v>72</v>
      </c>
      <c r="C48">
        <f>Characteristics!$C$17</f>
        <v>0.47</v>
      </c>
      <c r="D48">
        <f>Characteristics!$C$20</f>
        <v>3.2100000000000002E-3</v>
      </c>
      <c r="E48">
        <f>Characteristics!$C$18</f>
        <v>0.47</v>
      </c>
      <c r="F48">
        <v>1</v>
      </c>
      <c r="G48">
        <v>1.5405405405405406</v>
      </c>
      <c r="H48" s="38">
        <v>1469.38379226287</v>
      </c>
      <c r="I48">
        <v>7.54</v>
      </c>
      <c r="J48" s="17">
        <v>31.186048934514599</v>
      </c>
      <c r="K48" s="17">
        <v>31.186048934514599</v>
      </c>
      <c r="L48" s="5">
        <v>35</v>
      </c>
      <c r="M48">
        <v>0.01</v>
      </c>
      <c r="N48">
        <v>3.7</v>
      </c>
      <c r="O48" s="38">
        <v>30</v>
      </c>
      <c r="P48" s="23">
        <v>1.06E-2</v>
      </c>
      <c r="Q48" s="32">
        <v>5.7</v>
      </c>
      <c r="R48" s="41" t="s">
        <v>30</v>
      </c>
      <c r="S48" s="50">
        <v>1.4302779204416387E-4</v>
      </c>
      <c r="T48" s="32">
        <v>23.849350452173599</v>
      </c>
      <c r="U48">
        <f>M48</f>
        <v>0.01</v>
      </c>
      <c r="V48" s="41" t="s">
        <v>30</v>
      </c>
      <c r="W48" s="41" t="s">
        <v>30</v>
      </c>
      <c r="X48" s="17">
        <v>0.80161763085678495</v>
      </c>
      <c r="Y48" s="40">
        <v>0.53047352442979001</v>
      </c>
    </row>
    <row r="49" spans="1:25" x14ac:dyDescent="0.3">
      <c r="A49" s="5">
        <v>47</v>
      </c>
      <c r="B49" s="5" t="s">
        <v>72</v>
      </c>
      <c r="C49">
        <f>Characteristics!$C$17</f>
        <v>0.47</v>
      </c>
      <c r="D49">
        <f>Characteristics!$C$20</f>
        <v>3.2100000000000002E-3</v>
      </c>
      <c r="E49">
        <f>Characteristics!$C$18</f>
        <v>0.47</v>
      </c>
      <c r="F49">
        <v>1</v>
      </c>
      <c r="G49">
        <v>1.5405405405405406</v>
      </c>
      <c r="H49" s="38">
        <v>1471.4186643882199</v>
      </c>
      <c r="I49">
        <v>7.54</v>
      </c>
      <c r="J49" s="17">
        <v>31.165820683375902</v>
      </c>
      <c r="K49" s="17">
        <v>31.165820683375902</v>
      </c>
      <c r="L49" s="5">
        <v>35</v>
      </c>
      <c r="M49">
        <v>0.01</v>
      </c>
      <c r="N49">
        <v>3.7</v>
      </c>
      <c r="O49" s="38">
        <v>30</v>
      </c>
      <c r="P49" s="23">
        <v>1.06E-2</v>
      </c>
      <c r="Q49" s="32">
        <v>5.7</v>
      </c>
      <c r="R49" s="41" t="s">
        <v>30</v>
      </c>
      <c r="S49" s="50">
        <v>1.604727611858775E-4</v>
      </c>
      <c r="T49" s="32">
        <v>23.376629648400499</v>
      </c>
      <c r="U49">
        <f>M49</f>
        <v>0.01</v>
      </c>
      <c r="V49" s="41" t="s">
        <v>30</v>
      </c>
      <c r="W49" s="41" t="s">
        <v>30</v>
      </c>
      <c r="X49" s="17">
        <v>0.83605797931010895</v>
      </c>
      <c r="Y49" s="40">
        <v>0.55296242696172604</v>
      </c>
    </row>
    <row r="50" spans="1:25" x14ac:dyDescent="0.3">
      <c r="A50" s="5">
        <v>48</v>
      </c>
      <c r="B50" s="5" t="s">
        <v>72</v>
      </c>
      <c r="C50">
        <f>Characteristics!$C$17</f>
        <v>0.47</v>
      </c>
      <c r="D50">
        <f>Characteristics!$C$20</f>
        <v>3.2100000000000002E-3</v>
      </c>
      <c r="E50">
        <f>Characteristics!$C$18</f>
        <v>0.47</v>
      </c>
      <c r="F50">
        <v>1</v>
      </c>
      <c r="G50">
        <v>1.5405405405405406</v>
      </c>
      <c r="H50" s="38">
        <v>1472.13794286045</v>
      </c>
      <c r="I50">
        <v>7.54</v>
      </c>
      <c r="J50" s="17">
        <v>31.158680018729701</v>
      </c>
      <c r="K50" s="17">
        <v>31.158680018729701</v>
      </c>
      <c r="L50" s="5">
        <v>35</v>
      </c>
      <c r="M50">
        <v>0.01</v>
      </c>
      <c r="N50">
        <v>3.7</v>
      </c>
      <c r="O50" s="38">
        <v>30</v>
      </c>
      <c r="P50" s="23">
        <v>1.06E-2</v>
      </c>
      <c r="Q50" s="32">
        <v>5.7</v>
      </c>
      <c r="R50" s="41" t="s">
        <v>30</v>
      </c>
      <c r="S50" s="50">
        <v>2.0224638999549483E-4</v>
      </c>
      <c r="T50" s="32">
        <v>23.209787011774601</v>
      </c>
      <c r="U50">
        <f>M50</f>
        <v>0.01</v>
      </c>
      <c r="V50" s="41" t="s">
        <v>30</v>
      </c>
      <c r="W50" s="41" t="s">
        <v>30</v>
      </c>
      <c r="X50" s="17">
        <v>0.84834642967045304</v>
      </c>
      <c r="Y50" s="40">
        <v>0.56089968667888002</v>
      </c>
    </row>
    <row r="51" spans="1:25" x14ac:dyDescent="0.3">
      <c r="A51" s="5">
        <v>49</v>
      </c>
      <c r="B51" s="5" t="s">
        <v>72</v>
      </c>
      <c r="C51">
        <f>Characteristics!$C$17</f>
        <v>0.47</v>
      </c>
      <c r="D51">
        <f>Characteristics!$C$20</f>
        <v>3.2100000000000002E-3</v>
      </c>
      <c r="E51">
        <f>Characteristics!$C$18</f>
        <v>0.47</v>
      </c>
      <c r="F51">
        <v>1</v>
      </c>
      <c r="G51">
        <v>1.5405405405405406</v>
      </c>
      <c r="H51" s="38">
        <v>1473.4580978256799</v>
      </c>
      <c r="I51">
        <v>7.54</v>
      </c>
      <c r="J51" s="17">
        <v>31.145587062153901</v>
      </c>
      <c r="K51" s="17">
        <v>31.145587062153901</v>
      </c>
      <c r="L51" s="5">
        <v>35</v>
      </c>
      <c r="M51">
        <v>0.01</v>
      </c>
      <c r="N51">
        <v>3.7</v>
      </c>
      <c r="O51" s="38">
        <v>30</v>
      </c>
      <c r="P51" s="23">
        <v>1.06E-2</v>
      </c>
      <c r="Q51" s="32">
        <v>5.7</v>
      </c>
      <c r="R51" s="41" t="s">
        <v>30</v>
      </c>
      <c r="S51" s="50">
        <v>2.4430291019659914E-4</v>
      </c>
      <c r="T51" s="32">
        <v>22.903908844627299</v>
      </c>
      <c r="U51">
        <f>M51</f>
        <v>0.01</v>
      </c>
      <c r="V51" s="41" t="s">
        <v>30</v>
      </c>
      <c r="W51" s="41" t="s">
        <v>30</v>
      </c>
      <c r="X51" s="17">
        <v>0.87032360721879298</v>
      </c>
      <c r="Y51" s="40">
        <v>0.57545132949366196</v>
      </c>
    </row>
    <row r="52" spans="1:25" x14ac:dyDescent="0.3">
      <c r="A52" s="5">
        <v>50</v>
      </c>
      <c r="B52" s="5" t="s">
        <v>72</v>
      </c>
      <c r="C52">
        <f>Characteristics!$C$17</f>
        <v>0.47</v>
      </c>
      <c r="D52">
        <f>Characteristics!$C$20</f>
        <v>3.2100000000000002E-3</v>
      </c>
      <c r="E52">
        <f>Characteristics!$C$18</f>
        <v>0.47</v>
      </c>
      <c r="F52">
        <v>1</v>
      </c>
      <c r="G52">
        <v>1.5405405405405406</v>
      </c>
      <c r="H52" s="38">
        <v>1473.75840006815</v>
      </c>
      <c r="I52">
        <v>7.54</v>
      </c>
      <c r="J52" s="17">
        <v>31.142611076414202</v>
      </c>
      <c r="K52" s="17">
        <v>31.142611076414202</v>
      </c>
      <c r="L52" s="5">
        <v>35</v>
      </c>
      <c r="M52">
        <v>0.01</v>
      </c>
      <c r="N52">
        <v>3.7</v>
      </c>
      <c r="O52" s="38">
        <v>30</v>
      </c>
      <c r="P52" s="23">
        <v>1.06E-2</v>
      </c>
      <c r="Q52" s="32">
        <v>5.7</v>
      </c>
      <c r="R52" s="41" t="s">
        <v>30</v>
      </c>
      <c r="S52" s="50">
        <v>2.9164006970546516E-4</v>
      </c>
      <c r="T52" s="32">
        <v>22.834391079366501</v>
      </c>
      <c r="U52">
        <f>M52</f>
        <v>0.01</v>
      </c>
      <c r="V52" s="41" t="s">
        <v>30</v>
      </c>
      <c r="W52" s="41" t="s">
        <v>30</v>
      </c>
      <c r="X52" s="17">
        <v>0.87497005677119599</v>
      </c>
      <c r="Y52" s="40">
        <v>0.57875852104247605</v>
      </c>
    </row>
    <row r="53" spans="1:25" x14ac:dyDescent="0.3">
      <c r="A53" s="5">
        <v>51</v>
      </c>
      <c r="B53" s="5" t="s">
        <v>69</v>
      </c>
      <c r="C53">
        <f>Characteristics!$C$17</f>
        <v>0.47</v>
      </c>
      <c r="D53">
        <f>Characteristics!$C$20</f>
        <v>3.2100000000000002E-3</v>
      </c>
      <c r="E53">
        <f>Characteristics!$C$18</f>
        <v>0.47</v>
      </c>
      <c r="F53">
        <v>1</v>
      </c>
      <c r="G53">
        <v>1</v>
      </c>
      <c r="H53" s="38">
        <v>1466.57836558859</v>
      </c>
      <c r="I53">
        <v>7.54</v>
      </c>
      <c r="J53" s="17">
        <v>31.214002683071701</v>
      </c>
      <c r="K53" s="17">
        <v>31.214002683071701</v>
      </c>
      <c r="L53" s="5">
        <v>35</v>
      </c>
      <c r="M53">
        <v>0.01</v>
      </c>
      <c r="N53">
        <v>3.7</v>
      </c>
      <c r="O53" s="38">
        <v>30</v>
      </c>
      <c r="P53" s="23">
        <v>1.06E-2</v>
      </c>
      <c r="Q53" s="32">
        <v>3.7</v>
      </c>
      <c r="R53" s="41" t="s">
        <v>30</v>
      </c>
      <c r="S53" s="50">
        <v>1.4438400425716632E-4</v>
      </c>
      <c r="T53" s="32">
        <v>24.5028174456248</v>
      </c>
      <c r="U53">
        <f>M53</f>
        <v>0.01</v>
      </c>
      <c r="V53" s="41" t="s">
        <v>30</v>
      </c>
      <c r="W53" s="41" t="s">
        <v>30</v>
      </c>
      <c r="X53" s="17">
        <v>0.75508720930232498</v>
      </c>
      <c r="Y53" s="40">
        <v>0.499385923870937</v>
      </c>
    </row>
    <row r="54" spans="1:25" x14ac:dyDescent="0.3">
      <c r="A54" s="5">
        <v>52</v>
      </c>
      <c r="B54" s="5" t="s">
        <v>69</v>
      </c>
      <c r="C54">
        <f>Characteristics!$C$17</f>
        <v>0.47</v>
      </c>
      <c r="D54">
        <f>Characteristics!$C$20</f>
        <v>3.2100000000000002E-3</v>
      </c>
      <c r="E54">
        <f>Characteristics!$C$18</f>
        <v>0.47</v>
      </c>
      <c r="F54">
        <v>1</v>
      </c>
      <c r="G54">
        <v>1</v>
      </c>
      <c r="H54" s="38">
        <v>1467.5920936264199</v>
      </c>
      <c r="I54">
        <v>7.54</v>
      </c>
      <c r="J54" s="17">
        <v>31.203892935522699</v>
      </c>
      <c r="K54" s="17">
        <v>31.203892935522699</v>
      </c>
      <c r="L54" s="5">
        <v>35</v>
      </c>
      <c r="M54">
        <v>0.01</v>
      </c>
      <c r="N54">
        <v>3.7</v>
      </c>
      <c r="O54" s="38">
        <v>30</v>
      </c>
      <c r="P54" s="23">
        <v>1.06E-2</v>
      </c>
      <c r="Q54" s="32">
        <v>3.7</v>
      </c>
      <c r="R54" s="41" t="s">
        <v>30</v>
      </c>
      <c r="S54" s="50">
        <v>1.6265370695245845E-4</v>
      </c>
      <c r="T54" s="32">
        <v>24.2664570437382</v>
      </c>
      <c r="U54">
        <f>M54</f>
        <v>0.01</v>
      </c>
      <c r="V54" s="41" t="s">
        <v>30</v>
      </c>
      <c r="W54" s="41" t="s">
        <v>30</v>
      </c>
      <c r="X54" s="17">
        <v>0.772383720930232</v>
      </c>
      <c r="Y54" s="40">
        <v>0.51063037513690501</v>
      </c>
    </row>
    <row r="55" spans="1:25" x14ac:dyDescent="0.3">
      <c r="A55" s="5">
        <v>53</v>
      </c>
      <c r="B55" s="5" t="s">
        <v>69</v>
      </c>
      <c r="C55">
        <f>Characteristics!$C$17</f>
        <v>0.47</v>
      </c>
      <c r="D55">
        <f>Characteristics!$C$20</f>
        <v>3.2100000000000002E-3</v>
      </c>
      <c r="E55">
        <f>Characteristics!$C$18</f>
        <v>0.47</v>
      </c>
      <c r="F55">
        <v>1</v>
      </c>
      <c r="G55">
        <v>1</v>
      </c>
      <c r="H55" s="38">
        <v>1469.0849302289701</v>
      </c>
      <c r="I55">
        <v>7.54</v>
      </c>
      <c r="J55" s="17">
        <v>31.189023224683002</v>
      </c>
      <c r="K55" s="17">
        <v>31.189023224683002</v>
      </c>
      <c r="L55" s="5">
        <v>35</v>
      </c>
      <c r="M55">
        <v>0.01</v>
      </c>
      <c r="N55">
        <v>3.7</v>
      </c>
      <c r="O55" s="38">
        <v>30</v>
      </c>
      <c r="P55" s="23">
        <v>1.06E-2</v>
      </c>
      <c r="Q55" s="32">
        <v>3.7</v>
      </c>
      <c r="R55" s="41" t="s">
        <v>30</v>
      </c>
      <c r="S55" s="50">
        <v>2.0624331791052676E-4</v>
      </c>
      <c r="T55" s="32">
        <v>23.918868217434401</v>
      </c>
      <c r="U55">
        <f>M55</f>
        <v>0.01</v>
      </c>
      <c r="V55" s="41" t="s">
        <v>30</v>
      </c>
      <c r="W55" s="41" t="s">
        <v>30</v>
      </c>
      <c r="X55" s="17">
        <v>0.79723837209302295</v>
      </c>
      <c r="Y55" s="40">
        <v>0.52716633288097603</v>
      </c>
    </row>
    <row r="56" spans="1:25" x14ac:dyDescent="0.3">
      <c r="A56" s="5">
        <v>54</v>
      </c>
      <c r="B56" s="5" t="s">
        <v>69</v>
      </c>
      <c r="C56">
        <f>Characteristics!$C$17</f>
        <v>0.47</v>
      </c>
      <c r="D56">
        <f>Characteristics!$C$20</f>
        <v>3.2100000000000002E-3</v>
      </c>
      <c r="E56">
        <f>Characteristics!$C$18</f>
        <v>0.47</v>
      </c>
      <c r="F56">
        <v>1</v>
      </c>
      <c r="G56">
        <v>1</v>
      </c>
      <c r="H56" s="38">
        <v>1470.69995410663</v>
      </c>
      <c r="I56">
        <v>7.54</v>
      </c>
      <c r="J56" s="17">
        <v>31.172960679084301</v>
      </c>
      <c r="K56" s="17">
        <v>31.172960679084301</v>
      </c>
      <c r="L56" s="5">
        <v>35</v>
      </c>
      <c r="M56">
        <v>0.01</v>
      </c>
      <c r="N56">
        <v>3.7</v>
      </c>
      <c r="O56" s="38">
        <v>30</v>
      </c>
      <c r="P56" s="23">
        <v>1.06E-2</v>
      </c>
      <c r="Q56" s="32">
        <v>3.7</v>
      </c>
      <c r="R56" s="41" t="s">
        <v>30</v>
      </c>
      <c r="S56" s="50">
        <v>2.5215282869331645E-4</v>
      </c>
      <c r="T56" s="32">
        <v>23.543472285026301</v>
      </c>
      <c r="U56">
        <f>M56</f>
        <v>0.01</v>
      </c>
      <c r="V56" s="41" t="s">
        <v>30</v>
      </c>
      <c r="W56" s="41" t="s">
        <v>30</v>
      </c>
      <c r="X56" s="17">
        <v>0.82412790697674398</v>
      </c>
      <c r="Y56" s="40">
        <v>0.54502516724457195</v>
      </c>
    </row>
    <row r="57" spans="1:25" x14ac:dyDescent="0.3">
      <c r="A57" s="5">
        <v>55</v>
      </c>
      <c r="B57" s="5" t="s">
        <v>69</v>
      </c>
      <c r="C57">
        <f>Characteristics!$C$17</f>
        <v>0.47</v>
      </c>
      <c r="D57">
        <f>Characteristics!$C$20</f>
        <v>3.2100000000000002E-3</v>
      </c>
      <c r="E57">
        <f>Characteristics!$C$18</f>
        <v>0.47</v>
      </c>
      <c r="F57">
        <v>1</v>
      </c>
      <c r="G57">
        <v>1</v>
      </c>
      <c r="H57" s="38">
        <v>1471.4186643882199</v>
      </c>
      <c r="I57">
        <v>7.54</v>
      </c>
      <c r="J57" s="17">
        <v>31.165820683375902</v>
      </c>
      <c r="K57" s="17">
        <v>31.165820683375902</v>
      </c>
      <c r="L57" s="5">
        <v>35</v>
      </c>
      <c r="M57">
        <v>0.01</v>
      </c>
      <c r="N57">
        <v>3.7</v>
      </c>
      <c r="O57">
        <v>30</v>
      </c>
      <c r="P57" s="23">
        <v>1.06E-2</v>
      </c>
      <c r="Q57" s="32">
        <v>3.7</v>
      </c>
      <c r="R57" s="41" t="s">
        <v>30</v>
      </c>
      <c r="S57" s="50">
        <v>3.0385422382805971E-4</v>
      </c>
      <c r="T57" s="32">
        <v>23.376629648400499</v>
      </c>
      <c r="U57">
        <f>M57</f>
        <v>0.01</v>
      </c>
      <c r="V57" s="41" t="s">
        <v>30</v>
      </c>
      <c r="W57" s="41" t="s">
        <v>30</v>
      </c>
      <c r="X57" s="17">
        <v>0.83575581395348797</v>
      </c>
      <c r="Y57" s="40">
        <v>0.55296242696172604</v>
      </c>
    </row>
    <row r="58" spans="1:25" x14ac:dyDescent="0.3">
      <c r="A58" s="5">
        <v>56</v>
      </c>
      <c r="B58" s="5" t="s">
        <v>69</v>
      </c>
      <c r="C58">
        <f>Characteristics!$C$17</f>
        <v>0.47</v>
      </c>
      <c r="D58">
        <f>Characteristics!$C$20</f>
        <v>3.2100000000000002E-3</v>
      </c>
      <c r="E58">
        <f>Characteristics!$C$18</f>
        <v>0.47</v>
      </c>
      <c r="F58">
        <v>1</v>
      </c>
      <c r="G58">
        <v>1</v>
      </c>
      <c r="H58" s="38">
        <v>1467.53243119831</v>
      </c>
      <c r="I58">
        <v>7.54</v>
      </c>
      <c r="J58" s="17">
        <v>31.204487663652099</v>
      </c>
      <c r="K58" s="17">
        <v>31.204487663652099</v>
      </c>
      <c r="L58" s="5">
        <v>35</v>
      </c>
      <c r="M58">
        <v>0.01</v>
      </c>
      <c r="N58">
        <v>3.7</v>
      </c>
      <c r="O58">
        <v>30</v>
      </c>
      <c r="P58" s="23">
        <v>1.34E-2</v>
      </c>
      <c r="Q58" s="32">
        <v>3.7</v>
      </c>
      <c r="R58" s="41" t="s">
        <v>30</v>
      </c>
      <c r="S58" s="50">
        <v>1.4477675912893018E-4</v>
      </c>
      <c r="T58" s="32">
        <v>24.280360596790398</v>
      </c>
      <c r="U58">
        <f>M58</f>
        <v>0.01</v>
      </c>
      <c r="V58" s="41" t="s">
        <v>30</v>
      </c>
      <c r="W58" s="41" t="s">
        <v>30</v>
      </c>
      <c r="X58" s="17">
        <v>0.771220930232558</v>
      </c>
      <c r="Y58" s="40">
        <v>0.50996893682714195</v>
      </c>
    </row>
    <row r="59" spans="1:25" x14ac:dyDescent="0.3">
      <c r="A59" s="5">
        <v>57</v>
      </c>
      <c r="B59" s="5" t="s">
        <v>69</v>
      </c>
      <c r="C59">
        <f>Characteristics!$C$17</f>
        <v>0.47</v>
      </c>
      <c r="D59">
        <f>Characteristics!$C$20</f>
        <v>3.2100000000000002E-3</v>
      </c>
      <c r="E59">
        <f>Characteristics!$C$18</f>
        <v>0.47</v>
      </c>
      <c r="F59">
        <v>1</v>
      </c>
      <c r="G59">
        <v>1</v>
      </c>
      <c r="H59" s="38">
        <v>1468.36806231474</v>
      </c>
      <c r="I59">
        <v>7.54</v>
      </c>
      <c r="J59" s="17">
        <v>31.196161047754298</v>
      </c>
      <c r="K59" s="17">
        <v>31.196161047754298</v>
      </c>
      <c r="L59" s="5">
        <v>35</v>
      </c>
      <c r="M59">
        <v>0.01</v>
      </c>
      <c r="N59">
        <v>3.7</v>
      </c>
      <c r="O59">
        <v>30</v>
      </c>
      <c r="P59" s="23">
        <v>1.34E-2</v>
      </c>
      <c r="Q59" s="32">
        <v>3.7</v>
      </c>
      <c r="R59" s="41" t="s">
        <v>30</v>
      </c>
      <c r="S59" s="50">
        <v>1.6265842607836702E-4</v>
      </c>
      <c r="T59" s="32">
        <v>24.085710854060199</v>
      </c>
      <c r="U59">
        <f>M59</f>
        <v>0.01</v>
      </c>
      <c r="V59" s="41" t="s">
        <v>30</v>
      </c>
      <c r="W59" s="41" t="s">
        <v>30</v>
      </c>
      <c r="X59" s="17">
        <v>0.78459302325581404</v>
      </c>
      <c r="Y59" s="40">
        <v>0.51922907316382205</v>
      </c>
    </row>
    <row r="60" spans="1:25" x14ac:dyDescent="0.3">
      <c r="A60" s="5">
        <v>58</v>
      </c>
      <c r="B60" s="5" t="s">
        <v>69</v>
      </c>
      <c r="C60">
        <f>Characteristics!$C$17</f>
        <v>0.47</v>
      </c>
      <c r="D60">
        <f>Characteristics!$C$20</f>
        <v>3.2100000000000002E-3</v>
      </c>
      <c r="E60">
        <f>Characteristics!$C$18</f>
        <v>0.47</v>
      </c>
      <c r="F60">
        <v>1</v>
      </c>
      <c r="G60">
        <v>1</v>
      </c>
      <c r="H60" s="38">
        <v>1469.5033646095301</v>
      </c>
      <c r="I60">
        <v>7.54</v>
      </c>
      <c r="J60" s="17">
        <v>31.184859185958398</v>
      </c>
      <c r="K60" s="17">
        <v>31.184859185958398</v>
      </c>
      <c r="L60" s="5">
        <v>35</v>
      </c>
      <c r="M60">
        <v>0.01</v>
      </c>
      <c r="N60">
        <v>3.7</v>
      </c>
      <c r="O60">
        <v>30</v>
      </c>
      <c r="P60" s="23">
        <v>1.34E-2</v>
      </c>
      <c r="Q60" s="32">
        <v>3.7</v>
      </c>
      <c r="R60" s="41" t="s">
        <v>30</v>
      </c>
      <c r="S60" s="50">
        <v>2.0441004985511212E-4</v>
      </c>
      <c r="T60" s="32">
        <v>23.821543346069301</v>
      </c>
      <c r="U60">
        <f>M60</f>
        <v>0.01</v>
      </c>
      <c r="V60" s="41" t="s">
        <v>30</v>
      </c>
      <c r="W60" s="41" t="s">
        <v>30</v>
      </c>
      <c r="X60" s="17">
        <v>0.80421511627906905</v>
      </c>
      <c r="Y60" s="40">
        <v>0.53179640104931603</v>
      </c>
    </row>
    <row r="61" spans="1:25" x14ac:dyDescent="0.3">
      <c r="A61" s="5">
        <v>59</v>
      </c>
      <c r="B61" s="5" t="s">
        <v>69</v>
      </c>
      <c r="C61">
        <f>Characteristics!$C$17</f>
        <v>0.47</v>
      </c>
      <c r="D61">
        <f>Characteristics!$C$20</f>
        <v>3.2100000000000002E-3</v>
      </c>
      <c r="E61">
        <f>Characteristics!$C$18</f>
        <v>0.47</v>
      </c>
      <c r="F61">
        <v>1</v>
      </c>
      <c r="G61">
        <v>1</v>
      </c>
      <c r="H61" s="38">
        <v>1470.8795784428701</v>
      </c>
      <c r="I61">
        <v>7.54</v>
      </c>
      <c r="J61" s="17">
        <v>31.1711757428589</v>
      </c>
      <c r="K61" s="17">
        <v>31.1711757428589</v>
      </c>
      <c r="L61" s="5">
        <v>35</v>
      </c>
      <c r="M61">
        <v>0.01</v>
      </c>
      <c r="N61">
        <v>3.7</v>
      </c>
      <c r="O61">
        <v>30</v>
      </c>
      <c r="P61" s="23">
        <v>1.34E-2</v>
      </c>
      <c r="Q61" s="32">
        <v>3.7</v>
      </c>
      <c r="R61" s="41" t="s">
        <v>30</v>
      </c>
      <c r="S61" s="50">
        <v>2.5031787523579151E-4</v>
      </c>
      <c r="T61" s="32">
        <v>23.501761625869801</v>
      </c>
      <c r="U61">
        <f>M61</f>
        <v>0.01</v>
      </c>
      <c r="V61" s="41" t="s">
        <v>30</v>
      </c>
      <c r="W61" s="41" t="s">
        <v>30</v>
      </c>
      <c r="X61" s="17">
        <v>0.82674418604651101</v>
      </c>
      <c r="Y61" s="40">
        <v>0.54700948217386103</v>
      </c>
    </row>
    <row r="62" spans="1:25" x14ac:dyDescent="0.3">
      <c r="A62" s="5">
        <v>60</v>
      </c>
      <c r="B62" s="5" t="s">
        <v>69</v>
      </c>
      <c r="C62">
        <f>Characteristics!$C$17</f>
        <v>0.47</v>
      </c>
      <c r="D62">
        <f>Characteristics!$C$20</f>
        <v>3.2100000000000002E-3</v>
      </c>
      <c r="E62">
        <f>Characteristics!$C$18</f>
        <v>0.47</v>
      </c>
      <c r="F62">
        <v>1</v>
      </c>
      <c r="G62">
        <v>1</v>
      </c>
      <c r="H62" s="38">
        <v>1471.6583607162099</v>
      </c>
      <c r="I62">
        <v>7.54</v>
      </c>
      <c r="J62" s="17">
        <v>31.163440536163598</v>
      </c>
      <c r="K62" s="17">
        <v>31.163440536163598</v>
      </c>
      <c r="L62" s="5">
        <v>35</v>
      </c>
      <c r="M62">
        <v>0.01</v>
      </c>
      <c r="N62">
        <v>3.7</v>
      </c>
      <c r="O62">
        <v>30</v>
      </c>
      <c r="P62" s="23">
        <v>1.34E-2</v>
      </c>
      <c r="Q62" s="32">
        <v>3.7</v>
      </c>
      <c r="R62" s="41" t="s">
        <v>30</v>
      </c>
      <c r="S62" s="50">
        <v>3.0153690828657473E-4</v>
      </c>
      <c r="T62" s="32">
        <v>23.3210154361918</v>
      </c>
      <c r="U62">
        <f>M62</f>
        <v>0.01</v>
      </c>
      <c r="V62" s="41" t="s">
        <v>30</v>
      </c>
      <c r="W62" s="41" t="s">
        <v>30</v>
      </c>
      <c r="X62" s="17">
        <v>0.84040697674418596</v>
      </c>
      <c r="Y62" s="40">
        <v>0.55560818020077696</v>
      </c>
    </row>
    <row r="63" spans="1:25" x14ac:dyDescent="0.3">
      <c r="A63" s="5">
        <v>61</v>
      </c>
      <c r="B63" s="5" t="s">
        <v>69</v>
      </c>
      <c r="C63">
        <f>Characteristics!$C$17</f>
        <v>0.47</v>
      </c>
      <c r="D63">
        <f>Characteristics!$C$20</f>
        <v>3.2100000000000002E-3</v>
      </c>
      <c r="E63">
        <f>Characteristics!$C$18</f>
        <v>0.47</v>
      </c>
      <c r="F63">
        <v>1</v>
      </c>
      <c r="G63">
        <v>1</v>
      </c>
      <c r="H63" s="38">
        <v>1463.78159156384</v>
      </c>
      <c r="I63">
        <v>7.54</v>
      </c>
      <c r="J63" s="17">
        <v>31.241946191063299</v>
      </c>
      <c r="K63" s="17">
        <v>31.241946191063299</v>
      </c>
      <c r="L63" s="5">
        <v>35</v>
      </c>
      <c r="M63">
        <v>0.01</v>
      </c>
      <c r="N63">
        <v>3.7</v>
      </c>
      <c r="O63">
        <v>36.799999999999997</v>
      </c>
      <c r="P63" s="23">
        <v>1.06E-2</v>
      </c>
      <c r="Q63" s="32">
        <v>3.7</v>
      </c>
      <c r="R63" s="41" t="s">
        <v>30</v>
      </c>
      <c r="S63" s="50">
        <v>1.4403969405558654E-4</v>
      </c>
      <c r="T63" s="32">
        <v>25.156284439076</v>
      </c>
      <c r="U63">
        <f>M63</f>
        <v>0.01</v>
      </c>
      <c r="V63" s="41" t="s">
        <v>30</v>
      </c>
      <c r="W63" s="41" t="s">
        <v>30</v>
      </c>
      <c r="X63" s="17">
        <v>0.707558139534883</v>
      </c>
      <c r="Y63" s="40">
        <v>0.46829832331208399</v>
      </c>
    </row>
    <row r="64" spans="1:25" x14ac:dyDescent="0.3">
      <c r="A64" s="5">
        <v>62</v>
      </c>
      <c r="B64" s="5" t="s">
        <v>69</v>
      </c>
      <c r="C64">
        <f>Characteristics!$C$17</f>
        <v>0.47</v>
      </c>
      <c r="D64">
        <f>Characteristics!$C$20</f>
        <v>3.2100000000000002E-3</v>
      </c>
      <c r="E64">
        <f>Characteristics!$C$18</f>
        <v>0.47</v>
      </c>
      <c r="F64">
        <v>1</v>
      </c>
      <c r="G64">
        <v>1</v>
      </c>
      <c r="H64" s="38">
        <v>1464.97065293385</v>
      </c>
      <c r="I64">
        <v>7.54</v>
      </c>
      <c r="J64" s="17">
        <v>31.230056587489901</v>
      </c>
      <c r="K64" s="17">
        <v>31.230056587489901</v>
      </c>
      <c r="L64" s="5">
        <v>35</v>
      </c>
      <c r="M64">
        <v>0.01</v>
      </c>
      <c r="N64">
        <v>3.7</v>
      </c>
      <c r="O64">
        <v>36.799999999999997</v>
      </c>
      <c r="P64" s="23">
        <v>1.06E-2</v>
      </c>
      <c r="Q64" s="32">
        <v>3.7</v>
      </c>
      <c r="R64" s="41" t="s">
        <v>30</v>
      </c>
      <c r="S64" s="50">
        <v>1.6120896676059706E-4</v>
      </c>
      <c r="T64" s="32">
        <v>24.8782133780329</v>
      </c>
      <c r="U64">
        <f>M64</f>
        <v>0.01</v>
      </c>
      <c r="V64" s="41" t="s">
        <v>30</v>
      </c>
      <c r="W64" s="41" t="s">
        <v>30</v>
      </c>
      <c r="X64" s="17">
        <v>0.72834302325581401</v>
      </c>
      <c r="Y64" s="40">
        <v>0.48152708950734002</v>
      </c>
    </row>
    <row r="65" spans="1:25" x14ac:dyDescent="0.3">
      <c r="A65" s="5">
        <v>63</v>
      </c>
      <c r="B65" s="5" t="s">
        <v>69</v>
      </c>
      <c r="C65">
        <f>Characteristics!$C$17</f>
        <v>0.47</v>
      </c>
      <c r="D65">
        <f>Characteristics!$C$20</f>
        <v>3.2100000000000002E-3</v>
      </c>
      <c r="E65">
        <f>Characteristics!$C$18</f>
        <v>0.47</v>
      </c>
      <c r="F65">
        <v>1</v>
      </c>
      <c r="G65">
        <v>1</v>
      </c>
      <c r="H65" s="38">
        <v>1468.12923205739</v>
      </c>
      <c r="I65">
        <v>7.54</v>
      </c>
      <c r="J65" s="17">
        <v>31.198540173641302</v>
      </c>
      <c r="K65" s="17">
        <v>31.198540173641302</v>
      </c>
      <c r="L65" s="5">
        <v>35</v>
      </c>
      <c r="M65">
        <v>0.01</v>
      </c>
      <c r="N65">
        <v>3.7</v>
      </c>
      <c r="O65">
        <v>36.799999999999997</v>
      </c>
      <c r="P65" s="23">
        <v>1.06E-2</v>
      </c>
      <c r="Q65" s="32">
        <v>3.7</v>
      </c>
      <c r="R65" s="41" t="s">
        <v>30</v>
      </c>
      <c r="S65" s="50">
        <v>2.0577122906691086E-4</v>
      </c>
      <c r="T65" s="32">
        <v>24.141325066268799</v>
      </c>
      <c r="U65">
        <f>M65</f>
        <v>0.01</v>
      </c>
      <c r="V65" s="41" t="s">
        <v>30</v>
      </c>
      <c r="W65" s="41" t="s">
        <v>30</v>
      </c>
      <c r="X65" s="17">
        <v>0.78052325581395299</v>
      </c>
      <c r="Y65" s="40">
        <v>0.51658331992477002</v>
      </c>
    </row>
    <row r="66" spans="1:25" x14ac:dyDescent="0.3">
      <c r="A66" s="5">
        <v>64</v>
      </c>
      <c r="B66" s="5" t="s">
        <v>69</v>
      </c>
      <c r="C66">
        <f>Characteristics!$C$17</f>
        <v>0.47</v>
      </c>
      <c r="D66">
        <f>Characteristics!$C$20</f>
        <v>3.2100000000000002E-3</v>
      </c>
      <c r="E66">
        <f>Characteristics!$C$18</f>
        <v>0.47</v>
      </c>
      <c r="F66">
        <v>1</v>
      </c>
      <c r="G66">
        <v>1</v>
      </c>
      <c r="H66" s="38">
        <v>1469.86217608571</v>
      </c>
      <c r="I66">
        <v>7.54</v>
      </c>
      <c r="J66" s="17">
        <v>31.181289828887198</v>
      </c>
      <c r="K66" s="17">
        <v>31.181289828887198</v>
      </c>
      <c r="L66" s="5">
        <v>35</v>
      </c>
      <c r="M66">
        <v>0.01</v>
      </c>
      <c r="N66">
        <v>3.7</v>
      </c>
      <c r="O66">
        <v>36.799999999999997</v>
      </c>
      <c r="P66" s="23">
        <v>1.06E-2</v>
      </c>
      <c r="Q66" s="32">
        <v>3.7</v>
      </c>
      <c r="R66" s="41" t="s">
        <v>30</v>
      </c>
      <c r="S66" s="50">
        <v>2.504211586259466E-4</v>
      </c>
      <c r="T66" s="32">
        <v>23.7381220277564</v>
      </c>
      <c r="U66">
        <f>M66</f>
        <v>0.01</v>
      </c>
      <c r="V66" s="41" t="s">
        <v>30</v>
      </c>
      <c r="W66" s="41" t="s">
        <v>30</v>
      </c>
      <c r="X66" s="17">
        <v>0.81002906976744105</v>
      </c>
      <c r="Y66" s="40">
        <v>0.53576503090789196</v>
      </c>
    </row>
    <row r="67" spans="1:25" x14ac:dyDescent="0.3">
      <c r="A67" s="5">
        <v>65</v>
      </c>
      <c r="B67" s="5" t="s">
        <v>69</v>
      </c>
      <c r="C67">
        <f>Characteristics!$C$17</f>
        <v>0.47</v>
      </c>
      <c r="D67">
        <f>Characteristics!$C$20</f>
        <v>3.2100000000000002E-3</v>
      </c>
      <c r="E67">
        <f>Characteristics!$C$18</f>
        <v>0.47</v>
      </c>
      <c r="F67">
        <v>1</v>
      </c>
      <c r="G67">
        <v>1</v>
      </c>
      <c r="H67" s="38">
        <v>1470.81969972204</v>
      </c>
      <c r="I67">
        <v>7.54</v>
      </c>
      <c r="J67" s="17">
        <v>31.171770726244901</v>
      </c>
      <c r="K67" s="17">
        <v>31.171770726244901</v>
      </c>
      <c r="L67" s="5">
        <v>35</v>
      </c>
      <c r="M67">
        <v>0.01</v>
      </c>
      <c r="N67">
        <v>3.7</v>
      </c>
      <c r="O67">
        <v>36.799999999999997</v>
      </c>
      <c r="P67" s="23">
        <v>1.06E-2</v>
      </c>
      <c r="Q67" s="32">
        <v>3.7</v>
      </c>
      <c r="R67" s="41" t="s">
        <v>30</v>
      </c>
      <c r="S67" s="50">
        <v>3.013326824734203E-4</v>
      </c>
      <c r="T67" s="32">
        <v>23.515665178921999</v>
      </c>
      <c r="U67">
        <f>M67</f>
        <v>0.01</v>
      </c>
      <c r="V67" s="41" t="s">
        <v>30</v>
      </c>
      <c r="W67" s="41" t="s">
        <v>30</v>
      </c>
      <c r="X67" s="17">
        <v>0.82616279069767395</v>
      </c>
      <c r="Y67" s="40">
        <v>0.54634804386409797</v>
      </c>
    </row>
    <row r="68" spans="1:25" x14ac:dyDescent="0.3">
      <c r="A68" s="5">
        <v>66</v>
      </c>
      <c r="B68" s="5" t="s">
        <v>70</v>
      </c>
      <c r="C68">
        <f>Characteristics!$C$17</f>
        <v>0.47</v>
      </c>
      <c r="D68">
        <f>Characteristics!$C$20</f>
        <v>3.2100000000000002E-3</v>
      </c>
      <c r="E68">
        <f>Characteristics!$C$18</f>
        <v>0.47</v>
      </c>
      <c r="F68">
        <v>1</v>
      </c>
      <c r="G68">
        <v>1</v>
      </c>
      <c r="H68" s="38">
        <v>1453.4435469125201</v>
      </c>
      <c r="I68">
        <v>7.54</v>
      </c>
      <c r="J68" s="17">
        <v>31.345901321470102</v>
      </c>
      <c r="K68" s="17">
        <v>31.345901321470102</v>
      </c>
      <c r="L68" s="5">
        <v>35</v>
      </c>
      <c r="M68">
        <v>0.01</v>
      </c>
      <c r="N68">
        <v>3.7</v>
      </c>
      <c r="O68">
        <v>30</v>
      </c>
      <c r="P68" s="23">
        <v>1.06E-2</v>
      </c>
      <c r="Q68" s="32">
        <v>3.7</v>
      </c>
      <c r="R68" s="41" t="s">
        <v>30</v>
      </c>
      <c r="S68" s="50">
        <v>1.4136514394490565E-4</v>
      </c>
      <c r="T68" s="32">
        <v>27.589406223202701</v>
      </c>
      <c r="U68">
        <f>M68</f>
        <v>0.01</v>
      </c>
      <c r="V68" s="41" t="s">
        <v>30</v>
      </c>
      <c r="W68" s="41" t="s">
        <v>30</v>
      </c>
      <c r="X68" s="17">
        <v>0.53273261264254601</v>
      </c>
      <c r="Y68" s="40">
        <v>0.35254661910358898</v>
      </c>
    </row>
    <row r="69" spans="1:25" x14ac:dyDescent="0.3">
      <c r="A69" s="5">
        <v>67</v>
      </c>
      <c r="B69" s="5" t="s">
        <v>70</v>
      </c>
      <c r="C69">
        <f>Characteristics!$C$17</f>
        <v>0.47</v>
      </c>
      <c r="D69">
        <f>Characteristics!$C$20</f>
        <v>3.2100000000000002E-3</v>
      </c>
      <c r="E69">
        <f>Characteristics!$C$18</f>
        <v>0.47</v>
      </c>
      <c r="F69">
        <v>1</v>
      </c>
      <c r="G69">
        <v>1</v>
      </c>
      <c r="H69" s="38">
        <v>1455.73720615772</v>
      </c>
      <c r="I69">
        <v>7.54</v>
      </c>
      <c r="J69" s="17">
        <v>31.322746425374898</v>
      </c>
      <c r="K69" s="17">
        <v>31.322746425374898</v>
      </c>
      <c r="L69" s="5">
        <v>35</v>
      </c>
      <c r="M69">
        <v>0.01</v>
      </c>
      <c r="N69">
        <v>3.7</v>
      </c>
      <c r="O69">
        <v>30</v>
      </c>
      <c r="P69" s="23">
        <v>1.06E-2</v>
      </c>
      <c r="Q69" s="32">
        <v>3.7</v>
      </c>
      <c r="R69" s="41" t="s">
        <v>30</v>
      </c>
      <c r="S69" s="50">
        <v>1.603377448399406E-4</v>
      </c>
      <c r="T69" s="32">
        <v>27.0471676541687</v>
      </c>
      <c r="U69">
        <f>M69</f>
        <v>0.01</v>
      </c>
      <c r="V69" s="41" t="s">
        <v>30</v>
      </c>
      <c r="W69" s="41" t="s">
        <v>30</v>
      </c>
      <c r="X69" s="17">
        <v>0.57246514221974298</v>
      </c>
      <c r="Y69" s="40">
        <v>0.37834271318433899</v>
      </c>
    </row>
    <row r="70" spans="1:25" x14ac:dyDescent="0.3">
      <c r="A70" s="5">
        <v>68</v>
      </c>
      <c r="B70" s="5" t="s">
        <v>70</v>
      </c>
      <c r="C70">
        <f>Characteristics!$C$17</f>
        <v>0.47</v>
      </c>
      <c r="D70">
        <f>Characteristics!$C$20</f>
        <v>3.2100000000000002E-3</v>
      </c>
      <c r="E70">
        <f>Characteristics!$C$18</f>
        <v>0.47</v>
      </c>
      <c r="F70">
        <v>1</v>
      </c>
      <c r="G70">
        <v>1</v>
      </c>
      <c r="H70" s="38">
        <v>1459.15913368152</v>
      </c>
      <c r="I70">
        <v>7.54</v>
      </c>
      <c r="J70" s="17">
        <v>31.2882979566869</v>
      </c>
      <c r="K70" s="17">
        <v>31.2882979566869</v>
      </c>
      <c r="L70" s="5">
        <v>35</v>
      </c>
      <c r="M70">
        <v>0.01</v>
      </c>
      <c r="N70">
        <v>3.7</v>
      </c>
      <c r="O70">
        <v>30</v>
      </c>
      <c r="P70" s="23">
        <v>1.06E-2</v>
      </c>
      <c r="Q70" s="32">
        <v>3.7</v>
      </c>
      <c r="R70" s="41" t="s">
        <v>30</v>
      </c>
      <c r="S70" s="50">
        <v>1.9950698539743228E-4</v>
      </c>
      <c r="T70" s="32">
        <v>26.2407615771439</v>
      </c>
      <c r="U70">
        <f>M70</f>
        <v>0.01</v>
      </c>
      <c r="V70" s="41" t="s">
        <v>30</v>
      </c>
      <c r="W70" s="41" t="s">
        <v>30</v>
      </c>
      <c r="X70" s="17">
        <v>0.62959748905317303</v>
      </c>
      <c r="Y70" s="40">
        <v>0.41670613515058302</v>
      </c>
    </row>
    <row r="71" spans="1:25" x14ac:dyDescent="0.3">
      <c r="A71" s="5">
        <v>69</v>
      </c>
      <c r="B71" s="5" t="s">
        <v>70</v>
      </c>
      <c r="C71">
        <f>Characteristics!$C$17</f>
        <v>0.47</v>
      </c>
      <c r="D71">
        <f>Characteristics!$C$20</f>
        <v>3.2100000000000002E-3</v>
      </c>
      <c r="E71">
        <f>Characteristics!$C$18</f>
        <v>0.47</v>
      </c>
      <c r="F71">
        <v>1</v>
      </c>
      <c r="G71">
        <v>1</v>
      </c>
      <c r="H71" s="38">
        <v>1463.48457010728</v>
      </c>
      <c r="I71">
        <v>7.54</v>
      </c>
      <c r="J71" s="17">
        <v>31.244918302526202</v>
      </c>
      <c r="K71" s="17">
        <v>31.244918302526202</v>
      </c>
      <c r="L71" s="5">
        <v>35</v>
      </c>
      <c r="M71">
        <v>0.01</v>
      </c>
      <c r="N71">
        <v>3.7</v>
      </c>
      <c r="O71">
        <v>30</v>
      </c>
      <c r="P71" s="23">
        <v>1.06E-2</v>
      </c>
      <c r="Q71" s="32">
        <v>3.7</v>
      </c>
      <c r="R71" s="41" t="s">
        <v>30</v>
      </c>
      <c r="S71" s="50">
        <v>2.42756355179663E-4</v>
      </c>
      <c r="T71" s="32">
        <v>25.225802204336699</v>
      </c>
      <c r="U71">
        <f>M71</f>
        <v>0.01</v>
      </c>
      <c r="V71" s="41" t="s">
        <v>30</v>
      </c>
      <c r="W71" s="41" t="s">
        <v>30</v>
      </c>
      <c r="X71" s="17">
        <v>0.70316680708666002</v>
      </c>
      <c r="Y71" s="40">
        <v>0.46499113176327</v>
      </c>
    </row>
    <row r="72" spans="1:25" x14ac:dyDescent="0.3">
      <c r="A72" s="5">
        <v>70</v>
      </c>
      <c r="B72" s="5" t="s">
        <v>70</v>
      </c>
      <c r="C72">
        <f>Characteristics!$C$17</f>
        <v>0.47</v>
      </c>
      <c r="D72">
        <f>Characteristics!$C$20</f>
        <v>3.2100000000000002E-3</v>
      </c>
      <c r="E72">
        <f>Characteristics!$C$18</f>
        <v>0.47</v>
      </c>
      <c r="F72">
        <v>1</v>
      </c>
      <c r="G72">
        <v>1</v>
      </c>
      <c r="H72" s="38">
        <v>1466.1017089054601</v>
      </c>
      <c r="I72">
        <v>7.54</v>
      </c>
      <c r="J72" s="17">
        <v>31.218759747711001</v>
      </c>
      <c r="K72" s="17">
        <v>31.218759747711001</v>
      </c>
      <c r="L72" s="5">
        <v>35</v>
      </c>
      <c r="M72">
        <v>0.01</v>
      </c>
      <c r="N72">
        <v>3.7</v>
      </c>
      <c r="O72">
        <v>30</v>
      </c>
      <c r="P72" s="23">
        <v>1.06E-2</v>
      </c>
      <c r="Q72" s="32">
        <v>3.7</v>
      </c>
      <c r="R72" s="41" t="s">
        <v>30</v>
      </c>
      <c r="S72" s="50">
        <v>2.8886181541921046E-4</v>
      </c>
      <c r="T72" s="32">
        <v>24.614045870041998</v>
      </c>
      <c r="U72">
        <f>M72</f>
        <v>0.01</v>
      </c>
      <c r="V72" s="41" t="s">
        <v>30</v>
      </c>
      <c r="W72" s="41" t="s">
        <v>30</v>
      </c>
      <c r="X72" s="17">
        <v>0.746548753426445</v>
      </c>
      <c r="Y72" s="40">
        <v>0.494094417392834</v>
      </c>
    </row>
    <row r="73" spans="1:25" x14ac:dyDescent="0.3">
      <c r="A73" s="5">
        <v>71</v>
      </c>
      <c r="B73" s="5" t="s">
        <v>70</v>
      </c>
      <c r="C73">
        <f>Characteristics!$C$17</f>
        <v>0.47</v>
      </c>
      <c r="D73">
        <f>Characteristics!$C$20</f>
        <v>3.2100000000000002E-3</v>
      </c>
      <c r="E73">
        <f>Characteristics!$C$18</f>
        <v>0.47</v>
      </c>
      <c r="F73">
        <v>1</v>
      </c>
      <c r="G73">
        <v>1</v>
      </c>
      <c r="H73" s="38">
        <v>1455.6783212637699</v>
      </c>
      <c r="I73">
        <v>7.54</v>
      </c>
      <c r="J73" s="17">
        <v>31.323340228301898</v>
      </c>
      <c r="K73" s="17">
        <v>31.323340228301898</v>
      </c>
      <c r="L73" s="5">
        <v>35</v>
      </c>
      <c r="M73">
        <v>0.01</v>
      </c>
      <c r="N73">
        <v>3.7</v>
      </c>
      <c r="O73">
        <v>30</v>
      </c>
      <c r="P73" s="23">
        <v>1.34E-2</v>
      </c>
      <c r="Q73" s="32">
        <v>3.7</v>
      </c>
      <c r="R73" s="41" t="s">
        <v>30</v>
      </c>
      <c r="S73" s="50">
        <v>1.4187516009799806E-4</v>
      </c>
      <c r="T73" s="32">
        <v>27.061071207220898</v>
      </c>
      <c r="U73">
        <f>M73</f>
        <v>0.01</v>
      </c>
      <c r="V73" s="41" t="s">
        <v>30</v>
      </c>
      <c r="W73" s="41" t="s">
        <v>30</v>
      </c>
      <c r="X73" s="17">
        <v>0.57101422790758305</v>
      </c>
      <c r="Y73" s="40">
        <v>0.37768127487457598</v>
      </c>
    </row>
    <row r="74" spans="1:25" x14ac:dyDescent="0.3">
      <c r="A74" s="5">
        <v>72</v>
      </c>
      <c r="B74" s="5" t="s">
        <v>70</v>
      </c>
      <c r="C74">
        <f>Characteristics!$C$17</f>
        <v>0.47</v>
      </c>
      <c r="D74">
        <f>Characteristics!$C$20</f>
        <v>3.2100000000000002E-3</v>
      </c>
      <c r="E74">
        <f>Characteristics!$C$18</f>
        <v>0.47</v>
      </c>
      <c r="F74">
        <v>1</v>
      </c>
      <c r="G74">
        <v>1</v>
      </c>
      <c r="H74" s="38">
        <v>1458.15480818009</v>
      </c>
      <c r="I74">
        <v>7.54</v>
      </c>
      <c r="J74" s="17">
        <v>31.298396531088201</v>
      </c>
      <c r="K74" s="17">
        <v>31.298396531088201</v>
      </c>
      <c r="L74" s="5">
        <v>35</v>
      </c>
      <c r="M74">
        <v>0.01</v>
      </c>
      <c r="N74">
        <v>3.7</v>
      </c>
      <c r="O74">
        <v>30</v>
      </c>
      <c r="P74" s="23">
        <v>1.34E-2</v>
      </c>
      <c r="Q74" s="32">
        <v>3.7</v>
      </c>
      <c r="R74" s="41" t="s">
        <v>30</v>
      </c>
      <c r="S74" s="50">
        <v>1.6023574160932197E-4</v>
      </c>
      <c r="T74" s="32">
        <v>26.4771219790305</v>
      </c>
      <c r="U74">
        <f>M74</f>
        <v>0.01</v>
      </c>
      <c r="V74" s="41" t="s">
        <v>30</v>
      </c>
      <c r="W74" s="41" t="s">
        <v>30</v>
      </c>
      <c r="X74" s="17">
        <v>0.61320145720354502</v>
      </c>
      <c r="Y74" s="40">
        <v>0.40546168388461501</v>
      </c>
    </row>
    <row r="75" spans="1:25" x14ac:dyDescent="0.3">
      <c r="A75" s="5">
        <v>73</v>
      </c>
      <c r="B75" s="5" t="s">
        <v>70</v>
      </c>
      <c r="C75">
        <f>Characteristics!$C$17</f>
        <v>0.47</v>
      </c>
      <c r="D75">
        <f>Characteristics!$C$20</f>
        <v>3.2100000000000002E-3</v>
      </c>
      <c r="E75">
        <f>Characteristics!$C$18</f>
        <v>0.47</v>
      </c>
      <c r="F75">
        <v>1</v>
      </c>
      <c r="G75">
        <v>1</v>
      </c>
      <c r="H75" s="38">
        <v>1461.88233734902</v>
      </c>
      <c r="I75">
        <v>7.54</v>
      </c>
      <c r="J75" s="17">
        <v>31.260965704762999</v>
      </c>
      <c r="K75" s="17">
        <v>31.260965704762999</v>
      </c>
      <c r="L75" s="5">
        <v>35</v>
      </c>
      <c r="M75">
        <v>0.01</v>
      </c>
      <c r="N75">
        <v>3.7</v>
      </c>
      <c r="O75">
        <v>30</v>
      </c>
      <c r="P75" s="23">
        <v>1.34E-2</v>
      </c>
      <c r="Q75" s="32">
        <v>3.7</v>
      </c>
      <c r="R75" s="41" t="s">
        <v>30</v>
      </c>
      <c r="S75" s="50">
        <v>2.0246507908536795E-4</v>
      </c>
      <c r="T75" s="32">
        <v>25.601198136744902</v>
      </c>
      <c r="U75">
        <f>M75</f>
        <v>0.01</v>
      </c>
      <c r="V75" s="41" t="s">
        <v>30</v>
      </c>
      <c r="W75" s="41" t="s">
        <v>30</v>
      </c>
      <c r="X75" s="17">
        <v>0.67621981464560699</v>
      </c>
      <c r="Y75" s="40">
        <v>0.44713229739967297</v>
      </c>
    </row>
    <row r="76" spans="1:25" x14ac:dyDescent="0.3">
      <c r="A76" s="5">
        <v>74</v>
      </c>
      <c r="B76" s="5" t="s">
        <v>70</v>
      </c>
      <c r="C76">
        <f>Characteristics!$C$17</f>
        <v>0.47</v>
      </c>
      <c r="D76">
        <f>Characteristics!$C$20</f>
        <v>3.2100000000000002E-3</v>
      </c>
      <c r="E76">
        <f>Characteristics!$C$18</f>
        <v>0.47</v>
      </c>
      <c r="F76">
        <v>1</v>
      </c>
      <c r="G76">
        <v>1</v>
      </c>
      <c r="H76" s="38">
        <v>1464.7921941570501</v>
      </c>
      <c r="I76">
        <v>7.54</v>
      </c>
      <c r="J76" s="17">
        <v>31.2318401461356</v>
      </c>
      <c r="K76" s="17">
        <v>31.2318401461356</v>
      </c>
      <c r="L76" s="5">
        <v>35</v>
      </c>
      <c r="M76">
        <v>0.01</v>
      </c>
      <c r="N76">
        <v>3.7</v>
      </c>
      <c r="O76">
        <v>30</v>
      </c>
      <c r="P76" s="23">
        <v>1.34E-2</v>
      </c>
      <c r="Q76" s="32">
        <v>3.7</v>
      </c>
      <c r="R76" s="41" t="s">
        <v>30</v>
      </c>
      <c r="S76" s="50">
        <v>2.4581645209821682E-4</v>
      </c>
      <c r="T76" s="32">
        <v>24.9199240371894</v>
      </c>
      <c r="U76">
        <f>M76</f>
        <v>0.01</v>
      </c>
      <c r="V76" s="41" t="s">
        <v>30</v>
      </c>
      <c r="W76" s="41" t="s">
        <v>30</v>
      </c>
      <c r="X76" s="17">
        <v>0.72475833916768495</v>
      </c>
      <c r="Y76" s="40">
        <v>0.479542774578052</v>
      </c>
    </row>
    <row r="77" spans="1:25" x14ac:dyDescent="0.3">
      <c r="A77" s="5">
        <v>75</v>
      </c>
      <c r="B77" s="5" t="s">
        <v>70</v>
      </c>
      <c r="C77">
        <f>Characteristics!$C$17</f>
        <v>0.47</v>
      </c>
      <c r="D77">
        <f>Characteristics!$C$20</f>
        <v>3.2100000000000002E-3</v>
      </c>
      <c r="E77">
        <f>Characteristics!$C$18</f>
        <v>0.47</v>
      </c>
      <c r="F77">
        <v>1</v>
      </c>
      <c r="G77">
        <v>1</v>
      </c>
      <c r="H77" s="38">
        <v>1467.1149040159601</v>
      </c>
      <c r="I77">
        <v>7.54</v>
      </c>
      <c r="J77" s="17">
        <v>31.208650630708</v>
      </c>
      <c r="K77" s="17">
        <v>31.208650630708</v>
      </c>
      <c r="L77" s="5">
        <v>35</v>
      </c>
      <c r="M77">
        <v>0.01</v>
      </c>
      <c r="N77">
        <v>3.7</v>
      </c>
      <c r="O77">
        <v>30</v>
      </c>
      <c r="P77" s="23">
        <v>1.34E-2</v>
      </c>
      <c r="Q77" s="32">
        <v>3.7</v>
      </c>
      <c r="R77" s="41" t="s">
        <v>30</v>
      </c>
      <c r="S77" s="50">
        <v>2.9110588649281665E-4</v>
      </c>
      <c r="T77" s="32">
        <v>24.377685468155398</v>
      </c>
      <c r="U77">
        <f>M77</f>
        <v>0.01</v>
      </c>
      <c r="V77" s="41" t="s">
        <v>30</v>
      </c>
      <c r="W77" s="41" t="s">
        <v>30</v>
      </c>
      <c r="X77" s="17">
        <v>0.76396945568463603</v>
      </c>
      <c r="Y77" s="40">
        <v>0.50533886865880195</v>
      </c>
    </row>
    <row r="78" spans="1:25" x14ac:dyDescent="0.3">
      <c r="A78" s="5">
        <v>76</v>
      </c>
      <c r="B78" s="5" t="s">
        <v>70</v>
      </c>
      <c r="C78">
        <f>Characteristics!$C$17</f>
        <v>0.47</v>
      </c>
      <c r="D78">
        <f>Characteristics!$C$20</f>
        <v>3.2100000000000002E-3</v>
      </c>
      <c r="E78">
        <f>Characteristics!$C$18</f>
        <v>0.47</v>
      </c>
      <c r="F78">
        <v>1</v>
      </c>
      <c r="G78">
        <v>1</v>
      </c>
      <c r="H78" s="38">
        <v>1448.46475225883</v>
      </c>
      <c r="I78">
        <v>7.54</v>
      </c>
      <c r="J78" s="17">
        <v>31.396342836677</v>
      </c>
      <c r="K78" s="17">
        <v>31.396342836677</v>
      </c>
      <c r="L78" s="5">
        <v>35</v>
      </c>
      <c r="M78">
        <v>0.01</v>
      </c>
      <c r="N78">
        <v>3.7</v>
      </c>
      <c r="O78">
        <v>36.799999999999997</v>
      </c>
      <c r="P78" s="23">
        <v>1.06E-2</v>
      </c>
      <c r="Q78" s="32">
        <v>3.7</v>
      </c>
      <c r="R78" s="41" t="s">
        <v>30</v>
      </c>
      <c r="S78" s="50">
        <v>1.3850165557651551E-4</v>
      </c>
      <c r="T78" s="32">
        <v>28.771208232635601</v>
      </c>
      <c r="U78">
        <f>M78</f>
        <v>0.01</v>
      </c>
      <c r="V78" s="41" t="s">
        <v>30</v>
      </c>
      <c r="W78" s="41" t="s">
        <v>30</v>
      </c>
      <c r="X78" s="17">
        <v>0.44782760380201903</v>
      </c>
      <c r="Y78" s="40">
        <v>0.29632436277374802</v>
      </c>
    </row>
    <row r="79" spans="1:25" x14ac:dyDescent="0.3">
      <c r="A79" s="5">
        <v>77</v>
      </c>
      <c r="B79" s="5" t="s">
        <v>70</v>
      </c>
      <c r="C79">
        <f>Characteristics!$C$17</f>
        <v>0.47</v>
      </c>
      <c r="D79">
        <f>Characteristics!$C$20</f>
        <v>3.2100000000000002E-3</v>
      </c>
      <c r="E79">
        <f>Characteristics!$C$18</f>
        <v>0.47</v>
      </c>
      <c r="F79">
        <v>1</v>
      </c>
      <c r="G79">
        <v>1</v>
      </c>
      <c r="H79" s="38">
        <v>1452.32823999672</v>
      </c>
      <c r="I79">
        <v>7.54</v>
      </c>
      <c r="J79" s="17">
        <v>31.357179371468799</v>
      </c>
      <c r="K79" s="17">
        <v>31.357179371468799</v>
      </c>
      <c r="L79" s="5">
        <v>35</v>
      </c>
      <c r="M79">
        <v>0.01</v>
      </c>
      <c r="N79">
        <v>3.7</v>
      </c>
      <c r="O79">
        <v>36.799999999999997</v>
      </c>
      <c r="P79" s="23">
        <v>1.06E-2</v>
      </c>
      <c r="Q79" s="32">
        <v>3.7</v>
      </c>
      <c r="R79" s="41" t="s">
        <v>30</v>
      </c>
      <c r="S79" s="50">
        <v>1.7819309998160789E-4</v>
      </c>
      <c r="T79" s="32">
        <v>27.853573731193599</v>
      </c>
      <c r="U79">
        <f>M79</f>
        <v>0.01</v>
      </c>
      <c r="V79" s="41" t="s">
        <v>30</v>
      </c>
      <c r="W79" s="41" t="s">
        <v>30</v>
      </c>
      <c r="X79" s="17">
        <v>0.51428439202097898</v>
      </c>
      <c r="Y79" s="40">
        <v>0.339979291218095</v>
      </c>
    </row>
    <row r="80" spans="1:25" x14ac:dyDescent="0.3">
      <c r="A80" s="5">
        <v>78</v>
      </c>
      <c r="B80" s="5" t="s">
        <v>70</v>
      </c>
      <c r="C80">
        <f>Characteristics!$C$17</f>
        <v>0.47</v>
      </c>
      <c r="D80">
        <f>Characteristics!$C$20</f>
        <v>3.2100000000000002E-3</v>
      </c>
      <c r="E80">
        <f>Characteristics!$C$18</f>
        <v>0.47</v>
      </c>
      <c r="F80">
        <v>1</v>
      </c>
      <c r="G80">
        <v>1</v>
      </c>
      <c r="H80" s="38">
        <v>1454.3250313214301</v>
      </c>
      <c r="I80">
        <v>7.54</v>
      </c>
      <c r="J80" s="17">
        <v>31.336996422338501</v>
      </c>
      <c r="K80" s="17">
        <v>31.336996422338501</v>
      </c>
      <c r="L80" s="5">
        <v>35</v>
      </c>
      <c r="M80">
        <v>0.01</v>
      </c>
      <c r="N80">
        <v>3.7</v>
      </c>
      <c r="O80">
        <v>36.799999999999997</v>
      </c>
      <c r="P80" s="23">
        <v>1.06E-2</v>
      </c>
      <c r="Q80" s="32">
        <v>3.7</v>
      </c>
      <c r="R80" s="41" t="s">
        <v>30</v>
      </c>
      <c r="S80" s="50">
        <v>1.9824236805289814E-4</v>
      </c>
      <c r="T80" s="32">
        <v>27.380852927420399</v>
      </c>
      <c r="U80">
        <f>M80</f>
        <v>0.01</v>
      </c>
      <c r="V80" s="41" t="s">
        <v>30</v>
      </c>
      <c r="W80" s="41" t="s">
        <v>30</v>
      </c>
      <c r="X80" s="17">
        <v>0.54837144450641295</v>
      </c>
      <c r="Y80" s="40">
        <v>0.36246819375003098</v>
      </c>
    </row>
    <row r="81" spans="1:25" x14ac:dyDescent="0.3">
      <c r="A81" s="5">
        <v>79</v>
      </c>
      <c r="B81" s="5" t="s">
        <v>70</v>
      </c>
      <c r="C81">
        <f>Characteristics!$C$17</f>
        <v>0.47</v>
      </c>
      <c r="D81">
        <f>Characteristics!$C$20</f>
        <v>3.2100000000000002E-3</v>
      </c>
      <c r="E81">
        <f>Characteristics!$C$18</f>
        <v>0.47</v>
      </c>
      <c r="F81">
        <v>1</v>
      </c>
      <c r="G81">
        <v>1</v>
      </c>
      <c r="H81" s="38">
        <v>1457.5055461560301</v>
      </c>
      <c r="I81">
        <v>7.54</v>
      </c>
      <c r="J81" s="17">
        <v>31.304930191376901</v>
      </c>
      <c r="K81" s="17">
        <v>31.304930191376901</v>
      </c>
      <c r="L81" s="5">
        <v>35</v>
      </c>
      <c r="M81">
        <v>0.01</v>
      </c>
      <c r="N81">
        <v>3.7</v>
      </c>
      <c r="O81">
        <v>36.799999999999997</v>
      </c>
      <c r="P81" s="23">
        <v>1.06E-2</v>
      </c>
      <c r="Q81" s="32">
        <v>3.7</v>
      </c>
      <c r="R81" s="41" t="s">
        <v>30</v>
      </c>
      <c r="S81" s="50">
        <v>2.399692711454309E-4</v>
      </c>
      <c r="T81" s="32">
        <v>26.630061062604199</v>
      </c>
      <c r="U81">
        <f>M81</f>
        <v>0.01</v>
      </c>
      <c r="V81" s="41" t="s">
        <v>30</v>
      </c>
      <c r="W81" s="41" t="s">
        <v>30</v>
      </c>
      <c r="X81" s="17">
        <v>0.60157432568736502</v>
      </c>
      <c r="Y81" s="40">
        <v>0.39818586247722398</v>
      </c>
    </row>
    <row r="82" spans="1:25" x14ac:dyDescent="0.3">
      <c r="A82" s="5">
        <v>80</v>
      </c>
      <c r="B82" s="5" t="s">
        <v>70</v>
      </c>
      <c r="C82">
        <f>Characteristics!$C$17</f>
        <v>0.47</v>
      </c>
      <c r="D82">
        <f>Characteristics!$C$20</f>
        <v>3.2100000000000002E-3</v>
      </c>
      <c r="E82">
        <f>Characteristics!$C$18</f>
        <v>0.47</v>
      </c>
      <c r="F82">
        <v>1</v>
      </c>
      <c r="G82">
        <v>1</v>
      </c>
      <c r="H82" s="38">
        <v>1460.57891094515</v>
      </c>
      <c r="I82">
        <v>7.54</v>
      </c>
      <c r="J82" s="17">
        <v>31.274038872037099</v>
      </c>
      <c r="K82" s="17">
        <v>31.274038872037099</v>
      </c>
      <c r="L82" s="5">
        <v>35</v>
      </c>
      <c r="M82">
        <v>0.01</v>
      </c>
      <c r="N82">
        <v>3.7</v>
      </c>
      <c r="O82">
        <v>36.799999999999997</v>
      </c>
      <c r="P82" s="23">
        <v>1.06E-2</v>
      </c>
      <c r="Q82" s="32">
        <v>3.7</v>
      </c>
      <c r="R82" s="41" t="s">
        <v>30</v>
      </c>
      <c r="S82" s="50">
        <v>2.8759900443154181E-4</v>
      </c>
      <c r="T82" s="32">
        <v>25.9070763038922</v>
      </c>
      <c r="U82">
        <f>M82</f>
        <v>0.01</v>
      </c>
      <c r="V82" s="41" t="s">
        <v>30</v>
      </c>
      <c r="W82" s="41" t="s">
        <v>30</v>
      </c>
      <c r="X82" s="17">
        <v>0.65427952676484202</v>
      </c>
      <c r="Y82" s="40">
        <v>0.43258065458489098</v>
      </c>
    </row>
    <row r="83" spans="1:25" x14ac:dyDescent="0.3">
      <c r="A83" s="5">
        <v>81</v>
      </c>
      <c r="B83" s="5" t="s">
        <v>72</v>
      </c>
      <c r="C83">
        <f>Characteristics!$C$17</f>
        <v>0.47</v>
      </c>
      <c r="D83">
        <f>Characteristics!$C$20</f>
        <v>3.2100000000000002E-3</v>
      </c>
      <c r="E83">
        <f>Characteristics!$C$18</f>
        <v>0.47</v>
      </c>
      <c r="F83">
        <v>1</v>
      </c>
      <c r="G83">
        <v>1</v>
      </c>
      <c r="H83" s="38">
        <v>1469.3240119902</v>
      </c>
      <c r="I83">
        <v>7.54</v>
      </c>
      <c r="J83" s="17">
        <v>31.186643801830598</v>
      </c>
      <c r="K83" s="17">
        <v>31.186643801830598</v>
      </c>
      <c r="L83" s="5">
        <v>35</v>
      </c>
      <c r="M83">
        <v>0.01</v>
      </c>
      <c r="N83">
        <v>3.7</v>
      </c>
      <c r="O83">
        <v>30</v>
      </c>
      <c r="P83" s="23">
        <v>1.06E-2</v>
      </c>
      <c r="Q83" s="32">
        <v>3.7</v>
      </c>
      <c r="R83" s="41" t="s">
        <v>30</v>
      </c>
      <c r="S83" s="50">
        <v>1.4332680079644469E-4</v>
      </c>
      <c r="T83" s="32">
        <v>23.863254005225802</v>
      </c>
      <c r="U83">
        <f>M83</f>
        <v>0.01</v>
      </c>
      <c r="V83" s="41" t="s">
        <v>30</v>
      </c>
      <c r="W83" s="41" t="s">
        <v>30</v>
      </c>
      <c r="X83" s="17">
        <v>0.80066412563807599</v>
      </c>
      <c r="Y83" s="40">
        <v>0.52981208612002695</v>
      </c>
    </row>
    <row r="84" spans="1:25" x14ac:dyDescent="0.3">
      <c r="A84" s="5">
        <v>82</v>
      </c>
      <c r="B84" s="5" t="s">
        <v>72</v>
      </c>
      <c r="C84">
        <f>Characteristics!$C$17</f>
        <v>0.47</v>
      </c>
      <c r="D84">
        <f>Characteristics!$C$20</f>
        <v>3.2100000000000002E-3</v>
      </c>
      <c r="E84">
        <f>Characteristics!$C$18</f>
        <v>0.47</v>
      </c>
      <c r="F84">
        <v>1</v>
      </c>
      <c r="G84">
        <v>1</v>
      </c>
      <c r="H84" s="38">
        <v>1468.8459113778099</v>
      </c>
      <c r="I84">
        <v>7.54</v>
      </c>
      <c r="J84" s="17">
        <v>31.191402573282701</v>
      </c>
      <c r="K84" s="17">
        <v>31.191402573282701</v>
      </c>
      <c r="L84" s="5">
        <v>35</v>
      </c>
      <c r="M84">
        <v>0.01</v>
      </c>
      <c r="N84">
        <v>3.7</v>
      </c>
      <c r="O84">
        <v>30</v>
      </c>
      <c r="P84" s="23">
        <v>1.06E-2</v>
      </c>
      <c r="Q84" s="32">
        <v>3.7</v>
      </c>
      <c r="R84" s="41" t="s">
        <v>30</v>
      </c>
      <c r="S84" s="50">
        <v>1.6120014794209419E-4</v>
      </c>
      <c r="T84" s="32">
        <v>23.974482429643</v>
      </c>
      <c r="U84">
        <f>M84</f>
        <v>0.01</v>
      </c>
      <c r="V84" s="41" t="s">
        <v>30</v>
      </c>
      <c r="W84" s="41" t="s">
        <v>30</v>
      </c>
      <c r="X84" s="17">
        <v>0.79324167587601502</v>
      </c>
      <c r="Y84" s="40">
        <v>0.524520579641924</v>
      </c>
    </row>
    <row r="85" spans="1:25" x14ac:dyDescent="0.3">
      <c r="A85" s="5">
        <v>83</v>
      </c>
      <c r="B85" s="5" t="s">
        <v>72</v>
      </c>
      <c r="C85">
        <f>Characteristics!$C$17</f>
        <v>0.47</v>
      </c>
      <c r="D85">
        <f>Characteristics!$C$20</f>
        <v>3.2100000000000002E-3</v>
      </c>
      <c r="E85">
        <f>Characteristics!$C$18</f>
        <v>0.47</v>
      </c>
      <c r="F85">
        <v>1</v>
      </c>
      <c r="G85">
        <v>1</v>
      </c>
      <c r="H85" s="38">
        <v>1470.9993477125599</v>
      </c>
      <c r="I85">
        <v>7.54</v>
      </c>
      <c r="J85" s="17">
        <v>31.1699857621539</v>
      </c>
      <c r="K85" s="17">
        <v>31.1699857621539</v>
      </c>
      <c r="L85" s="5">
        <v>35</v>
      </c>
      <c r="M85">
        <v>0.01</v>
      </c>
      <c r="N85">
        <v>3.7</v>
      </c>
      <c r="O85">
        <v>30</v>
      </c>
      <c r="P85" s="23">
        <v>1.06E-2</v>
      </c>
      <c r="Q85" s="32">
        <v>3.7</v>
      </c>
      <c r="R85" s="41" t="s">
        <v>30</v>
      </c>
      <c r="S85" s="50">
        <v>2.0164515644815502E-4</v>
      </c>
      <c r="T85" s="32">
        <v>23.473954519765499</v>
      </c>
      <c r="U85">
        <f>M85</f>
        <v>0.01</v>
      </c>
      <c r="V85" s="41" t="s">
        <v>30</v>
      </c>
      <c r="W85" s="41" t="s">
        <v>30</v>
      </c>
      <c r="X85" s="17">
        <v>0.82867197425892902</v>
      </c>
      <c r="Y85" s="40">
        <v>0.54833235879338604</v>
      </c>
    </row>
    <row r="86" spans="1:25" x14ac:dyDescent="0.3">
      <c r="A86" s="5">
        <v>84</v>
      </c>
      <c r="B86" s="5" t="s">
        <v>72</v>
      </c>
      <c r="C86">
        <f>Characteristics!$C$17</f>
        <v>0.47</v>
      </c>
      <c r="D86">
        <f>Characteristics!$C$20</f>
        <v>3.2100000000000002E-3</v>
      </c>
      <c r="E86">
        <f>Characteristics!$C$18</f>
        <v>0.47</v>
      </c>
      <c r="F86">
        <v>1</v>
      </c>
      <c r="G86">
        <v>1</v>
      </c>
      <c r="H86" s="38">
        <v>1471.0592382621401</v>
      </c>
      <c r="I86">
        <v>7.54</v>
      </c>
      <c r="J86" s="17">
        <v>31.1693907648345</v>
      </c>
      <c r="K86" s="17">
        <v>31.1693907648345</v>
      </c>
      <c r="L86" s="5">
        <v>35</v>
      </c>
      <c r="M86">
        <v>0.01</v>
      </c>
      <c r="N86">
        <v>3.7</v>
      </c>
      <c r="O86">
        <v>30</v>
      </c>
      <c r="P86" s="23">
        <v>1.06E-2</v>
      </c>
      <c r="Q86" s="32">
        <v>3.7</v>
      </c>
      <c r="R86" s="41" t="s">
        <v>30</v>
      </c>
      <c r="S86" s="50">
        <v>2.4385335695488518E-4</v>
      </c>
      <c r="T86" s="32">
        <v>23.4600509667134</v>
      </c>
      <c r="U86">
        <f>M86</f>
        <v>0.01</v>
      </c>
      <c r="V86" s="41" t="s">
        <v>30</v>
      </c>
      <c r="W86" s="41" t="s">
        <v>30</v>
      </c>
      <c r="X86" s="17">
        <v>0.83037671876526997</v>
      </c>
      <c r="Y86" s="40">
        <v>0.54899379710314899</v>
      </c>
    </row>
    <row r="87" spans="1:25" x14ac:dyDescent="0.3">
      <c r="A87" s="5">
        <v>85</v>
      </c>
      <c r="B87" s="5" t="s">
        <v>72</v>
      </c>
      <c r="C87">
        <f>Characteristics!$C$17</f>
        <v>0.47</v>
      </c>
      <c r="D87">
        <f>Characteristics!$C$20</f>
        <v>3.2100000000000002E-3</v>
      </c>
      <c r="E87">
        <f>Characteristics!$C$18</f>
        <v>0.47</v>
      </c>
      <c r="F87">
        <v>1</v>
      </c>
      <c r="G87">
        <v>1</v>
      </c>
      <c r="H87" s="38">
        <v>1471.7182946652999</v>
      </c>
      <c r="I87">
        <v>7.54</v>
      </c>
      <c r="J87" s="17">
        <v>31.1628454877462</v>
      </c>
      <c r="K87" s="17">
        <v>31.1628454877462</v>
      </c>
      <c r="L87" s="5">
        <v>35</v>
      </c>
      <c r="M87">
        <v>0.01</v>
      </c>
      <c r="N87">
        <v>3.7</v>
      </c>
      <c r="O87">
        <v>30</v>
      </c>
      <c r="P87" s="23">
        <v>1.06E-2</v>
      </c>
      <c r="Q87" s="32">
        <v>3.7</v>
      </c>
      <c r="R87" s="41" t="s">
        <v>30</v>
      </c>
      <c r="S87" s="50">
        <v>2.910890905022329E-4</v>
      </c>
      <c r="T87" s="32">
        <v>23.307111883139701</v>
      </c>
      <c r="U87">
        <f>M87</f>
        <v>0.01</v>
      </c>
      <c r="V87" s="41" t="s">
        <v>30</v>
      </c>
      <c r="W87" s="41" t="s">
        <v>30</v>
      </c>
      <c r="X87" s="17">
        <v>0.84121996436545698</v>
      </c>
      <c r="Y87" s="40">
        <v>0.55626961851054002</v>
      </c>
    </row>
    <row r="88" spans="1:25" x14ac:dyDescent="0.3">
      <c r="A88" s="5">
        <v>86</v>
      </c>
      <c r="B88" s="5" t="s">
        <v>72</v>
      </c>
      <c r="C88">
        <f>Characteristics!$C$17</f>
        <v>0.47</v>
      </c>
      <c r="D88">
        <f>Characteristics!$C$20</f>
        <v>3.2100000000000002E-3</v>
      </c>
      <c r="E88">
        <f>Characteristics!$C$18</f>
        <v>0.47</v>
      </c>
      <c r="F88">
        <v>1</v>
      </c>
      <c r="G88">
        <v>1</v>
      </c>
      <c r="H88" s="38">
        <v>1470.1014624617901</v>
      </c>
      <c r="I88">
        <v>7.54</v>
      </c>
      <c r="J88" s="17">
        <v>31.178910164661399</v>
      </c>
      <c r="K88" s="17">
        <v>31.178910164661399</v>
      </c>
      <c r="L88" s="5">
        <v>35</v>
      </c>
      <c r="M88">
        <v>0.01</v>
      </c>
      <c r="N88">
        <v>3.7</v>
      </c>
      <c r="O88">
        <v>30</v>
      </c>
      <c r="P88" s="23">
        <v>1.34E-2</v>
      </c>
      <c r="Q88" s="32">
        <v>3.7</v>
      </c>
      <c r="R88" s="41" t="s">
        <v>30</v>
      </c>
      <c r="S88" s="50">
        <v>1.4249842533462509E-4</v>
      </c>
      <c r="T88" s="32">
        <v>23.682507815547801</v>
      </c>
      <c r="U88">
        <f>M88</f>
        <v>0.01</v>
      </c>
      <c r="V88" s="41" t="s">
        <v>30</v>
      </c>
      <c r="W88" s="41" t="s">
        <v>30</v>
      </c>
      <c r="X88" s="17">
        <v>0.813882646579008</v>
      </c>
      <c r="Y88" s="40">
        <v>0.53841078414694399</v>
      </c>
    </row>
    <row r="89" spans="1:25" x14ac:dyDescent="0.3">
      <c r="A89" s="5">
        <v>87</v>
      </c>
      <c r="B89" s="5" t="s">
        <v>72</v>
      </c>
      <c r="C89">
        <f>Characteristics!$C$17</f>
        <v>0.47</v>
      </c>
      <c r="D89">
        <f>Characteristics!$C$20</f>
        <v>3.2100000000000002E-3</v>
      </c>
      <c r="E89">
        <f>Characteristics!$C$18</f>
        <v>0.47</v>
      </c>
      <c r="F89">
        <v>1</v>
      </c>
      <c r="G89">
        <v>1</v>
      </c>
      <c r="H89" s="38">
        <v>1470.5203652437699</v>
      </c>
      <c r="I89">
        <v>7.54</v>
      </c>
      <c r="J89" s="17">
        <v>31.174745573513899</v>
      </c>
      <c r="K89" s="17">
        <v>31.174745573513899</v>
      </c>
      <c r="L89" s="5">
        <v>35</v>
      </c>
      <c r="M89">
        <v>0.01</v>
      </c>
      <c r="N89">
        <v>3.7</v>
      </c>
      <c r="O89">
        <v>30</v>
      </c>
      <c r="P89" s="23">
        <v>1.34E-2</v>
      </c>
      <c r="Q89" s="32">
        <v>3.7</v>
      </c>
      <c r="R89" s="41" t="s">
        <v>30</v>
      </c>
      <c r="S89" s="50">
        <v>1.5923485744832798E-4</v>
      </c>
      <c r="T89" s="32">
        <v>23.585182944182701</v>
      </c>
      <c r="U89">
        <f>M89</f>
        <v>0.01</v>
      </c>
      <c r="V89" s="41" t="s">
        <v>30</v>
      </c>
      <c r="W89" s="41" t="s">
        <v>30</v>
      </c>
      <c r="X89" s="17">
        <v>0.82054362976160899</v>
      </c>
      <c r="Y89" s="40">
        <v>0.54304085231528298</v>
      </c>
    </row>
    <row r="90" spans="1:25" x14ac:dyDescent="0.3">
      <c r="A90" s="5">
        <v>88</v>
      </c>
      <c r="B90" s="5" t="s">
        <v>72</v>
      </c>
      <c r="C90">
        <f>Characteristics!$C$17</f>
        <v>0.47</v>
      </c>
      <c r="D90">
        <f>Characteristics!$C$20</f>
        <v>3.2100000000000002E-3</v>
      </c>
      <c r="E90">
        <f>Characteristics!$C$18</f>
        <v>0.47</v>
      </c>
      <c r="F90">
        <v>1</v>
      </c>
      <c r="G90">
        <v>1</v>
      </c>
      <c r="H90" s="38">
        <v>1470.9993477125599</v>
      </c>
      <c r="I90">
        <v>7.54</v>
      </c>
      <c r="J90" s="17">
        <v>31.1699857621539</v>
      </c>
      <c r="K90" s="17">
        <v>31.1699857621539</v>
      </c>
      <c r="L90" s="5">
        <v>35</v>
      </c>
      <c r="M90">
        <v>0.01</v>
      </c>
      <c r="N90">
        <v>3.7</v>
      </c>
      <c r="O90">
        <v>30</v>
      </c>
      <c r="P90" s="23">
        <v>1.34E-2</v>
      </c>
      <c r="Q90" s="32">
        <v>3.7</v>
      </c>
      <c r="R90" s="41" t="s">
        <v>30</v>
      </c>
      <c r="S90" s="50">
        <v>2.0102890194079794E-4</v>
      </c>
      <c r="T90" s="32">
        <v>23.473954519765499</v>
      </c>
      <c r="U90">
        <f>M90</f>
        <v>0.01</v>
      </c>
      <c r="V90" s="41" t="s">
        <v>30</v>
      </c>
      <c r="W90" s="41" t="s">
        <v>30</v>
      </c>
      <c r="X90" s="17">
        <v>0.828795868197298</v>
      </c>
      <c r="Y90" s="40">
        <v>0.54833235879338604</v>
      </c>
    </row>
    <row r="91" spans="1:25" x14ac:dyDescent="0.3">
      <c r="A91" s="5">
        <v>89</v>
      </c>
      <c r="B91" s="5" t="s">
        <v>72</v>
      </c>
      <c r="C91">
        <f>Characteristics!$C$17</f>
        <v>0.47</v>
      </c>
      <c r="D91">
        <f>Characteristics!$C$20</f>
        <v>3.2100000000000002E-3</v>
      </c>
      <c r="E91">
        <f>Characteristics!$C$18</f>
        <v>0.47</v>
      </c>
      <c r="F91">
        <v>1</v>
      </c>
      <c r="G91">
        <v>1</v>
      </c>
      <c r="H91" s="38">
        <v>1472.07798127098</v>
      </c>
      <c r="I91">
        <v>7.54</v>
      </c>
      <c r="J91" s="17">
        <v>31.1592750996716</v>
      </c>
      <c r="K91" s="17">
        <v>31.1592750996716</v>
      </c>
      <c r="L91" s="5">
        <v>35</v>
      </c>
      <c r="M91">
        <v>0.01</v>
      </c>
      <c r="N91">
        <v>3.7</v>
      </c>
      <c r="O91">
        <v>30</v>
      </c>
      <c r="P91" s="23">
        <v>1.34E-2</v>
      </c>
      <c r="Q91" s="32">
        <v>3.7</v>
      </c>
      <c r="R91" s="41" t="s">
        <v>30</v>
      </c>
      <c r="S91" s="50">
        <v>2.408667903346703E-4</v>
      </c>
      <c r="T91" s="32">
        <v>23.2236905648268</v>
      </c>
      <c r="U91">
        <f>M91</f>
        <v>0.01</v>
      </c>
      <c r="V91" s="41" t="s">
        <v>30</v>
      </c>
      <c r="W91" s="41" t="s">
        <v>30</v>
      </c>
      <c r="X91" s="17">
        <v>0.84656129667636404</v>
      </c>
      <c r="Y91" s="40">
        <v>0.56023824836911695</v>
      </c>
    </row>
    <row r="92" spans="1:25" x14ac:dyDescent="0.3">
      <c r="A92" s="5">
        <v>90</v>
      </c>
      <c r="B92" s="5" t="s">
        <v>72</v>
      </c>
      <c r="C92">
        <f>Characteristics!$C$17</f>
        <v>0.47</v>
      </c>
      <c r="D92">
        <f>Characteristics!$C$20</f>
        <v>3.2100000000000002E-3</v>
      </c>
      <c r="E92">
        <f>Characteristics!$C$18</f>
        <v>0.47</v>
      </c>
      <c r="F92">
        <v>1</v>
      </c>
      <c r="G92">
        <v>1</v>
      </c>
      <c r="H92" s="38">
        <v>1472.31785133059</v>
      </c>
      <c r="I92">
        <v>7.54</v>
      </c>
      <c r="J92" s="17">
        <v>31.156894748022701</v>
      </c>
      <c r="K92" s="17">
        <v>31.156894748022701</v>
      </c>
      <c r="L92" s="5">
        <v>35</v>
      </c>
      <c r="M92">
        <v>0.01</v>
      </c>
      <c r="N92">
        <v>3.7</v>
      </c>
      <c r="O92">
        <v>30</v>
      </c>
      <c r="P92" s="23">
        <v>1.34E-2</v>
      </c>
      <c r="Q92" s="32">
        <v>3.7</v>
      </c>
      <c r="R92" s="41" t="s">
        <v>30</v>
      </c>
      <c r="S92" s="51">
        <v>2.8810582241360665E-4</v>
      </c>
      <c r="T92" s="35">
        <v>23.168076352618201</v>
      </c>
      <c r="U92">
        <f>M92</f>
        <v>0.01</v>
      </c>
      <c r="V92" s="41" t="s">
        <v>30</v>
      </c>
      <c r="W92" s="41" t="s">
        <v>30</v>
      </c>
      <c r="X92" s="17">
        <v>0.85098082200019498</v>
      </c>
      <c r="Y92" s="40">
        <v>0.56288400160816798</v>
      </c>
    </row>
    <row r="93" spans="1:25" x14ac:dyDescent="0.3">
      <c r="A93" s="5">
        <v>91</v>
      </c>
      <c r="B93" s="5" t="s">
        <v>72</v>
      </c>
      <c r="C93">
        <f>Characteristics!$C$17</f>
        <v>0.47</v>
      </c>
      <c r="D93">
        <f>Characteristics!$C$20</f>
        <v>3.2100000000000002E-3</v>
      </c>
      <c r="E93">
        <f>Characteristics!$C$18</f>
        <v>0.47</v>
      </c>
      <c r="F93">
        <v>1</v>
      </c>
      <c r="G93">
        <v>1</v>
      </c>
      <c r="H93" s="38">
        <v>1465.8039257002899</v>
      </c>
      <c r="I93">
        <v>7.54</v>
      </c>
      <c r="J93" s="17">
        <v>31.221732762472701</v>
      </c>
      <c r="K93" s="17">
        <v>31.221732762472701</v>
      </c>
      <c r="L93" s="5">
        <v>35</v>
      </c>
      <c r="M93">
        <v>0.01</v>
      </c>
      <c r="N93">
        <v>3.7</v>
      </c>
      <c r="O93">
        <v>36.799999999999997</v>
      </c>
      <c r="P93" s="23">
        <v>1.06E-2</v>
      </c>
      <c r="Q93" s="32">
        <v>3.7</v>
      </c>
      <c r="R93" s="41" t="s">
        <v>30</v>
      </c>
      <c r="S93" s="51">
        <v>1.4262346638110423E-4</v>
      </c>
      <c r="T93" s="35">
        <v>24.6835636353028</v>
      </c>
      <c r="U93">
        <f>M93</f>
        <v>0.01</v>
      </c>
      <c r="V93" s="41" t="s">
        <v>30</v>
      </c>
      <c r="W93" s="41" t="s">
        <v>30</v>
      </c>
      <c r="X93" s="17">
        <v>0.74186261906372797</v>
      </c>
      <c r="Y93" s="40">
        <v>0.49078722584402001</v>
      </c>
    </row>
    <row r="94" spans="1:25" x14ac:dyDescent="0.3">
      <c r="A94" s="5">
        <v>92</v>
      </c>
      <c r="B94" s="5" t="s">
        <v>72</v>
      </c>
      <c r="C94">
        <f>Characteristics!$C$17</f>
        <v>0.47</v>
      </c>
      <c r="D94">
        <f>Characteristics!$C$20</f>
        <v>3.2100000000000002E-3</v>
      </c>
      <c r="E94">
        <f>Characteristics!$C$18</f>
        <v>0.47</v>
      </c>
      <c r="F94">
        <v>1</v>
      </c>
      <c r="G94">
        <v>1</v>
      </c>
      <c r="H94" s="38">
        <v>1468.0098404873299</v>
      </c>
      <c r="I94">
        <v>7.54</v>
      </c>
      <c r="J94" s="17">
        <v>31.199729708750901</v>
      </c>
      <c r="K94" s="17">
        <v>31.199729708750901</v>
      </c>
      <c r="L94" s="5">
        <v>35</v>
      </c>
      <c r="M94">
        <v>0.01</v>
      </c>
      <c r="N94">
        <v>3.7</v>
      </c>
      <c r="O94">
        <v>36.799999999999997</v>
      </c>
      <c r="P94" s="23">
        <v>1.06E-2</v>
      </c>
      <c r="Q94" s="32">
        <v>3.7</v>
      </c>
      <c r="R94" s="41" t="s">
        <v>30</v>
      </c>
      <c r="S94" s="51">
        <v>1.5992127929631941E-4</v>
      </c>
      <c r="T94" s="35">
        <v>24.1691321723731</v>
      </c>
      <c r="U94">
        <f>M94</f>
        <v>0.01</v>
      </c>
      <c r="V94" s="41" t="s">
        <v>30</v>
      </c>
      <c r="W94" s="41" t="s">
        <v>30</v>
      </c>
      <c r="X94" s="17">
        <v>0.77903591270288697</v>
      </c>
      <c r="Y94" s="40">
        <v>0.51526044330524501</v>
      </c>
    </row>
    <row r="95" spans="1:25" x14ac:dyDescent="0.3">
      <c r="A95" s="5">
        <v>93</v>
      </c>
      <c r="B95" s="5" t="s">
        <v>72</v>
      </c>
      <c r="C95">
        <f>Characteristics!$C$17</f>
        <v>0.47</v>
      </c>
      <c r="D95">
        <f>Characteristics!$C$20</f>
        <v>3.2100000000000002E-3</v>
      </c>
      <c r="E95">
        <f>Characteristics!$C$18</f>
        <v>0.47</v>
      </c>
      <c r="F95">
        <v>1</v>
      </c>
      <c r="G95">
        <v>1</v>
      </c>
      <c r="H95" s="38">
        <v>1469.2044632443999</v>
      </c>
      <c r="I95">
        <v>7.54</v>
      </c>
      <c r="J95" s="17">
        <v>31.187833522538799</v>
      </c>
      <c r="K95" s="17">
        <v>31.187833522538799</v>
      </c>
      <c r="L95" s="5">
        <v>35</v>
      </c>
      <c r="M95">
        <v>0.01</v>
      </c>
      <c r="N95">
        <v>3.7</v>
      </c>
      <c r="O95">
        <v>36.799999999999997</v>
      </c>
      <c r="P95" s="23">
        <v>1.06E-2</v>
      </c>
      <c r="Q95" s="32">
        <v>3.7</v>
      </c>
      <c r="R95" s="41" t="s">
        <v>30</v>
      </c>
      <c r="S95" s="51">
        <v>2.0110242825896864E-4</v>
      </c>
      <c r="T95" s="35">
        <v>23.891061111330099</v>
      </c>
      <c r="U95">
        <f>M95</f>
        <v>0.01</v>
      </c>
      <c r="V95" s="41" t="s">
        <v>30</v>
      </c>
      <c r="W95" s="41" t="s">
        <v>30</v>
      </c>
      <c r="X95" s="17">
        <v>0.79939469391130402</v>
      </c>
      <c r="Y95" s="40">
        <v>0.52848920950050104</v>
      </c>
    </row>
    <row r="96" spans="1:25" x14ac:dyDescent="0.3">
      <c r="A96" s="5">
        <v>94</v>
      </c>
      <c r="B96" s="5" t="s">
        <v>72</v>
      </c>
      <c r="C96">
        <f>Characteristics!$C$17</f>
        <v>0.47</v>
      </c>
      <c r="D96">
        <f>Characteristics!$C$20</f>
        <v>3.2100000000000002E-3</v>
      </c>
      <c r="E96">
        <f>Characteristics!$C$18</f>
        <v>0.47</v>
      </c>
      <c r="F96">
        <v>1</v>
      </c>
      <c r="G96">
        <v>1</v>
      </c>
      <c r="H96" s="38">
        <v>1470.9993477125599</v>
      </c>
      <c r="I96">
        <v>7.54</v>
      </c>
      <c r="J96" s="17">
        <v>31.1699857621539</v>
      </c>
      <c r="K96" s="17">
        <v>31.1699857621539</v>
      </c>
      <c r="L96" s="5">
        <v>35</v>
      </c>
      <c r="M96">
        <v>0.01</v>
      </c>
      <c r="N96">
        <v>3.7</v>
      </c>
      <c r="O96">
        <v>36.799999999999997</v>
      </c>
      <c r="P96" s="23">
        <v>1.06E-2</v>
      </c>
      <c r="Q96" s="32">
        <v>3.7</v>
      </c>
      <c r="R96" s="41" t="s">
        <v>30</v>
      </c>
      <c r="S96" s="51">
        <v>2.4217655368922005E-4</v>
      </c>
      <c r="T96" s="35">
        <v>23.473954519765499</v>
      </c>
      <c r="U96">
        <f>M96</f>
        <v>0.01</v>
      </c>
      <c r="V96" s="41" t="s">
        <v>30</v>
      </c>
      <c r="W96" s="41" t="s">
        <v>30</v>
      </c>
      <c r="X96" s="17">
        <v>0.82864791718351705</v>
      </c>
      <c r="Y96" s="40">
        <v>0.54833235879338604</v>
      </c>
    </row>
    <row r="97" spans="1:25" x14ac:dyDescent="0.3">
      <c r="A97" s="5">
        <v>95</v>
      </c>
      <c r="B97" s="5" t="s">
        <v>72</v>
      </c>
      <c r="C97">
        <f>Characteristics!$C$17</f>
        <v>0.47</v>
      </c>
      <c r="D97">
        <f>Characteristics!$C$20</f>
        <v>3.2100000000000002E-3</v>
      </c>
      <c r="E97">
        <f>Characteristics!$C$18</f>
        <v>0.47</v>
      </c>
      <c r="F97">
        <v>1</v>
      </c>
      <c r="G97">
        <v>1</v>
      </c>
      <c r="H97" s="38">
        <v>1471.6583607162099</v>
      </c>
      <c r="I97">
        <v>7.54</v>
      </c>
      <c r="J97" s="17">
        <v>31.163440536163598</v>
      </c>
      <c r="K97" s="17">
        <v>31.163440536163598</v>
      </c>
      <c r="L97" s="5">
        <v>35</v>
      </c>
      <c r="M97">
        <v>0.01</v>
      </c>
      <c r="N97">
        <v>3.7</v>
      </c>
      <c r="O97">
        <v>36.799999999999997</v>
      </c>
      <c r="P97" s="23">
        <v>1.06E-2</v>
      </c>
      <c r="Q97" s="32">
        <v>3.7</v>
      </c>
      <c r="R97" s="41" t="s">
        <v>30</v>
      </c>
      <c r="S97" s="51">
        <v>2.8889564831025835E-4</v>
      </c>
      <c r="T97" s="35">
        <v>23.3210154361918</v>
      </c>
      <c r="U97">
        <f>M97</f>
        <v>0.01</v>
      </c>
      <c r="V97" s="41" t="s">
        <v>30</v>
      </c>
      <c r="W97" s="41" t="s">
        <v>30</v>
      </c>
      <c r="X97" s="17">
        <v>0.83973846951893305</v>
      </c>
      <c r="Y97" s="40">
        <v>0.55560818020077696</v>
      </c>
    </row>
    <row r="98" spans="1:25" x14ac:dyDescent="0.3">
      <c r="A98" s="5">
        <v>96</v>
      </c>
      <c r="B98" s="5" t="s">
        <v>69</v>
      </c>
      <c r="C98">
        <f>Characteristics!$C$17</f>
        <v>0.47</v>
      </c>
      <c r="D98">
        <f>Characteristics!$C$20</f>
        <v>3.2100000000000002E-3</v>
      </c>
      <c r="E98">
        <f>Characteristics!$C$18</f>
        <v>0.47</v>
      </c>
      <c r="F98">
        <v>1</v>
      </c>
      <c r="G98">
        <v>1</v>
      </c>
      <c r="H98" s="38">
        <v>1472.30705952174</v>
      </c>
      <c r="I98">
        <v>7.54</v>
      </c>
      <c r="J98" s="17">
        <v>31.157001828711099</v>
      </c>
      <c r="K98" s="17">
        <v>31.157001828711099</v>
      </c>
      <c r="L98" s="5">
        <v>35</v>
      </c>
      <c r="M98">
        <v>0.01</v>
      </c>
      <c r="N98">
        <v>3.7</v>
      </c>
      <c r="O98">
        <v>30</v>
      </c>
      <c r="P98" s="23">
        <v>1.06E-2</v>
      </c>
      <c r="Q98" s="32">
        <v>3.7</v>
      </c>
      <c r="R98" s="41" t="s">
        <v>30</v>
      </c>
      <c r="S98" s="51">
        <v>1.4438109021140081E-4</v>
      </c>
      <c r="T98" s="35">
        <v>23.170578133943998</v>
      </c>
      <c r="U98">
        <f>M98</f>
        <v>0.01</v>
      </c>
      <c r="V98" s="41" t="s">
        <v>30</v>
      </c>
      <c r="W98" s="41" t="s">
        <v>30</v>
      </c>
      <c r="X98" s="17">
        <v>0.85078971940691195</v>
      </c>
      <c r="Y98" s="40">
        <v>0.5627449139681</v>
      </c>
    </row>
    <row r="99" spans="1:25" x14ac:dyDescent="0.3">
      <c r="A99" s="5">
        <v>97</v>
      </c>
      <c r="B99" s="5" t="s">
        <v>69</v>
      </c>
      <c r="C99">
        <f>Characteristics!$C$17</f>
        <v>0.47</v>
      </c>
      <c r="D99">
        <f>Characteristics!$C$20</f>
        <v>3.2100000000000002E-3</v>
      </c>
      <c r="E99">
        <f>Characteristics!$C$18</f>
        <v>0.47</v>
      </c>
      <c r="F99">
        <v>1</v>
      </c>
      <c r="G99">
        <v>1</v>
      </c>
      <c r="H99" s="38">
        <v>1473.0579940524201</v>
      </c>
      <c r="I99">
        <v>7.54</v>
      </c>
      <c r="J99" s="17">
        <v>31.149553421596501</v>
      </c>
      <c r="K99" s="17">
        <v>31.149553421596501</v>
      </c>
      <c r="L99" s="5">
        <v>35</v>
      </c>
      <c r="M99">
        <v>0.01</v>
      </c>
      <c r="N99">
        <v>3.7</v>
      </c>
      <c r="O99">
        <v>30</v>
      </c>
      <c r="P99" s="23">
        <v>1.06E-2</v>
      </c>
      <c r="Q99" s="32">
        <v>3.7</v>
      </c>
      <c r="R99" s="41" t="s">
        <v>30</v>
      </c>
      <c r="S99" s="51">
        <v>1.6260363750019672E-4</v>
      </c>
      <c r="T99" s="35">
        <v>22.996565540927399</v>
      </c>
      <c r="U99">
        <f>M99</f>
        <v>0.01</v>
      </c>
      <c r="V99" s="41" t="s">
        <v>30</v>
      </c>
      <c r="W99" s="41" t="s">
        <v>30</v>
      </c>
      <c r="X99" s="17">
        <v>0.86330450604794695</v>
      </c>
      <c r="Y99" s="40">
        <v>0.57102267329098899</v>
      </c>
    </row>
    <row r="100" spans="1:25" x14ac:dyDescent="0.3">
      <c r="A100" s="5">
        <v>98</v>
      </c>
      <c r="B100" s="5" t="s">
        <v>69</v>
      </c>
      <c r="C100">
        <f>Characteristics!$C$17</f>
        <v>0.47</v>
      </c>
      <c r="D100">
        <f>Characteristics!$C$20</f>
        <v>3.2100000000000002E-3</v>
      </c>
      <c r="E100">
        <f>Characteristics!$C$18</f>
        <v>0.47</v>
      </c>
      <c r="F100">
        <v>1</v>
      </c>
      <c r="G100">
        <v>1</v>
      </c>
      <c r="H100" s="38">
        <v>1472.9591514925401</v>
      </c>
      <c r="I100">
        <v>7.54</v>
      </c>
      <c r="J100" s="17">
        <v>31.1505335167619</v>
      </c>
      <c r="K100" s="17">
        <v>31.1505335167619</v>
      </c>
      <c r="L100" s="5">
        <v>35</v>
      </c>
      <c r="M100">
        <v>0.01</v>
      </c>
      <c r="N100">
        <v>3.7</v>
      </c>
      <c r="O100">
        <v>30</v>
      </c>
      <c r="P100" s="23">
        <v>1.06E-2</v>
      </c>
      <c r="Q100" s="32">
        <v>3.7</v>
      </c>
      <c r="R100" s="41" t="s">
        <v>30</v>
      </c>
      <c r="S100" s="51">
        <v>2.0620418258385985E-4</v>
      </c>
      <c r="T100" s="35">
        <v>23.019461934745301</v>
      </c>
      <c r="U100">
        <f>M100</f>
        <v>0.01</v>
      </c>
      <c r="V100" s="41" t="s">
        <v>30</v>
      </c>
      <c r="W100" s="41" t="s">
        <v>30</v>
      </c>
      <c r="X100" s="17">
        <v>0.86172217670252904</v>
      </c>
      <c r="Y100" s="40">
        <v>0.56997606004326695</v>
      </c>
    </row>
    <row r="101" spans="1:25" x14ac:dyDescent="0.3">
      <c r="A101" s="5">
        <v>99</v>
      </c>
      <c r="B101" s="5" t="s">
        <v>69</v>
      </c>
      <c r="C101">
        <f>Characteristics!$C$17</f>
        <v>0.47</v>
      </c>
      <c r="D101">
        <f>Characteristics!$C$20</f>
        <v>3.2100000000000002E-3</v>
      </c>
      <c r="E101">
        <f>Characteristics!$C$18</f>
        <v>0.47</v>
      </c>
      <c r="F101">
        <v>1</v>
      </c>
      <c r="G101">
        <v>1</v>
      </c>
      <c r="H101" s="38">
        <v>1475.8101172754</v>
      </c>
      <c r="I101">
        <v>7.54</v>
      </c>
      <c r="J101" s="17">
        <v>31.1223017273172</v>
      </c>
      <c r="K101" s="17">
        <v>31.1223017273172</v>
      </c>
      <c r="L101" s="5">
        <v>35</v>
      </c>
      <c r="M101">
        <v>0.01</v>
      </c>
      <c r="N101">
        <v>3.7</v>
      </c>
      <c r="O101">
        <v>30</v>
      </c>
      <c r="P101" s="23">
        <v>1.06E-2</v>
      </c>
      <c r="Q101" s="32">
        <v>3.7</v>
      </c>
      <c r="R101" s="41" t="s">
        <v>30</v>
      </c>
      <c r="S101" s="51">
        <v>2.5209447182946608E-4</v>
      </c>
      <c r="T101" s="35">
        <v>22.360045792787702</v>
      </c>
      <c r="U101">
        <f>M101</f>
        <v>0.01</v>
      </c>
      <c r="V101" s="41" t="s">
        <v>30</v>
      </c>
      <c r="W101" s="41" t="s">
        <v>30</v>
      </c>
      <c r="X101" s="17">
        <v>0.90912013300392003</v>
      </c>
      <c r="Y101" s="40">
        <v>0.60132688414547197</v>
      </c>
    </row>
    <row r="102" spans="1:25" x14ac:dyDescent="0.3">
      <c r="A102" s="5">
        <v>100</v>
      </c>
      <c r="B102" s="5" t="s">
        <v>69</v>
      </c>
      <c r="C102">
        <f>Characteristics!$C$17</f>
        <v>0.47</v>
      </c>
      <c r="D102">
        <f>Characteristics!$C$20</f>
        <v>3.2100000000000002E-3</v>
      </c>
      <c r="E102">
        <f>Characteristics!$C$18</f>
        <v>0.47</v>
      </c>
      <c r="F102">
        <v>1</v>
      </c>
      <c r="G102">
        <v>1</v>
      </c>
      <c r="H102" s="38">
        <v>1477.79520897925</v>
      </c>
      <c r="I102">
        <v>7.54</v>
      </c>
      <c r="J102" s="17">
        <v>31.102690159401401</v>
      </c>
      <c r="K102" s="17">
        <v>31.102690159401401</v>
      </c>
      <c r="L102" s="5">
        <v>35</v>
      </c>
      <c r="M102">
        <v>0.01</v>
      </c>
      <c r="N102">
        <v>3.7</v>
      </c>
      <c r="O102">
        <v>30</v>
      </c>
      <c r="P102" s="23">
        <v>1.06E-2</v>
      </c>
      <c r="Q102" s="32">
        <v>3.7</v>
      </c>
      <c r="R102" s="41" t="s">
        <v>30</v>
      </c>
      <c r="S102" s="51">
        <v>3.0380452748667719E-4</v>
      </c>
      <c r="T102" s="35">
        <v>21.9021179164282</v>
      </c>
      <c r="U102">
        <f>M102</f>
        <v>0.01</v>
      </c>
      <c r="V102" s="41" t="s">
        <v>30</v>
      </c>
      <c r="W102" s="41" t="s">
        <v>30</v>
      </c>
      <c r="X102" s="17">
        <v>0.94206135301308103</v>
      </c>
      <c r="Y102" s="40">
        <v>0.62311546902985704</v>
      </c>
    </row>
    <row r="103" spans="1:25" x14ac:dyDescent="0.3">
      <c r="A103" s="5">
        <v>101</v>
      </c>
      <c r="B103" s="5" t="s">
        <v>73</v>
      </c>
      <c r="C103">
        <f>Characteristics!$C$17</f>
        <v>0.47</v>
      </c>
      <c r="D103">
        <f>Characteristics!$C$20</f>
        <v>3.2100000000000002E-3</v>
      </c>
      <c r="E103">
        <f>Characteristics!$C$18</f>
        <v>0.47</v>
      </c>
      <c r="F103">
        <v>1</v>
      </c>
      <c r="G103">
        <v>1</v>
      </c>
      <c r="H103" s="38">
        <v>1463.20701629972</v>
      </c>
      <c r="I103">
        <v>7.54</v>
      </c>
      <c r="J103" s="17">
        <v>31.247696390429802</v>
      </c>
      <c r="K103" s="17">
        <v>31.247696390429802</v>
      </c>
      <c r="L103" s="5">
        <v>35</v>
      </c>
      <c r="M103">
        <v>0.01</v>
      </c>
      <c r="N103">
        <v>3.7</v>
      </c>
      <c r="O103">
        <v>30</v>
      </c>
      <c r="P103" s="23">
        <v>1.06E-2</v>
      </c>
      <c r="Q103" s="32">
        <v>3.7</v>
      </c>
      <c r="R103" s="41" t="s">
        <v>30</v>
      </c>
      <c r="S103" s="51">
        <v>1.4323621813042953E-4</v>
      </c>
      <c r="T103" s="35">
        <v>25.290784201488272</v>
      </c>
      <c r="U103">
        <f>M103</f>
        <v>0.01</v>
      </c>
      <c r="V103" s="41" t="s">
        <v>30</v>
      </c>
      <c r="W103" s="41" t="s">
        <v>30</v>
      </c>
      <c r="X103" s="17">
        <v>0.69831070975751997</v>
      </c>
      <c r="Y103" s="40">
        <v>0.46188945555129601</v>
      </c>
    </row>
    <row r="104" spans="1:25" x14ac:dyDescent="0.3">
      <c r="A104" s="5">
        <v>102</v>
      </c>
      <c r="B104" s="5" t="s">
        <v>73</v>
      </c>
      <c r="C104">
        <f>Characteristics!$C$17</f>
        <v>0.47</v>
      </c>
      <c r="D104">
        <f>Characteristics!$C$20</f>
        <v>3.2100000000000002E-3</v>
      </c>
      <c r="E104">
        <f>Characteristics!$C$18</f>
        <v>0.47</v>
      </c>
      <c r="F104">
        <v>1</v>
      </c>
      <c r="G104">
        <v>1</v>
      </c>
      <c r="H104" s="38">
        <v>1464.18535528556</v>
      </c>
      <c r="I104">
        <v>7.54</v>
      </c>
      <c r="J104" s="17">
        <v>31.237907353570499</v>
      </c>
      <c r="K104" s="17">
        <v>31.237907353570499</v>
      </c>
      <c r="L104" s="5">
        <v>35</v>
      </c>
      <c r="M104">
        <v>0.01</v>
      </c>
      <c r="N104">
        <v>3.7</v>
      </c>
      <c r="O104">
        <v>30</v>
      </c>
      <c r="P104" s="23">
        <v>1.06E-2</v>
      </c>
      <c r="Q104" s="32">
        <v>3.7</v>
      </c>
      <c r="R104" s="41" t="s">
        <v>30</v>
      </c>
      <c r="S104" s="51">
        <v>1.5926442726402995E-4</v>
      </c>
      <c r="T104" s="35">
        <v>25.06182026330853</v>
      </c>
      <c r="U104">
        <f>M104</f>
        <v>0.01</v>
      </c>
      <c r="V104" s="41" t="s">
        <v>30</v>
      </c>
      <c r="W104" s="41" t="s">
        <v>30</v>
      </c>
      <c r="X104" s="17">
        <v>0.71478131976210102</v>
      </c>
      <c r="Y104" s="40">
        <v>0.47278374799348899</v>
      </c>
    </row>
    <row r="105" spans="1:25" x14ac:dyDescent="0.3">
      <c r="A105" s="5">
        <v>103</v>
      </c>
      <c r="B105" s="5" t="s">
        <v>73</v>
      </c>
      <c r="C105">
        <f>Characteristics!$C$17</f>
        <v>0.47</v>
      </c>
      <c r="D105">
        <f>Characteristics!$C$20</f>
        <v>3.2100000000000002E-3</v>
      </c>
      <c r="E105">
        <f>Characteristics!$C$18</f>
        <v>0.47</v>
      </c>
      <c r="F105">
        <v>1</v>
      </c>
      <c r="G105">
        <v>1</v>
      </c>
      <c r="H105" s="38">
        <v>1465.7136781507099</v>
      </c>
      <c r="I105">
        <v>7.54</v>
      </c>
      <c r="J105" s="17">
        <v>31.2226339480255</v>
      </c>
      <c r="K105" s="17">
        <v>31.2226339480255</v>
      </c>
      <c r="L105" s="5">
        <v>35</v>
      </c>
      <c r="M105">
        <v>0.01</v>
      </c>
      <c r="N105">
        <v>3.7</v>
      </c>
      <c r="O105">
        <v>30</v>
      </c>
      <c r="P105" s="23">
        <v>1.06E-2</v>
      </c>
      <c r="Q105" s="32">
        <v>3.7</v>
      </c>
      <c r="R105" s="41" t="s">
        <v>30</v>
      </c>
      <c r="S105" s="51">
        <v>1.9952576211152632E-4</v>
      </c>
      <c r="T105" s="35">
        <v>24.704636519748199</v>
      </c>
      <c r="U105">
        <f>M105</f>
        <v>0.01</v>
      </c>
      <c r="V105" s="41" t="s">
        <v>30</v>
      </c>
      <c r="W105" s="41" t="s">
        <v>30</v>
      </c>
      <c r="X105" s="17">
        <v>0.74045820959456898</v>
      </c>
      <c r="Y105" s="40">
        <v>0.48976742660424299</v>
      </c>
    </row>
    <row r="106" spans="1:25" x14ac:dyDescent="0.3">
      <c r="A106" s="5">
        <v>104</v>
      </c>
      <c r="B106" s="5" t="s">
        <v>73</v>
      </c>
      <c r="C106">
        <f>Characteristics!$C$17</f>
        <v>0.47</v>
      </c>
      <c r="D106">
        <f>Characteristics!$C$20</f>
        <v>3.2100000000000002E-3</v>
      </c>
      <c r="E106">
        <f>Characteristics!$C$18</f>
        <v>0.47</v>
      </c>
      <c r="F106">
        <v>1</v>
      </c>
      <c r="G106">
        <v>1</v>
      </c>
      <c r="H106" s="38">
        <v>1467.8537374995201</v>
      </c>
      <c r="I106">
        <v>7.54</v>
      </c>
      <c r="J106" s="17">
        <v>31.201285219112101</v>
      </c>
      <c r="K106" s="17">
        <v>31.201285219112101</v>
      </c>
      <c r="L106" s="5">
        <v>35</v>
      </c>
      <c r="M106">
        <v>0.01</v>
      </c>
      <c r="N106">
        <v>3.7</v>
      </c>
      <c r="O106">
        <v>30</v>
      </c>
      <c r="P106" s="23">
        <v>1.06E-2</v>
      </c>
      <c r="Q106" s="32">
        <v>3.7</v>
      </c>
      <c r="R106" s="41" t="s">
        <v>30</v>
      </c>
      <c r="S106" s="51">
        <v>2.4226765313446088E-4</v>
      </c>
      <c r="T106" s="35">
        <v>24.205495134516401</v>
      </c>
      <c r="U106">
        <f>M106</f>
        <v>0.01</v>
      </c>
      <c r="V106" s="41" t="s">
        <v>30</v>
      </c>
      <c r="W106" s="41" t="s">
        <v>30</v>
      </c>
      <c r="X106" s="17">
        <v>0.77642024017225597</v>
      </c>
      <c r="Y106" s="40">
        <v>0.51355409132518803</v>
      </c>
    </row>
    <row r="107" spans="1:25" x14ac:dyDescent="0.3">
      <c r="A107" s="5">
        <v>105</v>
      </c>
      <c r="B107" s="5" t="s">
        <v>73</v>
      </c>
      <c r="C107">
        <f>Characteristics!$C$17</f>
        <v>0.47</v>
      </c>
      <c r="D107">
        <f>Characteristics!$C$20</f>
        <v>3.2100000000000002E-3</v>
      </c>
      <c r="E107">
        <f>Characteristics!$C$18</f>
        <v>0.47</v>
      </c>
      <c r="F107">
        <v>1</v>
      </c>
      <c r="G107">
        <v>1</v>
      </c>
      <c r="H107" s="38">
        <v>1469.4867153176699</v>
      </c>
      <c r="I107">
        <v>7.54</v>
      </c>
      <c r="J107" s="17">
        <v>31.1850248386584</v>
      </c>
      <c r="K107" s="17">
        <v>31.1850248386584</v>
      </c>
      <c r="L107" s="5">
        <v>35</v>
      </c>
      <c r="M107">
        <v>0.01</v>
      </c>
      <c r="N107">
        <v>3.7</v>
      </c>
      <c r="O107">
        <v>30</v>
      </c>
      <c r="P107" s="23">
        <v>1.06E-2</v>
      </c>
      <c r="Q107" s="32">
        <v>3.7</v>
      </c>
      <c r="R107" s="41" t="s">
        <v>30</v>
      </c>
      <c r="S107" s="51">
        <v>2.9111552858924306E-4</v>
      </c>
      <c r="T107" s="35">
        <v>23.825414997137997</v>
      </c>
      <c r="U107">
        <f>M107</f>
        <v>0.01</v>
      </c>
      <c r="V107" s="41" t="s">
        <v>30</v>
      </c>
      <c r="W107" s="41" t="s">
        <v>30</v>
      </c>
      <c r="X107" s="17">
        <v>0.80375138341129804</v>
      </c>
      <c r="Y107" s="40">
        <v>0.53163195651310502</v>
      </c>
    </row>
    <row r="108" spans="1:25" x14ac:dyDescent="0.3">
      <c r="A108" s="5">
        <v>106</v>
      </c>
      <c r="B108" s="5" t="s">
        <v>70</v>
      </c>
      <c r="C108">
        <f>Characteristics!$C$17</f>
        <v>0.47</v>
      </c>
      <c r="D108">
        <f>Characteristics!$C$20</f>
        <v>3.2100000000000002E-3</v>
      </c>
      <c r="E108">
        <f>Characteristics!$C$18</f>
        <v>0.47</v>
      </c>
      <c r="F108">
        <v>1</v>
      </c>
      <c r="G108">
        <v>1</v>
      </c>
      <c r="H108" s="38">
        <v>1456.03885326098</v>
      </c>
      <c r="I108">
        <v>7.54</v>
      </c>
      <c r="J108" s="17">
        <v>31.3197051135853</v>
      </c>
      <c r="K108" s="17">
        <v>31.3197051135853</v>
      </c>
      <c r="L108" s="5">
        <v>35</v>
      </c>
      <c r="M108">
        <v>0.01</v>
      </c>
      <c r="N108">
        <v>3.7</v>
      </c>
      <c r="O108">
        <v>30</v>
      </c>
      <c r="P108" s="23">
        <v>1.06E-2</v>
      </c>
      <c r="Q108" s="32">
        <v>3.7</v>
      </c>
      <c r="R108" s="41" t="s">
        <v>30</v>
      </c>
      <c r="S108" s="51">
        <v>1.4132809799547675E-4</v>
      </c>
      <c r="T108" s="35">
        <v>26.97595878649113</v>
      </c>
      <c r="U108">
        <f>M108</f>
        <v>0.01</v>
      </c>
      <c r="V108" s="41" t="s">
        <v>30</v>
      </c>
      <c r="W108" s="41" t="s">
        <v>30</v>
      </c>
      <c r="X108" s="17">
        <v>0.57711866671071599</v>
      </c>
      <c r="Y108" s="40">
        <v>0.381728395441714</v>
      </c>
    </row>
    <row r="109" spans="1:25" x14ac:dyDescent="0.3">
      <c r="A109" s="5">
        <v>107</v>
      </c>
      <c r="B109" s="5" t="s">
        <v>70</v>
      </c>
      <c r="C109">
        <f>Characteristics!$C$17</f>
        <v>0.47</v>
      </c>
      <c r="D109">
        <f>Characteristics!$C$20</f>
        <v>3.2100000000000002E-3</v>
      </c>
      <c r="E109">
        <f>Characteristics!$C$18</f>
        <v>0.47</v>
      </c>
      <c r="F109">
        <v>1</v>
      </c>
      <c r="G109">
        <v>1</v>
      </c>
      <c r="H109" s="38">
        <v>1458.75916448925</v>
      </c>
      <c r="I109">
        <v>7.54</v>
      </c>
      <c r="J109" s="17">
        <v>31.292318491854498</v>
      </c>
      <c r="K109" s="17">
        <v>31.292318491854498</v>
      </c>
      <c r="L109" s="5">
        <v>35</v>
      </c>
      <c r="M109">
        <v>0.01</v>
      </c>
      <c r="N109">
        <v>3.7</v>
      </c>
      <c r="O109">
        <v>30</v>
      </c>
      <c r="P109" s="23">
        <v>1.06E-2</v>
      </c>
      <c r="Q109" s="32">
        <v>3.7</v>
      </c>
      <c r="R109" s="41" t="s">
        <v>30</v>
      </c>
      <c r="S109" s="51">
        <v>1.6031389333825361E-4</v>
      </c>
      <c r="T109" s="35">
        <v>26.334859759587872</v>
      </c>
      <c r="U109">
        <f>M109</f>
        <v>0.01</v>
      </c>
      <c r="V109" s="41" t="s">
        <v>30</v>
      </c>
      <c r="W109" s="41" t="s">
        <v>30</v>
      </c>
      <c r="X109" s="17">
        <v>0.62322198991130995</v>
      </c>
      <c r="Y109" s="40">
        <v>0.41222289961396502</v>
      </c>
    </row>
    <row r="110" spans="1:25" x14ac:dyDescent="0.3">
      <c r="A110" s="5">
        <v>108</v>
      </c>
      <c r="B110" s="5" t="s">
        <v>70</v>
      </c>
      <c r="C110">
        <f>Characteristics!$C$17</f>
        <v>0.47</v>
      </c>
      <c r="D110">
        <f>Characteristics!$C$20</f>
        <v>3.2100000000000002E-3</v>
      </c>
      <c r="E110">
        <f>Characteristics!$C$18</f>
        <v>0.47</v>
      </c>
      <c r="F110">
        <v>1</v>
      </c>
      <c r="G110">
        <v>1</v>
      </c>
      <c r="H110" s="38">
        <v>1462.77688204985</v>
      </c>
      <c r="I110">
        <v>7.54</v>
      </c>
      <c r="J110" s="17">
        <v>31.252003168903599</v>
      </c>
      <c r="K110" s="17">
        <v>31.252003168903599</v>
      </c>
      <c r="L110" s="5">
        <v>35</v>
      </c>
      <c r="M110">
        <v>0.01</v>
      </c>
      <c r="N110">
        <v>3.7</v>
      </c>
      <c r="O110">
        <v>30</v>
      </c>
      <c r="P110" s="23">
        <v>1.06E-2</v>
      </c>
      <c r="Q110" s="32">
        <v>3.7</v>
      </c>
      <c r="R110" s="41" t="s">
        <v>30</v>
      </c>
      <c r="S110" s="51">
        <v>1.9952576211152632E-4</v>
      </c>
      <c r="T110" s="35">
        <v>25.391528334287351</v>
      </c>
      <c r="U110">
        <f>M110</f>
        <v>0.01</v>
      </c>
      <c r="V110" s="41" t="s">
        <v>30</v>
      </c>
      <c r="W110" s="41" t="s">
        <v>30</v>
      </c>
      <c r="X110" s="17">
        <v>0.69104637958082804</v>
      </c>
      <c r="Y110" s="40">
        <v>0.45708454927766601</v>
      </c>
    </row>
    <row r="111" spans="1:25" x14ac:dyDescent="0.3">
      <c r="A111" s="5">
        <v>109</v>
      </c>
      <c r="B111" s="5" t="s">
        <v>70</v>
      </c>
      <c r="C111">
        <f>Characteristics!$C$17</f>
        <v>0.47</v>
      </c>
      <c r="D111">
        <f>Characteristics!$C$20</f>
        <v>3.2100000000000002E-3</v>
      </c>
      <c r="E111">
        <f>Characteristics!$C$18</f>
        <v>0.47</v>
      </c>
      <c r="F111">
        <v>1</v>
      </c>
      <c r="G111">
        <v>1</v>
      </c>
      <c r="H111" s="38">
        <v>1467.75545907481</v>
      </c>
      <c r="I111">
        <v>7.54</v>
      </c>
      <c r="J111" s="17">
        <v>31.2022646493838</v>
      </c>
      <c r="K111" s="17">
        <v>31.2022646493838</v>
      </c>
      <c r="L111" s="5">
        <v>35</v>
      </c>
      <c r="M111">
        <v>0.01</v>
      </c>
      <c r="N111">
        <v>3.7</v>
      </c>
      <c r="O111">
        <v>30</v>
      </c>
      <c r="P111" s="23">
        <v>1.06E-2</v>
      </c>
      <c r="Q111" s="32">
        <v>3.7</v>
      </c>
      <c r="R111" s="41" t="s">
        <v>30</v>
      </c>
      <c r="S111" s="51">
        <v>2.4274468316819872E-4</v>
      </c>
      <c r="T111" s="35">
        <v>24.228391528334299</v>
      </c>
      <c r="U111">
        <f>M111</f>
        <v>0.01</v>
      </c>
      <c r="V111" s="41" t="s">
        <v>30</v>
      </c>
      <c r="W111" s="41" t="s">
        <v>30</v>
      </c>
      <c r="X111" s="17">
        <v>0.77476598676568198</v>
      </c>
      <c r="Y111" s="40">
        <v>0.51245990474802405</v>
      </c>
    </row>
    <row r="112" spans="1:25" x14ac:dyDescent="0.3">
      <c r="A112" s="5">
        <v>110</v>
      </c>
      <c r="B112" s="5" t="s">
        <v>70</v>
      </c>
      <c r="C112">
        <f>Characteristics!$C$17</f>
        <v>0.47</v>
      </c>
      <c r="D112">
        <f>Characteristics!$C$20</f>
        <v>3.2100000000000002E-3</v>
      </c>
      <c r="E112">
        <f>Characteristics!$C$18</f>
        <v>0.47</v>
      </c>
      <c r="F112">
        <v>1</v>
      </c>
      <c r="G112">
        <v>1</v>
      </c>
      <c r="H112" s="38">
        <v>1470.0185583893999</v>
      </c>
      <c r="I112">
        <v>7.54</v>
      </c>
      <c r="J112" s="17">
        <v>31.179734569709101</v>
      </c>
      <c r="K112" s="17">
        <v>31.179734569709101</v>
      </c>
      <c r="L112" s="5">
        <v>35</v>
      </c>
      <c r="M112">
        <v>0.01</v>
      </c>
      <c r="N112">
        <v>3.7</v>
      </c>
      <c r="O112">
        <v>30</v>
      </c>
      <c r="P112" s="23">
        <v>1.06E-2</v>
      </c>
      <c r="Q112" s="32">
        <v>3.7</v>
      </c>
      <c r="R112" s="41" t="s">
        <v>30</v>
      </c>
      <c r="S112" s="51">
        <v>2.888257844273005E-4</v>
      </c>
      <c r="T112" s="35">
        <v>23.701774470520903</v>
      </c>
      <c r="U112">
        <f>M112</f>
        <v>0.01</v>
      </c>
      <c r="V112" s="41" t="s">
        <v>30</v>
      </c>
      <c r="W112" s="41" t="s">
        <v>30</v>
      </c>
      <c r="X112" s="17">
        <v>0.81259804293340798</v>
      </c>
      <c r="Y112" s="40">
        <v>0.53748347603445701</v>
      </c>
    </row>
    <row r="113" spans="1:25" x14ac:dyDescent="0.3">
      <c r="A113" s="5">
        <v>111</v>
      </c>
      <c r="B113" s="5" t="s">
        <v>71</v>
      </c>
      <c r="C113">
        <f>Characteristics!$C$17</f>
        <v>0.47</v>
      </c>
      <c r="D113">
        <f>Characteristics!$C$20</f>
        <v>3.2100000000000002E-3</v>
      </c>
      <c r="E113">
        <f>Characteristics!$C$18</f>
        <v>0.47</v>
      </c>
      <c r="F113">
        <v>1</v>
      </c>
      <c r="G113">
        <v>1</v>
      </c>
      <c r="H113" s="38">
        <v>1452.84329138986</v>
      </c>
      <c r="I113">
        <v>7.54</v>
      </c>
      <c r="J113" s="17">
        <v>31.351969607534201</v>
      </c>
      <c r="K113" s="17">
        <v>31.351969607534201</v>
      </c>
      <c r="L113" s="5">
        <v>35</v>
      </c>
      <c r="M113">
        <v>0.01</v>
      </c>
      <c r="N113">
        <v>3.7</v>
      </c>
      <c r="O113">
        <v>30</v>
      </c>
      <c r="P113" s="23">
        <v>1.06E-2</v>
      </c>
      <c r="Q113" s="32">
        <v>3.7</v>
      </c>
      <c r="R113" s="41" t="s">
        <v>30</v>
      </c>
      <c r="S113" s="51">
        <v>1.4438109021140081E-4</v>
      </c>
      <c r="T113" s="35">
        <v>27.731539782484262</v>
      </c>
      <c r="U113">
        <f>M113</f>
        <v>0.01</v>
      </c>
      <c r="V113" s="41" t="s">
        <v>30</v>
      </c>
      <c r="W113" s="41" t="s">
        <v>30</v>
      </c>
      <c r="X113" s="17">
        <v>0.52274407647725396</v>
      </c>
      <c r="Y113" s="40">
        <v>0.34576295838364601</v>
      </c>
    </row>
    <row r="114" spans="1:25" x14ac:dyDescent="0.3">
      <c r="A114" s="5">
        <v>112</v>
      </c>
      <c r="B114" s="5" t="s">
        <v>71</v>
      </c>
      <c r="C114">
        <f>Characteristics!$C$17</f>
        <v>0.47</v>
      </c>
      <c r="D114">
        <f>Characteristics!$C$20</f>
        <v>3.2100000000000002E-3</v>
      </c>
      <c r="E114">
        <f>Characteristics!$C$18</f>
        <v>0.47</v>
      </c>
      <c r="F114">
        <v>1</v>
      </c>
      <c r="G114">
        <v>1</v>
      </c>
      <c r="H114" s="38">
        <v>1454.7592655133899</v>
      </c>
      <c r="I114">
        <v>7.54</v>
      </c>
      <c r="J114" s="17">
        <v>31.332612545633999</v>
      </c>
      <c r="K114" s="17">
        <v>31.332612545633999</v>
      </c>
      <c r="L114" s="5">
        <v>35</v>
      </c>
      <c r="M114">
        <v>0.01</v>
      </c>
      <c r="N114">
        <v>3.7</v>
      </c>
      <c r="O114">
        <v>30</v>
      </c>
      <c r="P114" s="23">
        <v>1.06E-2</v>
      </c>
      <c r="Q114" s="32">
        <v>3.7</v>
      </c>
      <c r="R114" s="41" t="s">
        <v>30</v>
      </c>
      <c r="S114" s="51">
        <v>1.6117254739898222E-4</v>
      </c>
      <c r="T114" s="35">
        <v>27.278191184888389</v>
      </c>
      <c r="U114">
        <f>M114</f>
        <v>0.01</v>
      </c>
      <c r="V114" s="41" t="s">
        <v>30</v>
      </c>
      <c r="W114" s="41" t="s">
        <v>30</v>
      </c>
      <c r="X114" s="17">
        <v>0.55539760024179297</v>
      </c>
      <c r="Y114" s="40">
        <v>0.36736124995026398</v>
      </c>
    </row>
    <row r="115" spans="1:25" x14ac:dyDescent="0.3">
      <c r="A115" s="5">
        <v>113</v>
      </c>
      <c r="B115" s="5" t="s">
        <v>71</v>
      </c>
      <c r="C115">
        <f>Characteristics!$C$17</f>
        <v>0.47</v>
      </c>
      <c r="D115">
        <f>Characteristics!$C$20</f>
        <v>3.2100000000000002E-3</v>
      </c>
      <c r="E115">
        <f>Characteristics!$C$18</f>
        <v>0.47</v>
      </c>
      <c r="F115">
        <v>1</v>
      </c>
      <c r="G115">
        <v>1</v>
      </c>
      <c r="H115" s="38">
        <v>1458.5062180637699</v>
      </c>
      <c r="I115">
        <v>7.54</v>
      </c>
      <c r="J115" s="17">
        <v>31.294861948869698</v>
      </c>
      <c r="K115" s="17">
        <v>31.294861948869698</v>
      </c>
      <c r="L115" s="5">
        <v>35</v>
      </c>
      <c r="M115">
        <v>0.01</v>
      </c>
      <c r="N115">
        <v>3.7</v>
      </c>
      <c r="O115">
        <v>30</v>
      </c>
      <c r="P115" s="23">
        <v>1.06E-2</v>
      </c>
      <c r="Q115" s="32">
        <v>3.7</v>
      </c>
      <c r="R115" s="41" t="s">
        <v>30</v>
      </c>
      <c r="S115" s="51">
        <v>2.0057522818575001E-4</v>
      </c>
      <c r="T115" s="35">
        <v>26.394390383514597</v>
      </c>
      <c r="U115">
        <f>M115</f>
        <v>0.01</v>
      </c>
      <c r="V115" s="41" t="s">
        <v>30</v>
      </c>
      <c r="W115" s="41" t="s">
        <v>30</v>
      </c>
      <c r="X115" s="17">
        <v>0.61897847030314401</v>
      </c>
      <c r="Y115" s="40">
        <v>0.40941607317689299</v>
      </c>
    </row>
    <row r="116" spans="1:25" x14ac:dyDescent="0.3">
      <c r="A116" s="5">
        <v>114</v>
      </c>
      <c r="B116" s="5" t="s">
        <v>71</v>
      </c>
      <c r="C116">
        <f>Characteristics!$C$17</f>
        <v>0.47</v>
      </c>
      <c r="D116">
        <f>Characteristics!$C$20</f>
        <v>3.2100000000000002E-3</v>
      </c>
      <c r="E116">
        <f>Characteristics!$C$18</f>
        <v>0.47</v>
      </c>
      <c r="F116">
        <v>1</v>
      </c>
      <c r="G116">
        <v>1</v>
      </c>
      <c r="H116" s="38">
        <v>1460.3758041343699</v>
      </c>
      <c r="I116">
        <v>7.54</v>
      </c>
      <c r="J116" s="17">
        <v>31.276077499871601</v>
      </c>
      <c r="K116" s="17">
        <v>31.276077499871601</v>
      </c>
      <c r="L116" s="5">
        <v>35</v>
      </c>
      <c r="M116">
        <v>0.01</v>
      </c>
      <c r="N116">
        <v>3.7</v>
      </c>
      <c r="O116">
        <v>30</v>
      </c>
      <c r="P116" s="23">
        <v>1.06E-2</v>
      </c>
      <c r="Q116" s="32">
        <v>3.7</v>
      </c>
      <c r="R116" s="41" t="s">
        <v>30</v>
      </c>
      <c r="S116" s="51">
        <v>2.4560686337062764E-4</v>
      </c>
      <c r="T116" s="35">
        <v>25.9547796222095</v>
      </c>
      <c r="U116">
        <f>M116</f>
        <v>0.01</v>
      </c>
      <c r="V116" s="41" t="s">
        <v>30</v>
      </c>
      <c r="W116" s="41" t="s">
        <v>30</v>
      </c>
      <c r="X116" s="17">
        <v>0.65055313315035201</v>
      </c>
      <c r="Y116" s="40">
        <v>0.43030076480188201</v>
      </c>
    </row>
    <row r="117" spans="1:25" x14ac:dyDescent="0.3">
      <c r="A117" s="5">
        <v>115</v>
      </c>
      <c r="B117" s="5" t="s">
        <v>71</v>
      </c>
      <c r="C117">
        <f>Characteristics!$C$17</f>
        <v>0.47</v>
      </c>
      <c r="D117">
        <f>Characteristics!$C$20</f>
        <v>3.2100000000000002E-3</v>
      </c>
      <c r="E117">
        <f>Characteristics!$C$18</f>
        <v>0.47</v>
      </c>
      <c r="F117">
        <v>1</v>
      </c>
      <c r="G117">
        <v>1</v>
      </c>
      <c r="H117" s="38">
        <v>1463.0505801787399</v>
      </c>
      <c r="I117">
        <v>7.54</v>
      </c>
      <c r="J117" s="17">
        <v>31.249262519811801</v>
      </c>
      <c r="K117" s="17">
        <v>31.249262519811801</v>
      </c>
      <c r="L117" s="5">
        <v>35</v>
      </c>
      <c r="M117">
        <v>0.01</v>
      </c>
      <c r="N117">
        <v>3.7</v>
      </c>
      <c r="O117">
        <v>30</v>
      </c>
      <c r="P117" s="23">
        <v>1.06E-2</v>
      </c>
      <c r="Q117" s="32">
        <v>3.7</v>
      </c>
      <c r="R117" s="41" t="s">
        <v>30</v>
      </c>
      <c r="S117" s="51">
        <v>2.9521798687939089E-4</v>
      </c>
      <c r="T117" s="35">
        <v>25.327418431597032</v>
      </c>
      <c r="U117">
        <f>M117</f>
        <v>0.01</v>
      </c>
      <c r="V117" s="41" t="s">
        <v>30</v>
      </c>
      <c r="W117" s="41" t="s">
        <v>30</v>
      </c>
      <c r="X117" s="17">
        <v>0.69572144355592702</v>
      </c>
      <c r="Y117" s="40">
        <v>0.46017681569138802</v>
      </c>
    </row>
    <row r="118" spans="1:25" x14ac:dyDescent="0.3">
      <c r="A118" s="5">
        <v>116</v>
      </c>
      <c r="B118" s="5" t="s">
        <v>72</v>
      </c>
      <c r="C118">
        <f>Characteristics!$C$17</f>
        <v>0.47</v>
      </c>
      <c r="D118">
        <f>Characteristics!$C$20</f>
        <v>3.2100000000000002E-3</v>
      </c>
      <c r="E118">
        <f>Characteristics!$C$18</f>
        <v>0.47</v>
      </c>
      <c r="F118">
        <v>1</v>
      </c>
      <c r="G118">
        <v>1</v>
      </c>
      <c r="H118" s="38">
        <v>1472.3268130245101</v>
      </c>
      <c r="I118">
        <v>7.54</v>
      </c>
      <c r="J118" s="17">
        <v>31.1568058273247</v>
      </c>
      <c r="K118" s="17">
        <v>31.1568058273247</v>
      </c>
      <c r="L118" s="5">
        <v>35</v>
      </c>
      <c r="M118">
        <v>0.01</v>
      </c>
      <c r="N118">
        <v>3.7</v>
      </c>
      <c r="O118">
        <v>30</v>
      </c>
      <c r="P118" s="23">
        <v>1.06E-2</v>
      </c>
      <c r="Q118" s="32">
        <v>3.7</v>
      </c>
      <c r="R118" s="41" t="s">
        <v>30</v>
      </c>
      <c r="S118" s="51">
        <v>1.4323621813042953E-4</v>
      </c>
      <c r="T118" s="35">
        <v>23.165998855180398</v>
      </c>
      <c r="U118">
        <f>M118</f>
        <v>0.01</v>
      </c>
      <c r="V118" s="41" t="s">
        <v>30</v>
      </c>
      <c r="W118" s="41" t="s">
        <v>30</v>
      </c>
      <c r="X118" s="17">
        <v>0.85114933971268902</v>
      </c>
      <c r="Y118" s="40">
        <v>0.56298278061531004</v>
      </c>
    </row>
    <row r="119" spans="1:25" x14ac:dyDescent="0.3">
      <c r="A119" s="5">
        <v>117</v>
      </c>
      <c r="B119" s="5" t="s">
        <v>72</v>
      </c>
      <c r="C119">
        <f>Characteristics!$C$17</f>
        <v>0.47</v>
      </c>
      <c r="D119">
        <f>Characteristics!$C$20</f>
        <v>3.2100000000000002E-3</v>
      </c>
      <c r="E119">
        <f>Characteristics!$C$18</f>
        <v>0.47</v>
      </c>
      <c r="F119">
        <v>1</v>
      </c>
      <c r="G119">
        <v>1</v>
      </c>
      <c r="H119" s="38">
        <v>1471.6949134602801</v>
      </c>
      <c r="I119">
        <v>7.54</v>
      </c>
      <c r="J119" s="17">
        <v>31.163077621669501</v>
      </c>
      <c r="K119" s="17">
        <v>31.163077621669501</v>
      </c>
      <c r="L119" s="5">
        <v>35</v>
      </c>
      <c r="M119">
        <v>0.01</v>
      </c>
      <c r="N119">
        <v>3.7</v>
      </c>
      <c r="O119">
        <v>30</v>
      </c>
      <c r="P119" s="23">
        <v>1.06E-2</v>
      </c>
      <c r="Q119" s="32">
        <v>3.7</v>
      </c>
      <c r="R119" s="41" t="s">
        <v>30</v>
      </c>
      <c r="S119" s="51">
        <v>1.6117254739898222E-4</v>
      </c>
      <c r="T119" s="35">
        <v>23.312535775615402</v>
      </c>
      <c r="U119">
        <f>M119</f>
        <v>0.01</v>
      </c>
      <c r="V119" s="41" t="s">
        <v>30</v>
      </c>
      <c r="W119" s="41" t="s">
        <v>30</v>
      </c>
      <c r="X119" s="17">
        <v>0.84057650272284901</v>
      </c>
      <c r="Y119" s="40">
        <v>0.55598950118735202</v>
      </c>
    </row>
    <row r="120" spans="1:25" x14ac:dyDescent="0.3">
      <c r="A120" s="5">
        <v>118</v>
      </c>
      <c r="B120" s="5" t="s">
        <v>72</v>
      </c>
      <c r="C120">
        <f>Characteristics!$C$17</f>
        <v>0.47</v>
      </c>
      <c r="D120">
        <f>Characteristics!$C$20</f>
        <v>3.2100000000000002E-3</v>
      </c>
      <c r="E120">
        <f>Characteristics!$C$18</f>
        <v>0.47</v>
      </c>
      <c r="F120">
        <v>1</v>
      </c>
      <c r="G120">
        <v>1</v>
      </c>
      <c r="H120" s="38">
        <v>1473.0579940524201</v>
      </c>
      <c r="I120">
        <v>7.54</v>
      </c>
      <c r="J120" s="17">
        <v>31.149553421596501</v>
      </c>
      <c r="K120" s="17">
        <v>31.149553421596501</v>
      </c>
      <c r="L120" s="5">
        <v>35</v>
      </c>
      <c r="M120">
        <v>0.01</v>
      </c>
      <c r="N120">
        <v>3.7</v>
      </c>
      <c r="O120">
        <v>30</v>
      </c>
      <c r="P120" s="23">
        <v>1.06E-2</v>
      </c>
      <c r="Q120" s="32">
        <v>3.7</v>
      </c>
      <c r="R120" s="41" t="s">
        <v>30</v>
      </c>
      <c r="S120" s="51">
        <v>2.0143388224647861E-4</v>
      </c>
      <c r="T120" s="35">
        <v>22.996565540927399</v>
      </c>
      <c r="U120">
        <f>M120</f>
        <v>0.01</v>
      </c>
      <c r="V120" s="41" t="s">
        <v>30</v>
      </c>
      <c r="W120" s="41" t="s">
        <v>30</v>
      </c>
      <c r="X120" s="17">
        <v>0.86330450604794695</v>
      </c>
      <c r="Y120" s="40">
        <v>0.57102267329098899</v>
      </c>
    </row>
    <row r="121" spans="1:25" x14ac:dyDescent="0.3">
      <c r="A121" s="5">
        <v>119</v>
      </c>
      <c r="B121" s="5" t="s">
        <v>72</v>
      </c>
      <c r="C121">
        <f>Characteristics!$C$17</f>
        <v>0.47</v>
      </c>
      <c r="D121">
        <f>Characteristics!$C$20</f>
        <v>3.2100000000000002E-3</v>
      </c>
      <c r="E121">
        <f>Characteristics!$C$18</f>
        <v>0.47</v>
      </c>
      <c r="F121">
        <v>1</v>
      </c>
      <c r="G121">
        <v>1</v>
      </c>
      <c r="H121" s="38">
        <v>1472.9591514925401</v>
      </c>
      <c r="I121">
        <v>7.54</v>
      </c>
      <c r="J121" s="17">
        <v>31.1505335167619</v>
      </c>
      <c r="K121" s="17">
        <v>31.1505335167619</v>
      </c>
      <c r="L121" s="5">
        <v>35</v>
      </c>
      <c r="M121">
        <v>0.01</v>
      </c>
      <c r="N121">
        <v>3.7</v>
      </c>
      <c r="O121">
        <v>30</v>
      </c>
      <c r="P121" s="23">
        <v>1.06E-2</v>
      </c>
      <c r="Q121" s="32">
        <v>3.7</v>
      </c>
      <c r="R121" s="41" t="s">
        <v>30</v>
      </c>
      <c r="S121" s="51">
        <v>2.4379414924242292E-4</v>
      </c>
      <c r="T121" s="35">
        <v>23.019461934745301</v>
      </c>
      <c r="U121">
        <f>M121</f>
        <v>0.01</v>
      </c>
      <c r="V121" s="41" t="s">
        <v>30</v>
      </c>
      <c r="W121" s="41" t="s">
        <v>30</v>
      </c>
      <c r="X121" s="17">
        <v>0.86172217670252904</v>
      </c>
      <c r="Y121" s="40">
        <v>0.56997606004326695</v>
      </c>
    </row>
    <row r="122" spans="1:25" ht="15" thickBot="1" x14ac:dyDescent="0.35">
      <c r="A122" s="5">
        <v>120</v>
      </c>
      <c r="B122" s="7" t="s">
        <v>72</v>
      </c>
      <c r="C122" s="8">
        <f>Characteristics!$C$17</f>
        <v>0.47</v>
      </c>
      <c r="D122" s="8">
        <f>Characteristics!$C$20</f>
        <v>3.2100000000000002E-3</v>
      </c>
      <c r="E122" s="8">
        <f>Characteristics!$C$18</f>
        <v>0.47</v>
      </c>
      <c r="F122">
        <v>1</v>
      </c>
      <c r="G122" s="8">
        <v>1</v>
      </c>
      <c r="H122" s="53">
        <v>1473.3941390054299</v>
      </c>
      <c r="I122" s="8">
        <v>7.54</v>
      </c>
      <c r="J122" s="47">
        <v>31.146221003731299</v>
      </c>
      <c r="K122" s="47">
        <v>31.146221003731299</v>
      </c>
      <c r="L122" s="7">
        <v>35</v>
      </c>
      <c r="M122" s="8">
        <v>0.01</v>
      </c>
      <c r="N122" s="8">
        <v>3.7</v>
      </c>
      <c r="O122" s="8">
        <v>30</v>
      </c>
      <c r="P122" s="24">
        <v>1.06E-2</v>
      </c>
      <c r="Q122" s="34">
        <v>3.7</v>
      </c>
      <c r="R122" s="42" t="s">
        <v>30</v>
      </c>
      <c r="S122" s="52">
        <v>2.9111552858924306E-4</v>
      </c>
      <c r="T122" s="36">
        <v>22.918717801946201</v>
      </c>
      <c r="U122" s="8">
        <f>M122</f>
        <v>0.01</v>
      </c>
      <c r="V122" s="42" t="s">
        <v>30</v>
      </c>
      <c r="W122" s="42" t="s">
        <v>30</v>
      </c>
      <c r="X122" s="47">
        <v>0.86891458281806599</v>
      </c>
      <c r="Y122" s="48">
        <v>0.57473339298745596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Characteristics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Zeoli Alanis</dc:creator>
  <cp:lastModifiedBy>Zeoli Alanis</cp:lastModifiedBy>
  <dcterms:created xsi:type="dcterms:W3CDTF">2023-10-02T08:13:39Z</dcterms:created>
  <dcterms:modified xsi:type="dcterms:W3CDTF">2026-01-28T07:48:14Z</dcterms:modified>
</cp:coreProperties>
</file>