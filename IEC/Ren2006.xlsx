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AZ\alaniszeo_git\EC-generic-model\Database_for_model_validation\IEC\"/>
    </mc:Choice>
  </mc:AlternateContent>
  <xr:revisionPtr revIDLastSave="0" documentId="13_ncr:1_{B4228AC3-64A9-42D8-AA36-A7790DA0C952}" xr6:coauthVersionLast="47" xr6:coauthVersionMax="47" xr10:uidLastSave="{00000000-0000-0000-0000-000000000000}"/>
  <bookViews>
    <workbookView xWindow="-108" yWindow="-108" windowWidth="30936" windowHeight="16776" xr2:uid="{1306219A-737B-4B5D-BCFD-98C34D3C77CC}"/>
  </bookViews>
  <sheets>
    <sheet name="Ren2006" sheetId="10"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10" l="1"/>
  <c r="B34" i="10" s="1"/>
  <c r="B35" i="10" s="1"/>
  <c r="B36" i="10" s="1"/>
  <c r="B37" i="10" s="1"/>
  <c r="B38" i="10" s="1"/>
  <c r="B39" i="10" s="1"/>
  <c r="B40" i="10" s="1"/>
  <c r="B41" i="10" s="1"/>
  <c r="B42" i="10" s="1"/>
  <c r="B43" i="10" s="1"/>
  <c r="B44" i="10" s="1"/>
  <c r="B45" i="10" s="1"/>
  <c r="B46" i="10" s="1"/>
  <c r="B47" i="10" s="1"/>
</calcChain>
</file>

<file path=xl/sharedStrings.xml><?xml version="1.0" encoding="utf-8"?>
<sst xmlns="http://schemas.openxmlformats.org/spreadsheetml/2006/main" count="77" uniqueCount="56">
  <si>
    <t>Authors</t>
  </si>
  <si>
    <t>Title</t>
  </si>
  <si>
    <t>Year</t>
  </si>
  <si>
    <t>HEX characteristics</t>
  </si>
  <si>
    <t>Data type</t>
  </si>
  <si>
    <t>-</t>
  </si>
  <si>
    <t>m</t>
  </si>
  <si>
    <t>Configuration</t>
  </si>
  <si>
    <t>Water recirculation</t>
  </si>
  <si>
    <t>Run</t>
  </si>
  <si>
    <t>HEX type</t>
  </si>
  <si>
    <t>Water injection type</t>
  </si>
  <si>
    <t>wf</t>
  </si>
  <si>
    <t>counterflow</t>
  </si>
  <si>
    <t>Geometry</t>
  </si>
  <si>
    <t>Length</t>
  </si>
  <si>
    <t>Height</t>
  </si>
  <si>
    <t>Channel width</t>
  </si>
  <si>
    <t>Paper information</t>
  </si>
  <si>
    <t>Operating conditions</t>
  </si>
  <si>
    <t>Water supplied</t>
  </si>
  <si>
    <t>Wall thickness</t>
  </si>
  <si>
    <t>Primary fluid velocity</t>
  </si>
  <si>
    <t>Secondary fluid velocity</t>
  </si>
  <si>
    <t>kg/kg</t>
  </si>
  <si>
    <t>parallel</t>
  </si>
  <si>
    <t>NA</t>
  </si>
  <si>
    <t>Number of channels</t>
  </si>
  <si>
    <t>pd</t>
  </si>
  <si>
    <t>sw</t>
  </si>
  <si>
    <t>Width</t>
  </si>
  <si>
    <t>Secondary-to-Primary flow rate ratio</t>
  </si>
  <si>
    <t>T_pdi</t>
  </si>
  <si>
    <t>T_swi</t>
  </si>
  <si>
    <t>w_swi</t>
  </si>
  <si>
    <t>T_pdo</t>
  </si>
  <si>
    <t>T_swo</t>
  </si>
  <si>
    <t>IEC</t>
  </si>
  <si>
    <t>Yes</t>
  </si>
  <si>
    <t>w_swo</t>
  </si>
  <si>
    <t>Ren &amp; Yang</t>
  </si>
  <si>
    <t>An analytical model for the heat and mass transfer processes in indirect evaporative cooling with parallel/counter flow configurations</t>
  </si>
  <si>
    <t>Water film</t>
  </si>
  <si>
    <t>PPC</t>
  </si>
  <si>
    <t>Important note : For the nomenclature refer to the original paper</t>
  </si>
  <si>
    <t>Given conditions</t>
  </si>
  <si>
    <t>Analytical results</t>
  </si>
  <si>
    <t>Numerical results</t>
  </si>
  <si>
    <t>C_star_w</t>
  </si>
  <si>
    <t>C_star_f</t>
  </si>
  <si>
    <t>r</t>
  </si>
  <si>
    <t>sigma_Lef</t>
  </si>
  <si>
    <t>NTU</t>
  </si>
  <si>
    <t>Numerical and analytical, raw data, under the format used in the paper</t>
  </si>
  <si>
    <t>Description</t>
  </si>
  <si>
    <r>
      <t xml:space="preserve">Ren &amp; Yang proposed a set of differential equations for the primary air and water film temperatures and for the secondary air temperature and humidity ratio, using dimensionless coefficients for parallel and counterflow configurations. Results provided for the analytical model resolution and the numerical model for various coefficient combinations.
</t>
    </r>
    <r>
      <rPr>
        <i/>
        <sz val="11"/>
        <rFont val="Calibri"/>
        <family val="2"/>
        <scheme val="minor"/>
      </rPr>
      <t>NB: The use of this dataset is relevant only if the formalism of the numerical model is similar to the one proposed by Ren and Yang.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</si>
</sst>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b/>
      <sz val="11"/>
      <color rgb="FFC00000"/>
      <name val="Calibri"/>
      <family val="2"/>
      <scheme val="minor"/>
    </font>
    <font>
      <i/>
      <sz val="11"/>
      <name val="Calibri"/>
      <family val="2"/>
      <scheme val="minor"/>
    </font>
  </fonts>
  <fills count="3">
    <fill>
      <patternFill patternType="none"/>
    </fill>
    <fill>
      <patternFill patternType="gray125"/>
    </fill>
    <fill>
      <patternFill patternType="solid">
        <fgColor rgb="FFFFCCCC"/>
        <bgColor indexed="64"/>
      </patternFill>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3">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1" fillId="0" borderId="2" xfId="0" applyFont="1" applyBorder="1"/>
    <xf numFmtId="0" fontId="1" fillId="0" borderId="6" xfId="0" applyFont="1" applyBorder="1"/>
    <xf numFmtId="0" fontId="1" fillId="0" borderId="14" xfId="0" applyFont="1" applyBorder="1"/>
    <xf numFmtId="2" fontId="0" fillId="0" borderId="0" xfId="0" applyNumberFormat="1"/>
    <xf numFmtId="0" fontId="0" fillId="0" borderId="10" xfId="0" applyBorder="1"/>
    <xf numFmtId="0" fontId="0" fillId="0" borderId="11" xfId="0" applyBorder="1"/>
    <xf numFmtId="0" fontId="1" fillId="0" borderId="4" xfId="0" applyFont="1" applyBorder="1"/>
    <xf numFmtId="0" fontId="1" fillId="0" borderId="12" xfId="0" applyFont="1" applyBorder="1"/>
    <xf numFmtId="0" fontId="1" fillId="0" borderId="13" xfId="0" applyFont="1" applyBorder="1"/>
    <xf numFmtId="164" fontId="0" fillId="0" borderId="0" xfId="0" applyNumberFormat="1"/>
    <xf numFmtId="0" fontId="1" fillId="0" borderId="4" xfId="0" applyFont="1" applyBorder="1" applyAlignment="1">
      <alignment wrapText="1"/>
    </xf>
    <xf numFmtId="0" fontId="0" fillId="0" borderId="5" xfId="0" applyBorder="1" applyAlignment="1">
      <alignment vertical="center"/>
    </xf>
    <xf numFmtId="166" fontId="0" fillId="0" borderId="0" xfId="0" applyNumberFormat="1"/>
    <xf numFmtId="166" fontId="0" fillId="0" borderId="7" xfId="0" applyNumberFormat="1" applyBorder="1"/>
    <xf numFmtId="166" fontId="0" fillId="0" borderId="4" xfId="0" applyNumberFormat="1" applyBorder="1"/>
    <xf numFmtId="166" fontId="0" fillId="0" borderId="6" xfId="0" applyNumberFormat="1" applyBorder="1"/>
    <xf numFmtId="0" fontId="0" fillId="0" borderId="14" xfId="0" applyBorder="1"/>
    <xf numFmtId="0" fontId="1" fillId="0" borderId="3" xfId="0" applyFont="1" applyBorder="1"/>
    <xf numFmtId="0" fontId="0" fillId="0" borderId="13" xfId="0" applyBorder="1"/>
    <xf numFmtId="0" fontId="1" fillId="2" borderId="0" xfId="0" applyFont="1" applyFill="1"/>
    <xf numFmtId="0" fontId="2" fillId="2" borderId="0" xfId="0" applyFont="1" applyFill="1"/>
    <xf numFmtId="0" fontId="0" fillId="0" borderId="0" xfId="0" applyAlignment="1">
      <alignment horizontal="right"/>
    </xf>
    <xf numFmtId="0" fontId="0" fillId="0" borderId="7" xfId="0" applyBorder="1" applyAlignment="1">
      <alignment horizontal="right"/>
    </xf>
    <xf numFmtId="0" fontId="0" fillId="0" borderId="2" xfId="0" applyBorder="1" applyAlignment="1">
      <alignment horizontal="right"/>
    </xf>
    <xf numFmtId="0" fontId="0" fillId="0" borderId="1" xfId="0" applyBorder="1" applyAlignment="1">
      <alignment horizontal="right"/>
    </xf>
    <xf numFmtId="0" fontId="0" fillId="0" borderId="4" xfId="0" applyBorder="1" applyAlignment="1">
      <alignment horizontal="right"/>
    </xf>
    <xf numFmtId="0" fontId="0" fillId="0" borderId="4" xfId="0" applyBorder="1" applyAlignment="1">
      <alignment horizontal="right" vertical="center"/>
    </xf>
    <xf numFmtId="0" fontId="0" fillId="0" borderId="6" xfId="0" applyBorder="1" applyAlignment="1">
      <alignment horizontal="right"/>
    </xf>
    <xf numFmtId="0" fontId="0" fillId="0" borderId="9" xfId="0" applyBorder="1" applyAlignment="1">
      <alignment horizontal="center"/>
    </xf>
    <xf numFmtId="0" fontId="0" fillId="0" borderId="11" xfId="0" applyBorder="1" applyAlignment="1">
      <alignment horizontal="center"/>
    </xf>
    <xf numFmtId="0" fontId="1" fillId="0" borderId="12" xfId="0" applyFont="1"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1" fillId="0" borderId="13" xfId="0" applyFont="1" applyBorder="1" applyAlignment="1">
      <alignment horizontal="left" vertical="top"/>
    </xf>
    <xf numFmtId="0" fontId="0" fillId="0" borderId="0" xfId="0" applyAlignment="1">
      <alignment horizontal="left" vertical="top"/>
    </xf>
    <xf numFmtId="0" fontId="0" fillId="0" borderId="5" xfId="0" applyBorder="1" applyAlignment="1">
      <alignment horizontal="left" vertical="top"/>
    </xf>
    <xf numFmtId="0" fontId="1" fillId="0" borderId="14" xfId="0" applyFont="1" applyBorder="1" applyAlignment="1">
      <alignment horizontal="left" vertical="top"/>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32DD-54CD-4090-949A-6BF1B3F8F691}">
  <dimension ref="B1:Q61"/>
  <sheetViews>
    <sheetView tabSelected="1" workbookViewId="0">
      <selection activeCell="K16" sqref="K16"/>
    </sheetView>
  </sheetViews>
  <sheetFormatPr defaultColWidth="8.88671875" defaultRowHeight="14.4" x14ac:dyDescent="0.3"/>
  <cols>
    <col min="1" max="1" width="2.6640625" customWidth="1"/>
    <col min="2" max="2" width="22.33203125" bestFit="1" customWidth="1"/>
    <col min="3" max="3" width="14.109375" customWidth="1"/>
    <col min="6" max="12" width="9.33203125" customWidth="1"/>
    <col min="13" max="14" width="10.5546875" bestFit="1" customWidth="1"/>
    <col min="15" max="15" width="10.33203125" bestFit="1" customWidth="1"/>
    <col min="16" max="16" width="10.5546875" bestFit="1" customWidth="1"/>
    <col min="17" max="17" width="10.33203125" bestFit="1" customWidth="1"/>
  </cols>
  <sheetData>
    <row r="1" spans="2:14" ht="15" thickBot="1" x14ac:dyDescent="0.35"/>
    <row r="2" spans="2:14" ht="15" thickBot="1" x14ac:dyDescent="0.35">
      <c r="B2" s="10" t="s">
        <v>18</v>
      </c>
      <c r="C2" s="11"/>
      <c r="D2" s="11"/>
      <c r="E2" s="11"/>
      <c r="F2" s="11"/>
      <c r="G2" s="11"/>
      <c r="H2" s="11"/>
      <c r="I2" s="11"/>
      <c r="J2" s="11"/>
      <c r="K2" s="11"/>
      <c r="L2" s="11"/>
      <c r="M2" s="11"/>
      <c r="N2" s="12"/>
    </row>
    <row r="3" spans="2:14" x14ac:dyDescent="0.3">
      <c r="B3" s="43" t="s">
        <v>0</v>
      </c>
      <c r="C3" s="44" t="s">
        <v>40</v>
      </c>
      <c r="D3" s="44"/>
      <c r="E3" s="44"/>
      <c r="F3" s="44"/>
      <c r="G3" s="44"/>
      <c r="H3" s="44"/>
      <c r="I3" s="44"/>
      <c r="J3" s="44"/>
      <c r="K3" s="44"/>
      <c r="L3" s="44"/>
      <c r="M3" s="44"/>
      <c r="N3" s="45"/>
    </row>
    <row r="4" spans="2:14" x14ac:dyDescent="0.3">
      <c r="B4" s="46" t="s">
        <v>1</v>
      </c>
      <c r="C4" s="47" t="s">
        <v>41</v>
      </c>
      <c r="D4" s="47"/>
      <c r="E4" s="47"/>
      <c r="F4" s="47"/>
      <c r="G4" s="47"/>
      <c r="H4" s="47"/>
      <c r="I4" s="47"/>
      <c r="J4" s="47"/>
      <c r="K4" s="47"/>
      <c r="L4" s="47"/>
      <c r="M4" s="47"/>
      <c r="N4" s="48"/>
    </row>
    <row r="5" spans="2:14" x14ac:dyDescent="0.3">
      <c r="B5" s="46" t="s">
        <v>2</v>
      </c>
      <c r="C5" s="47">
        <v>2006</v>
      </c>
      <c r="D5" s="47"/>
      <c r="E5" s="47"/>
      <c r="F5" s="47"/>
      <c r="G5" s="47"/>
      <c r="H5" s="47"/>
      <c r="I5" s="47"/>
      <c r="J5" s="47"/>
      <c r="K5" s="47"/>
      <c r="L5" s="47"/>
      <c r="M5" s="47"/>
      <c r="N5" s="48"/>
    </row>
    <row r="6" spans="2:14" x14ac:dyDescent="0.3">
      <c r="B6" s="46" t="s">
        <v>4</v>
      </c>
      <c r="C6" s="47" t="s">
        <v>53</v>
      </c>
      <c r="D6" s="47"/>
      <c r="E6" s="47"/>
      <c r="F6" s="47"/>
      <c r="G6" s="47"/>
      <c r="H6" s="47"/>
      <c r="I6" s="47"/>
      <c r="J6" s="47"/>
      <c r="K6" s="47"/>
      <c r="L6" s="47"/>
      <c r="M6" s="47"/>
      <c r="N6" s="48"/>
    </row>
    <row r="7" spans="2:14" ht="59.4" customHeight="1" thickBot="1" x14ac:dyDescent="0.35">
      <c r="B7" s="49" t="s">
        <v>54</v>
      </c>
      <c r="C7" s="50" t="s">
        <v>55</v>
      </c>
      <c r="D7" s="51"/>
      <c r="E7" s="51"/>
      <c r="F7" s="51"/>
      <c r="G7" s="51"/>
      <c r="H7" s="51"/>
      <c r="I7" s="51"/>
      <c r="J7" s="51"/>
      <c r="K7" s="51"/>
      <c r="L7" s="51"/>
      <c r="M7" s="51"/>
      <c r="N7" s="52"/>
    </row>
    <row r="8" spans="2:14" ht="15" thickBot="1" x14ac:dyDescent="0.35"/>
    <row r="9" spans="2:14" ht="15" thickBot="1" x14ac:dyDescent="0.35">
      <c r="B9" s="10" t="s">
        <v>3</v>
      </c>
      <c r="C9" s="18"/>
      <c r="E9" s="10" t="s">
        <v>7</v>
      </c>
      <c r="F9" s="17"/>
      <c r="G9" s="17"/>
      <c r="H9" s="17"/>
      <c r="I9" s="17"/>
      <c r="J9" s="18"/>
    </row>
    <row r="10" spans="2:14" ht="15" thickBot="1" x14ac:dyDescent="0.35">
      <c r="B10" s="20" t="s">
        <v>10</v>
      </c>
      <c r="C10" s="6" t="s">
        <v>37</v>
      </c>
      <c r="E10" s="10" t="s">
        <v>28</v>
      </c>
      <c r="F10" s="11" t="s">
        <v>12</v>
      </c>
      <c r="G10" s="10" t="s">
        <v>28</v>
      </c>
      <c r="H10" s="12" t="s">
        <v>29</v>
      </c>
      <c r="I10" s="11" t="s">
        <v>29</v>
      </c>
      <c r="J10" s="12" t="s">
        <v>12</v>
      </c>
    </row>
    <row r="11" spans="2:14" ht="15" thickBot="1" x14ac:dyDescent="0.35">
      <c r="B11" s="21" t="s">
        <v>11</v>
      </c>
      <c r="C11" s="6" t="s">
        <v>42</v>
      </c>
      <c r="E11" s="41" t="s">
        <v>25</v>
      </c>
      <c r="F11" s="42"/>
      <c r="G11" s="41" t="s">
        <v>13</v>
      </c>
      <c r="H11" s="42"/>
      <c r="I11" s="41" t="s">
        <v>13</v>
      </c>
      <c r="J11" s="42"/>
    </row>
    <row r="12" spans="2:14" x14ac:dyDescent="0.3">
      <c r="B12" s="21" t="s">
        <v>8</v>
      </c>
      <c r="C12" s="6" t="s">
        <v>38</v>
      </c>
    </row>
    <row r="13" spans="2:14" ht="15" thickBot="1" x14ac:dyDescent="0.35">
      <c r="B13" s="15" t="s">
        <v>7</v>
      </c>
      <c r="C13" s="9" t="s">
        <v>43</v>
      </c>
      <c r="E13" s="1"/>
      <c r="F13" s="1"/>
      <c r="G13" s="1"/>
      <c r="H13" s="1"/>
      <c r="I13" s="1"/>
      <c r="J13" s="1"/>
    </row>
    <row r="14" spans="2:14" ht="15" thickBot="1" x14ac:dyDescent="0.35">
      <c r="B14" s="1"/>
    </row>
    <row r="15" spans="2:14" ht="15" thickBot="1" x14ac:dyDescent="0.35">
      <c r="B15" s="10" t="s">
        <v>14</v>
      </c>
      <c r="C15" s="17"/>
      <c r="D15" s="18"/>
    </row>
    <row r="16" spans="2:14" x14ac:dyDescent="0.3">
      <c r="B16" s="20" t="s">
        <v>15</v>
      </c>
      <c r="C16" s="36" t="s">
        <v>26</v>
      </c>
      <c r="D16" s="4" t="s">
        <v>6</v>
      </c>
    </row>
    <row r="17" spans="2:17" x14ac:dyDescent="0.3">
      <c r="B17" s="21" t="s">
        <v>30</v>
      </c>
      <c r="C17" s="34" t="s">
        <v>26</v>
      </c>
      <c r="D17" s="6" t="s">
        <v>6</v>
      </c>
      <c r="F17" s="1"/>
    </row>
    <row r="18" spans="2:17" x14ac:dyDescent="0.3">
      <c r="B18" s="21" t="s">
        <v>16</v>
      </c>
      <c r="C18" s="34" t="s">
        <v>26</v>
      </c>
      <c r="D18" s="6" t="s">
        <v>6</v>
      </c>
    </row>
    <row r="19" spans="2:17" x14ac:dyDescent="0.3">
      <c r="B19" s="21" t="s">
        <v>17</v>
      </c>
      <c r="C19" s="34" t="s">
        <v>26</v>
      </c>
      <c r="D19" s="6" t="s">
        <v>6</v>
      </c>
    </row>
    <row r="20" spans="2:17" x14ac:dyDescent="0.3">
      <c r="B20" s="21" t="s">
        <v>21</v>
      </c>
      <c r="C20" s="34" t="s">
        <v>26</v>
      </c>
      <c r="D20" s="6" t="s">
        <v>6</v>
      </c>
    </row>
    <row r="21" spans="2:17" ht="15" thickBot="1" x14ac:dyDescent="0.35">
      <c r="B21" s="15" t="s">
        <v>27</v>
      </c>
      <c r="C21" s="35" t="s">
        <v>26</v>
      </c>
      <c r="D21" s="9" t="s">
        <v>5</v>
      </c>
    </row>
    <row r="22" spans="2:17" ht="13.2" customHeight="1" thickBot="1" x14ac:dyDescent="0.35">
      <c r="B22" s="1"/>
    </row>
    <row r="23" spans="2:17" ht="15" thickBot="1" x14ac:dyDescent="0.35">
      <c r="B23" s="2" t="s">
        <v>19</v>
      </c>
      <c r="C23" s="3"/>
      <c r="D23" s="4"/>
    </row>
    <row r="24" spans="2:17" x14ac:dyDescent="0.3">
      <c r="B24" s="2" t="s">
        <v>22</v>
      </c>
      <c r="C24" s="37" t="s">
        <v>26</v>
      </c>
      <c r="D24" s="4"/>
    </row>
    <row r="25" spans="2:17" x14ac:dyDescent="0.3">
      <c r="B25" s="19" t="s">
        <v>23</v>
      </c>
      <c r="C25" s="38" t="s">
        <v>26</v>
      </c>
      <c r="D25" s="6"/>
    </row>
    <row r="26" spans="2:17" ht="28.8" x14ac:dyDescent="0.3">
      <c r="B26" s="23" t="s">
        <v>31</v>
      </c>
      <c r="C26" s="39" t="s">
        <v>26</v>
      </c>
      <c r="D26" s="24" t="s">
        <v>24</v>
      </c>
    </row>
    <row r="27" spans="2:17" ht="15" thickBot="1" x14ac:dyDescent="0.35">
      <c r="B27" s="14" t="s">
        <v>20</v>
      </c>
      <c r="C27" s="40" t="s">
        <v>26</v>
      </c>
      <c r="D27" s="9"/>
      <c r="K27" s="33" t="s">
        <v>44</v>
      </c>
      <c r="L27" s="32"/>
      <c r="M27" s="32"/>
      <c r="N27" s="32"/>
      <c r="O27" s="32"/>
      <c r="P27" s="32"/>
    </row>
    <row r="28" spans="2:17" x14ac:dyDescent="0.3">
      <c r="B28" s="1"/>
    </row>
    <row r="29" spans="2:17" ht="15" thickBot="1" x14ac:dyDescent="0.35"/>
    <row r="30" spans="2:17" ht="15" thickBot="1" x14ac:dyDescent="0.35">
      <c r="B30" s="2"/>
      <c r="C30" s="2" t="s">
        <v>45</v>
      </c>
      <c r="D30" s="13"/>
      <c r="E30" s="13"/>
      <c r="F30" s="13"/>
      <c r="G30" s="13"/>
      <c r="H30" s="13"/>
      <c r="I30" s="13"/>
      <c r="J30" s="30"/>
      <c r="K30" s="2" t="s">
        <v>46</v>
      </c>
      <c r="L30" s="13"/>
      <c r="M30" s="30"/>
      <c r="N30" s="2" t="s">
        <v>47</v>
      </c>
      <c r="O30" s="13"/>
      <c r="P30" s="30"/>
    </row>
    <row r="31" spans="2:17" ht="15" thickBot="1" x14ac:dyDescent="0.35">
      <c r="B31" s="14" t="s">
        <v>9</v>
      </c>
      <c r="C31" s="10" t="s">
        <v>32</v>
      </c>
      <c r="D31" s="11" t="s">
        <v>33</v>
      </c>
      <c r="E31" s="11" t="s">
        <v>34</v>
      </c>
      <c r="F31" s="11" t="s">
        <v>48</v>
      </c>
      <c r="G31" s="11" t="s">
        <v>49</v>
      </c>
      <c r="H31" s="11" t="s">
        <v>50</v>
      </c>
      <c r="I31" s="11" t="s">
        <v>51</v>
      </c>
      <c r="J31" s="12" t="s">
        <v>52</v>
      </c>
      <c r="K31" s="10" t="s">
        <v>35</v>
      </c>
      <c r="L31" s="11" t="s">
        <v>36</v>
      </c>
      <c r="M31" s="12" t="s">
        <v>39</v>
      </c>
      <c r="N31" s="10" t="s">
        <v>35</v>
      </c>
      <c r="O31" s="11" t="s">
        <v>36</v>
      </c>
      <c r="P31" s="12" t="s">
        <v>39</v>
      </c>
      <c r="Q31" s="1"/>
    </row>
    <row r="32" spans="2:17" x14ac:dyDescent="0.3">
      <c r="B32" s="31">
        <v>1</v>
      </c>
      <c r="C32" s="5">
        <v>36</v>
      </c>
      <c r="D32">
        <v>30</v>
      </c>
      <c r="E32">
        <v>1.6219999999999998E-2</v>
      </c>
      <c r="F32">
        <v>0</v>
      </c>
      <c r="G32">
        <v>3</v>
      </c>
      <c r="H32">
        <v>1</v>
      </c>
      <c r="I32">
        <v>0.8</v>
      </c>
      <c r="J32" s="6">
        <v>3</v>
      </c>
      <c r="K32" s="27">
        <v>30.36</v>
      </c>
      <c r="L32" s="25">
        <v>28.36</v>
      </c>
      <c r="M32" s="6">
        <v>2.3900000000000001E-2</v>
      </c>
      <c r="N32" s="27">
        <v>30.35</v>
      </c>
      <c r="O32" s="25">
        <v>28.35</v>
      </c>
      <c r="P32" s="6">
        <v>2.3900000000000001E-2</v>
      </c>
      <c r="Q32" s="16"/>
    </row>
    <row r="33" spans="2:17" x14ac:dyDescent="0.3">
      <c r="B33" s="31">
        <f t="shared" ref="B33:B47" si="0">1+B32</f>
        <v>2</v>
      </c>
      <c r="C33" s="5">
        <v>36</v>
      </c>
      <c r="D33">
        <v>30</v>
      </c>
      <c r="E33">
        <v>1.6219999999999998E-2</v>
      </c>
      <c r="F33">
        <v>0</v>
      </c>
      <c r="G33">
        <v>3</v>
      </c>
      <c r="H33">
        <v>1</v>
      </c>
      <c r="I33">
        <v>0.8</v>
      </c>
      <c r="J33" s="6">
        <v>1</v>
      </c>
      <c r="K33" s="27">
        <v>33.46</v>
      </c>
      <c r="L33" s="25">
        <v>28.27</v>
      </c>
      <c r="M33" s="6">
        <v>2.01E-2</v>
      </c>
      <c r="N33" s="27">
        <v>33.450000000000003</v>
      </c>
      <c r="O33" s="25">
        <v>28.26</v>
      </c>
      <c r="P33" s="6">
        <v>2.01E-2</v>
      </c>
      <c r="Q33" s="16"/>
    </row>
    <row r="34" spans="2:17" x14ac:dyDescent="0.3">
      <c r="B34" s="31">
        <f t="shared" si="0"/>
        <v>3</v>
      </c>
      <c r="C34" s="5">
        <v>36</v>
      </c>
      <c r="D34">
        <v>30</v>
      </c>
      <c r="E34">
        <v>1.6219999999999998E-2</v>
      </c>
      <c r="F34">
        <v>0</v>
      </c>
      <c r="G34">
        <v>3</v>
      </c>
      <c r="H34">
        <v>1</v>
      </c>
      <c r="I34">
        <v>0.5</v>
      </c>
      <c r="J34" s="6">
        <v>2</v>
      </c>
      <c r="K34" s="27">
        <v>32.07</v>
      </c>
      <c r="L34" s="25">
        <v>28.66</v>
      </c>
      <c r="M34" s="6">
        <v>2.1659999999999999E-2</v>
      </c>
      <c r="N34" s="27">
        <v>32.07</v>
      </c>
      <c r="O34" s="25">
        <v>28.65</v>
      </c>
      <c r="P34" s="6">
        <v>2.1659999999999999E-2</v>
      </c>
      <c r="Q34" s="16"/>
    </row>
    <row r="35" spans="2:17" x14ac:dyDescent="0.3">
      <c r="B35" s="31">
        <f t="shared" si="0"/>
        <v>4</v>
      </c>
      <c r="C35" s="5">
        <v>36</v>
      </c>
      <c r="D35">
        <v>30</v>
      </c>
      <c r="E35">
        <v>1.6219999999999998E-2</v>
      </c>
      <c r="F35">
        <v>0</v>
      </c>
      <c r="G35">
        <v>3</v>
      </c>
      <c r="H35">
        <v>1</v>
      </c>
      <c r="I35">
        <v>1.1000000000000001</v>
      </c>
      <c r="J35" s="6">
        <v>2</v>
      </c>
      <c r="K35" s="27">
        <v>31.45</v>
      </c>
      <c r="L35" s="25">
        <v>27.74</v>
      </c>
      <c r="M35" s="6">
        <v>2.281E-2</v>
      </c>
      <c r="N35" s="27">
        <v>31.45</v>
      </c>
      <c r="O35" s="25">
        <v>27.74</v>
      </c>
      <c r="P35" s="6">
        <v>2.281E-2</v>
      </c>
      <c r="Q35" s="16"/>
    </row>
    <row r="36" spans="2:17" x14ac:dyDescent="0.3">
      <c r="B36" s="31">
        <f t="shared" si="0"/>
        <v>5</v>
      </c>
      <c r="C36" s="5">
        <v>36</v>
      </c>
      <c r="D36">
        <v>30</v>
      </c>
      <c r="E36">
        <v>1.6219999999999998E-2</v>
      </c>
      <c r="F36">
        <v>0</v>
      </c>
      <c r="G36">
        <v>3</v>
      </c>
      <c r="H36">
        <v>2.8</v>
      </c>
      <c r="I36">
        <v>0.8</v>
      </c>
      <c r="J36" s="6">
        <v>2</v>
      </c>
      <c r="K36" s="27">
        <v>29.31</v>
      </c>
      <c r="L36" s="25">
        <v>29.66</v>
      </c>
      <c r="M36" s="6">
        <v>2.4660000000000001E-2</v>
      </c>
      <c r="N36" s="27">
        <v>29.3</v>
      </c>
      <c r="O36" s="25">
        <v>29.66</v>
      </c>
      <c r="P36" s="6">
        <v>2.4660000000000001E-2</v>
      </c>
      <c r="Q36" s="16"/>
    </row>
    <row r="37" spans="2:17" x14ac:dyDescent="0.3">
      <c r="B37" s="31">
        <f t="shared" si="0"/>
        <v>6</v>
      </c>
      <c r="C37" s="5">
        <v>36</v>
      </c>
      <c r="D37">
        <v>30</v>
      </c>
      <c r="E37">
        <v>1.6219999999999998E-2</v>
      </c>
      <c r="F37">
        <v>0</v>
      </c>
      <c r="G37">
        <v>0.75</v>
      </c>
      <c r="H37">
        <v>1</v>
      </c>
      <c r="I37">
        <v>0.8</v>
      </c>
      <c r="J37" s="6">
        <v>2</v>
      </c>
      <c r="K37" s="27">
        <v>25.87</v>
      </c>
      <c r="L37" s="25">
        <v>26.77</v>
      </c>
      <c r="M37" s="6">
        <v>2.0719999999999999E-2</v>
      </c>
      <c r="N37" s="27">
        <v>25.85</v>
      </c>
      <c r="O37" s="25">
        <v>26.77</v>
      </c>
      <c r="P37" s="6">
        <v>2.0719999999999999E-2</v>
      </c>
      <c r="Q37" s="16"/>
    </row>
    <row r="38" spans="2:17" x14ac:dyDescent="0.3">
      <c r="B38" s="31">
        <f t="shared" si="0"/>
        <v>7</v>
      </c>
      <c r="C38" s="5">
        <v>36</v>
      </c>
      <c r="D38">
        <v>30</v>
      </c>
      <c r="E38">
        <v>1.6219999999999998E-2</v>
      </c>
      <c r="F38">
        <v>0.5</v>
      </c>
      <c r="G38">
        <v>3</v>
      </c>
      <c r="H38">
        <v>1</v>
      </c>
      <c r="I38">
        <v>0.8</v>
      </c>
      <c r="J38" s="6">
        <v>3</v>
      </c>
      <c r="K38" s="27">
        <v>30.46</v>
      </c>
      <c r="L38" s="25">
        <v>28.26</v>
      </c>
      <c r="M38" s="6">
        <v>2.3820000000000001E-2</v>
      </c>
      <c r="N38" s="27">
        <v>30.45</v>
      </c>
      <c r="O38" s="25">
        <v>28.24</v>
      </c>
      <c r="P38" s="6">
        <v>2.3800000000000002E-2</v>
      </c>
      <c r="Q38" s="16"/>
    </row>
    <row r="39" spans="2:17" x14ac:dyDescent="0.3">
      <c r="B39" s="31">
        <f t="shared" si="0"/>
        <v>8</v>
      </c>
      <c r="C39" s="5">
        <v>36</v>
      </c>
      <c r="D39">
        <v>30</v>
      </c>
      <c r="E39">
        <v>1.6219999999999998E-2</v>
      </c>
      <c r="F39">
        <v>0.5</v>
      </c>
      <c r="G39">
        <v>3</v>
      </c>
      <c r="H39">
        <v>8</v>
      </c>
      <c r="I39">
        <v>0.8</v>
      </c>
      <c r="J39" s="6">
        <v>3</v>
      </c>
      <c r="K39" s="27">
        <v>26.73</v>
      </c>
      <c r="L39" s="25">
        <v>30.65</v>
      </c>
      <c r="M39" s="6">
        <v>2.7439999999999999E-2</v>
      </c>
      <c r="N39" s="27">
        <v>26.7</v>
      </c>
      <c r="O39" s="25">
        <v>30.63</v>
      </c>
      <c r="P39" s="6">
        <v>2.7400000000000001E-2</v>
      </c>
      <c r="Q39" s="16"/>
    </row>
    <row r="40" spans="2:17" x14ac:dyDescent="0.3">
      <c r="B40" s="31">
        <f t="shared" si="0"/>
        <v>9</v>
      </c>
      <c r="C40" s="5">
        <v>36</v>
      </c>
      <c r="D40">
        <v>30</v>
      </c>
      <c r="E40">
        <v>1.6219999999999998E-2</v>
      </c>
      <c r="F40">
        <v>1</v>
      </c>
      <c r="G40">
        <v>3</v>
      </c>
      <c r="H40">
        <v>1</v>
      </c>
      <c r="I40">
        <v>1</v>
      </c>
      <c r="J40" s="6">
        <v>5</v>
      </c>
      <c r="K40" s="27">
        <v>28.78</v>
      </c>
      <c r="L40" s="25">
        <v>28.84</v>
      </c>
      <c r="M40" s="6">
        <v>2.5649999999999999E-2</v>
      </c>
      <c r="N40" s="27">
        <v>28.77</v>
      </c>
      <c r="O40" s="25">
        <v>28.8</v>
      </c>
      <c r="P40" s="6">
        <v>2.562E-2</v>
      </c>
      <c r="Q40" s="16"/>
    </row>
    <row r="41" spans="2:17" x14ac:dyDescent="0.3">
      <c r="B41" s="31">
        <f t="shared" si="0"/>
        <v>10</v>
      </c>
      <c r="C41" s="5">
        <v>36</v>
      </c>
      <c r="D41">
        <v>30</v>
      </c>
      <c r="E41">
        <v>1.6219999999999998E-2</v>
      </c>
      <c r="F41">
        <v>4</v>
      </c>
      <c r="G41">
        <v>3</v>
      </c>
      <c r="H41">
        <v>8</v>
      </c>
      <c r="I41">
        <v>1</v>
      </c>
      <c r="J41" s="6">
        <v>2</v>
      </c>
      <c r="K41" s="27">
        <v>28.55</v>
      </c>
      <c r="L41" s="25">
        <v>29.7</v>
      </c>
      <c r="M41" s="6">
        <v>2.5590000000000002E-2</v>
      </c>
      <c r="N41" s="27">
        <v>28.56</v>
      </c>
      <c r="O41" s="25">
        <v>29.7</v>
      </c>
      <c r="P41" s="6">
        <v>2.554E-2</v>
      </c>
      <c r="Q41" s="16"/>
    </row>
    <row r="42" spans="2:17" x14ac:dyDescent="0.3">
      <c r="B42" s="31">
        <f t="shared" si="0"/>
        <v>11</v>
      </c>
      <c r="C42" s="5">
        <v>50</v>
      </c>
      <c r="D42">
        <v>35</v>
      </c>
      <c r="E42">
        <v>2.171E-2</v>
      </c>
      <c r="F42">
        <v>4</v>
      </c>
      <c r="G42">
        <v>3</v>
      </c>
      <c r="H42">
        <v>8</v>
      </c>
      <c r="I42">
        <v>1</v>
      </c>
      <c r="J42" s="6">
        <v>2</v>
      </c>
      <c r="K42" s="27">
        <v>34.97</v>
      </c>
      <c r="L42" s="25">
        <v>36.86</v>
      </c>
      <c r="M42" s="6">
        <v>3.9699999999999999E-2</v>
      </c>
      <c r="N42" s="27">
        <v>35.020000000000003</v>
      </c>
      <c r="O42" s="25">
        <v>36.869999999999997</v>
      </c>
      <c r="P42" s="6">
        <v>3.9510000000000003E-2</v>
      </c>
      <c r="Q42" s="16"/>
    </row>
    <row r="43" spans="2:17" x14ac:dyDescent="0.3">
      <c r="B43" s="31">
        <f t="shared" si="0"/>
        <v>12</v>
      </c>
      <c r="C43" s="5">
        <v>21</v>
      </c>
      <c r="D43">
        <v>21</v>
      </c>
      <c r="E43">
        <v>9.41E-3</v>
      </c>
      <c r="F43">
        <v>4</v>
      </c>
      <c r="G43">
        <v>3</v>
      </c>
      <c r="H43">
        <v>8</v>
      </c>
      <c r="I43">
        <v>1</v>
      </c>
      <c r="J43" s="6">
        <v>2</v>
      </c>
      <c r="K43" s="27">
        <v>18.5</v>
      </c>
      <c r="L43" s="25">
        <v>19.16</v>
      </c>
      <c r="M43" s="6">
        <v>1.325E-2</v>
      </c>
      <c r="N43" s="27">
        <v>18.489999999999998</v>
      </c>
      <c r="O43" s="25">
        <v>19.16</v>
      </c>
      <c r="P43" s="6">
        <v>1.325E-2</v>
      </c>
      <c r="Q43" s="16"/>
    </row>
    <row r="44" spans="2:17" x14ac:dyDescent="0.3">
      <c r="B44" s="31">
        <f t="shared" si="0"/>
        <v>13</v>
      </c>
      <c r="C44" s="5">
        <v>21</v>
      </c>
      <c r="D44">
        <v>21</v>
      </c>
      <c r="E44">
        <v>9.41E-3</v>
      </c>
      <c r="F44">
        <v>4</v>
      </c>
      <c r="G44">
        <v>3</v>
      </c>
      <c r="H44">
        <v>8</v>
      </c>
      <c r="I44">
        <v>1</v>
      </c>
      <c r="J44" s="6">
        <v>3</v>
      </c>
      <c r="K44" s="27">
        <v>18.25</v>
      </c>
      <c r="L44" s="25">
        <v>18.97</v>
      </c>
      <c r="M44" s="6">
        <v>1.363E-2</v>
      </c>
      <c r="N44" s="27">
        <v>18.25</v>
      </c>
      <c r="O44" s="25">
        <v>18.97</v>
      </c>
      <c r="P44" s="6">
        <v>1.362E-2</v>
      </c>
      <c r="Q44" s="16"/>
    </row>
    <row r="45" spans="2:17" x14ac:dyDescent="0.3">
      <c r="B45" s="31">
        <f t="shared" si="0"/>
        <v>14</v>
      </c>
      <c r="C45" s="5">
        <v>21</v>
      </c>
      <c r="D45">
        <v>21</v>
      </c>
      <c r="E45">
        <v>9.41E-3</v>
      </c>
      <c r="F45">
        <v>4</v>
      </c>
      <c r="G45">
        <v>3</v>
      </c>
      <c r="H45">
        <v>8</v>
      </c>
      <c r="I45">
        <v>1</v>
      </c>
      <c r="J45" s="6">
        <v>1</v>
      </c>
      <c r="K45" s="27">
        <v>19.059999999999999</v>
      </c>
      <c r="L45" s="25">
        <v>19.75</v>
      </c>
      <c r="M45" s="6">
        <v>1.231E-2</v>
      </c>
      <c r="N45" s="27">
        <v>19.059999999999999</v>
      </c>
      <c r="O45" s="25">
        <v>19.75</v>
      </c>
      <c r="P45" s="6">
        <v>1.23E-2</v>
      </c>
      <c r="Q45" s="16"/>
    </row>
    <row r="46" spans="2:17" x14ac:dyDescent="0.3">
      <c r="B46" s="31">
        <f t="shared" si="0"/>
        <v>15</v>
      </c>
      <c r="C46" s="5">
        <v>36</v>
      </c>
      <c r="D46">
        <v>30</v>
      </c>
      <c r="E46">
        <v>1.6219999999999998E-2</v>
      </c>
      <c r="F46">
        <v>4</v>
      </c>
      <c r="G46">
        <v>12</v>
      </c>
      <c r="H46">
        <v>8</v>
      </c>
      <c r="I46">
        <v>1</v>
      </c>
      <c r="J46" s="6">
        <v>2</v>
      </c>
      <c r="K46" s="27">
        <v>33.11</v>
      </c>
      <c r="L46" s="25">
        <v>32.049999999999997</v>
      </c>
      <c r="M46" s="6">
        <v>2.972E-2</v>
      </c>
      <c r="N46" s="27">
        <v>33.11</v>
      </c>
      <c r="O46" s="25">
        <v>32.04</v>
      </c>
      <c r="P46" s="6">
        <v>2.9690000000000001E-2</v>
      </c>
      <c r="Q46" s="16"/>
    </row>
    <row r="47" spans="2:17" ht="15" thickBot="1" x14ac:dyDescent="0.35">
      <c r="B47" s="29">
        <f t="shared" si="0"/>
        <v>16</v>
      </c>
      <c r="C47" s="7">
        <v>36</v>
      </c>
      <c r="D47" s="8">
        <v>30</v>
      </c>
      <c r="E47" s="8">
        <v>1.6219999999999998E-2</v>
      </c>
      <c r="F47" s="8">
        <v>4</v>
      </c>
      <c r="G47" s="8">
        <v>3</v>
      </c>
      <c r="H47" s="8">
        <v>8</v>
      </c>
      <c r="I47" s="8">
        <v>1.1000000000000001</v>
      </c>
      <c r="J47" s="9">
        <v>2</v>
      </c>
      <c r="K47" s="28">
        <v>28.43</v>
      </c>
      <c r="L47" s="26">
        <v>29.63</v>
      </c>
      <c r="M47" s="9">
        <v>2.5760000000000002E-2</v>
      </c>
      <c r="N47" s="28">
        <v>28.45</v>
      </c>
      <c r="O47" s="26">
        <v>29.63</v>
      </c>
      <c r="P47" s="9">
        <v>2.571E-2</v>
      </c>
      <c r="Q47" s="16"/>
    </row>
    <row r="48" spans="2:17" x14ac:dyDescent="0.3">
      <c r="E48" s="16"/>
      <c r="F48" s="22"/>
      <c r="G48" s="16"/>
      <c r="H48" s="16"/>
      <c r="I48" s="16"/>
      <c r="J48" s="16"/>
      <c r="L48" s="16"/>
      <c r="M48" s="22"/>
      <c r="N48" s="22"/>
      <c r="O48" s="22"/>
      <c r="P48" s="16"/>
      <c r="Q48" s="16"/>
    </row>
    <row r="49" spans="5:17" x14ac:dyDescent="0.3">
      <c r="E49" s="16"/>
      <c r="F49" s="22"/>
      <c r="G49" s="16"/>
      <c r="H49" s="16"/>
      <c r="I49" s="16"/>
      <c r="J49" s="16"/>
      <c r="L49" s="16"/>
      <c r="M49" s="22"/>
      <c r="N49" s="22"/>
      <c r="O49" s="22"/>
      <c r="P49" s="16"/>
      <c r="Q49" s="16"/>
    </row>
    <row r="50" spans="5:17" x14ac:dyDescent="0.3">
      <c r="E50" s="16"/>
      <c r="F50" s="22"/>
      <c r="G50" s="16"/>
      <c r="H50" s="16"/>
      <c r="I50" s="16"/>
      <c r="J50" s="16"/>
      <c r="L50" s="16"/>
      <c r="M50" s="22"/>
      <c r="N50" s="22"/>
      <c r="O50" s="22"/>
      <c r="P50" s="16"/>
      <c r="Q50" s="16"/>
    </row>
    <row r="51" spans="5:17" x14ac:dyDescent="0.3">
      <c r="E51" s="16"/>
      <c r="F51" s="22"/>
      <c r="G51" s="16"/>
      <c r="H51" s="16"/>
      <c r="I51" s="16"/>
      <c r="J51" s="16"/>
      <c r="L51" s="16"/>
      <c r="M51" s="22"/>
      <c r="N51" s="22"/>
      <c r="O51" s="22"/>
      <c r="P51" s="16"/>
      <c r="Q51" s="16"/>
    </row>
    <row r="52" spans="5:17" x14ac:dyDescent="0.3">
      <c r="E52" s="16"/>
      <c r="F52" s="22"/>
      <c r="G52" s="16"/>
      <c r="H52" s="16"/>
      <c r="I52" s="16"/>
      <c r="J52" s="16"/>
      <c r="L52" s="16"/>
      <c r="M52" s="22"/>
      <c r="N52" s="22"/>
      <c r="O52" s="22"/>
      <c r="P52" s="16"/>
      <c r="Q52" s="16"/>
    </row>
    <row r="53" spans="5:17" x14ac:dyDescent="0.3">
      <c r="E53" s="16"/>
      <c r="F53" s="22"/>
      <c r="G53" s="16"/>
      <c r="H53" s="16"/>
      <c r="I53" s="16"/>
      <c r="J53" s="16"/>
      <c r="L53" s="16"/>
      <c r="M53" s="22"/>
      <c r="N53" s="22"/>
      <c r="O53" s="22"/>
      <c r="P53" s="16"/>
      <c r="Q53" s="16"/>
    </row>
    <row r="54" spans="5:17" x14ac:dyDescent="0.3">
      <c r="E54" s="16"/>
      <c r="F54" s="22"/>
      <c r="G54" s="16"/>
      <c r="H54" s="16"/>
      <c r="I54" s="16"/>
      <c r="J54" s="16"/>
      <c r="L54" s="16"/>
      <c r="M54" s="22"/>
      <c r="N54" s="22"/>
      <c r="O54" s="22"/>
      <c r="P54" s="16"/>
      <c r="Q54" s="16"/>
    </row>
    <row r="55" spans="5:17" x14ac:dyDescent="0.3">
      <c r="E55" s="16"/>
      <c r="F55" s="22"/>
      <c r="G55" s="16"/>
      <c r="H55" s="16"/>
      <c r="I55" s="16"/>
      <c r="J55" s="16"/>
      <c r="L55" s="16"/>
      <c r="M55" s="22"/>
      <c r="N55" s="22"/>
      <c r="O55" s="22"/>
      <c r="P55" s="16"/>
      <c r="Q55" s="16"/>
    </row>
    <row r="56" spans="5:17" x14ac:dyDescent="0.3">
      <c r="E56" s="16"/>
      <c r="F56" s="22"/>
      <c r="G56" s="16"/>
      <c r="H56" s="16"/>
      <c r="I56" s="16"/>
      <c r="J56" s="16"/>
      <c r="L56" s="16"/>
      <c r="M56" s="22"/>
      <c r="N56" s="22"/>
      <c r="O56" s="22"/>
      <c r="P56" s="16"/>
      <c r="Q56" s="16"/>
    </row>
    <row r="57" spans="5:17" x14ac:dyDescent="0.3">
      <c r="E57" s="16"/>
      <c r="F57" s="22"/>
      <c r="G57" s="16"/>
      <c r="H57" s="16"/>
      <c r="I57" s="16"/>
      <c r="J57" s="16"/>
      <c r="L57" s="16"/>
      <c r="M57" s="22"/>
      <c r="N57" s="22"/>
      <c r="O57" s="22"/>
      <c r="P57" s="16"/>
      <c r="Q57" s="16"/>
    </row>
    <row r="58" spans="5:17" x14ac:dyDescent="0.3">
      <c r="E58" s="16"/>
      <c r="F58" s="22"/>
      <c r="G58" s="16"/>
      <c r="H58" s="16"/>
      <c r="I58" s="16"/>
      <c r="J58" s="16"/>
      <c r="L58" s="16"/>
      <c r="M58" s="22"/>
      <c r="N58" s="22"/>
      <c r="O58" s="22"/>
      <c r="P58" s="16"/>
      <c r="Q58" s="16"/>
    </row>
    <row r="59" spans="5:17" x14ac:dyDescent="0.3">
      <c r="E59" s="16"/>
      <c r="F59" s="22"/>
      <c r="G59" s="16"/>
      <c r="H59" s="16"/>
      <c r="I59" s="16"/>
      <c r="J59" s="16"/>
      <c r="L59" s="16"/>
      <c r="M59" s="22"/>
      <c r="N59" s="22"/>
      <c r="O59" s="22"/>
      <c r="P59" s="16"/>
      <c r="Q59" s="16"/>
    </row>
    <row r="60" spans="5:17" x14ac:dyDescent="0.3">
      <c r="E60" s="16"/>
      <c r="F60" s="22"/>
      <c r="G60" s="16"/>
      <c r="H60" s="16"/>
      <c r="I60" s="16"/>
      <c r="J60" s="16"/>
      <c r="L60" s="16"/>
      <c r="M60" s="22"/>
      <c r="N60" s="22"/>
      <c r="O60" s="22"/>
      <c r="P60" s="16"/>
      <c r="Q60" s="16"/>
    </row>
    <row r="61" spans="5:17" x14ac:dyDescent="0.3">
      <c r="E61" s="16"/>
      <c r="F61" s="22"/>
      <c r="G61" s="16"/>
      <c r="H61" s="16"/>
      <c r="I61" s="16"/>
      <c r="J61" s="16"/>
      <c r="L61" s="16"/>
      <c r="M61" s="22"/>
      <c r="N61" s="22"/>
      <c r="O61" s="22"/>
      <c r="P61" s="16"/>
      <c r="Q61" s="16"/>
    </row>
  </sheetData>
  <mergeCells count="4">
    <mergeCell ref="E11:F11"/>
    <mergeCell ref="G11:H11"/>
    <mergeCell ref="I11:J11"/>
    <mergeCell ref="C7:N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Ren2006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Zeoli Alanis</dc:creator>
  <cp:lastModifiedBy>Zeoli Alanis</cp:lastModifiedBy>
  <dcterms:created xsi:type="dcterms:W3CDTF">2023-10-02T08:13:39Z</dcterms:created>
  <dcterms:modified xsi:type="dcterms:W3CDTF">2025-08-12T09:12:24Z</dcterms:modified>
</cp:coreProperties>
</file>