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\alaniszeo_git\EC-generic-model\Database_for_model_validation\M-IEC\"/>
    </mc:Choice>
  </mc:AlternateContent>
  <xr:revisionPtr revIDLastSave="0" documentId="13_ncr:1_{32531552-7224-4539-BAC6-CED1E5489CC1}" xr6:coauthVersionLast="47" xr6:coauthVersionMax="47" xr10:uidLastSave="{00000000-0000-0000-0000-000000000000}"/>
  <bookViews>
    <workbookView xWindow="-108" yWindow="-108" windowWidth="30936" windowHeight="16776" activeTab="1" xr2:uid="{1306219A-737B-4B5D-BCFD-98C34D3C77CC}"/>
  </bookViews>
  <sheets>
    <sheet name="Anisimov2014" sheetId="8" r:id="rId1"/>
    <sheet name="Anisimov2014_profiles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8" l="1"/>
  <c r="J28" i="8"/>
  <c r="K28" i="8"/>
  <c r="L28" i="8"/>
  <c r="M114" i="12" l="1"/>
  <c r="M113" i="12"/>
  <c r="M112" i="12"/>
  <c r="M111" i="12"/>
  <c r="M110" i="12"/>
  <c r="M109" i="12"/>
  <c r="M108" i="12"/>
  <c r="M107" i="12"/>
  <c r="M106" i="12"/>
  <c r="M105" i="12"/>
  <c r="M104" i="12"/>
  <c r="M103" i="12"/>
  <c r="M102" i="12"/>
  <c r="M101" i="12"/>
  <c r="M100" i="12"/>
  <c r="M99" i="12"/>
  <c r="M98" i="12"/>
  <c r="M97" i="12"/>
  <c r="M96" i="12"/>
  <c r="M95" i="12"/>
  <c r="M94" i="12"/>
  <c r="M93" i="12"/>
  <c r="M92" i="12"/>
  <c r="M91" i="12"/>
  <c r="M90" i="12"/>
  <c r="M89" i="12"/>
  <c r="M88" i="12"/>
  <c r="M87" i="12"/>
  <c r="M86" i="12"/>
  <c r="M85" i="12"/>
  <c r="M84" i="12"/>
  <c r="M83" i="12"/>
  <c r="M82" i="12"/>
  <c r="M81" i="12"/>
  <c r="M80" i="12"/>
  <c r="M79" i="12"/>
  <c r="M78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</calcChain>
</file>

<file path=xl/sharedStrings.xml><?xml version="1.0" encoding="utf-8"?>
<sst xmlns="http://schemas.openxmlformats.org/spreadsheetml/2006/main" count="1053" uniqueCount="90">
  <si>
    <t>Authors</t>
  </si>
  <si>
    <t>Title</t>
  </si>
  <si>
    <t>Year</t>
  </si>
  <si>
    <t>HEX characteristics</t>
  </si>
  <si>
    <t>Data type</t>
  </si>
  <si>
    <t>L</t>
  </si>
  <si>
    <t>m/s</t>
  </si>
  <si>
    <t>-</t>
  </si>
  <si>
    <t>m</t>
  </si>
  <si>
    <t>Configuration</t>
  </si>
  <si>
    <t>Water recirculation</t>
  </si>
  <si>
    <t>Run</t>
  </si>
  <si>
    <t>epsilon_wb</t>
  </si>
  <si>
    <t>Inlet conditions</t>
  </si>
  <si>
    <t>Outlet conditions</t>
  </si>
  <si>
    <t>HEX type</t>
  </si>
  <si>
    <t>Water injection type</t>
  </si>
  <si>
    <t>Geometry</t>
  </si>
  <si>
    <t>Length</t>
  </si>
  <si>
    <t>Height</t>
  </si>
  <si>
    <t>Paper information</t>
  </si>
  <si>
    <t>Operating conditions</t>
  </si>
  <si>
    <t>Water supplied</t>
  </si>
  <si>
    <t>Wall thickness</t>
  </si>
  <si>
    <t>Primary fluid velocity</t>
  </si>
  <si>
    <t>Secondary fluid velocity</t>
  </si>
  <si>
    <t>epsilon_dp</t>
  </si>
  <si>
    <t>kg/kg</t>
  </si>
  <si>
    <t>NA</t>
  </si>
  <si>
    <t>Testing conditions</t>
  </si>
  <si>
    <t>W</t>
  </si>
  <si>
    <t>h_ch</t>
  </si>
  <si>
    <t>Channel height</t>
  </si>
  <si>
    <t>Number of channels</t>
  </si>
  <si>
    <t>SPR</t>
  </si>
  <si>
    <t>Wall material</t>
  </si>
  <si>
    <t>Width</t>
  </si>
  <si>
    <t>Secondary-to-Primary flow rate ratio</t>
  </si>
  <si>
    <t>kg/s</t>
  </si>
  <si>
    <t>Test</t>
  </si>
  <si>
    <t>T_pdi</t>
  </si>
  <si>
    <t>w_pdi</t>
  </si>
  <si>
    <t>v_pdi</t>
  </si>
  <si>
    <t>T_wfi</t>
  </si>
  <si>
    <t>m_dot_wf</t>
  </si>
  <si>
    <t>T_pdo</t>
  </si>
  <si>
    <t>w_pdo</t>
  </si>
  <si>
    <t>T_swo</t>
  </si>
  <si>
    <t>w_wso</t>
  </si>
  <si>
    <t>T_sdi</t>
  </si>
  <si>
    <t>w_sdi</t>
  </si>
  <si>
    <t>v_sdi</t>
  </si>
  <si>
    <t>Numerical, extracted from graphs</t>
  </si>
  <si>
    <t>M-IEC</t>
  </si>
  <si>
    <t>Wet surface</t>
  </si>
  <si>
    <t>Yes</t>
  </si>
  <si>
    <t>Anisimov et al.</t>
  </si>
  <si>
    <t>Numerical analysis of selected evaporative exchangers with the Maisotsenko cycle</t>
  </si>
  <si>
    <t>Variable</t>
  </si>
  <si>
    <t>V1</t>
  </si>
  <si>
    <t>V2</t>
  </si>
  <si>
    <t>V3</t>
  </si>
  <si>
    <t>V4</t>
  </si>
  <si>
    <t>V5</t>
  </si>
  <si>
    <t>2-6</t>
  </si>
  <si>
    <t>0.7-6</t>
  </si>
  <si>
    <t>0.3-2</t>
  </si>
  <si>
    <t>D-IEC</t>
  </si>
  <si>
    <t>4 holes M-IEC</t>
  </si>
  <si>
    <t>4 holes D-IEC</t>
  </si>
  <si>
    <t>Crossflow/parallel M-IEC</t>
  </si>
  <si>
    <t>Crossflow/counterflow M-IEC</t>
  </si>
  <si>
    <t>Numerical, evolution profiles, extracted from graphs</t>
  </si>
  <si>
    <t>Profile evolution</t>
  </si>
  <si>
    <t>x_pd</t>
  </si>
  <si>
    <t>T_wf</t>
  </si>
  <si>
    <t>T_pd</t>
  </si>
  <si>
    <t>T_sw</t>
  </si>
  <si>
    <t>w_ws</t>
  </si>
  <si>
    <t>T_swi</t>
  </si>
  <si>
    <t>w_swi</t>
  </si>
  <si>
    <t>v_swi</t>
  </si>
  <si>
    <t>WWR</t>
  </si>
  <si>
    <t>Re</t>
  </si>
  <si>
    <t>Nu</t>
  </si>
  <si>
    <t>h_T_pd</t>
  </si>
  <si>
    <t>h_T_sw</t>
  </si>
  <si>
    <t>Description</t>
  </si>
  <si>
    <t>Numerical comparison of five EC configurations (cfr. Figure). Validation of D-IEC model against the experimental data of Riangvilaikul and Kumar (2010). The accuracy of the mathematical model prediction was considered to be similar for the perforated D-IEC and M-IEC. Validation of crossflow M-IECs against experimental data obtained with a test bench installed at Coolerado Manufacture, Denver, CO, USA.
Evolution profile of the temperature for the primary and secondary air streams and the water film.</t>
  </si>
  <si>
    <t>Numerical comparison of five EC configurations (cfr. Figure). Validation of D-IEC model against the experimental data of Riangvilaikul and Kumar (2010). The accuracy of the mathematical model prediction was considered to be similar for the perforated D-IEC and M-IEC. Validation of crossflow M-IECs against experimental data obtained with a test bench installed at Coolerado Manufacture, Denver, CO, USA.
Testing of various combinations of operational parameters, data were reported for the primary channel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</si>
</sst>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0" fillId="0" borderId="2" xfId="0" applyBorder="1"/>
    <xf numFmtId="0" fontId="1" fillId="0" borderId="7" xfId="0" applyFont="1" applyBorder="1"/>
    <xf numFmtId="0" fontId="1" fillId="0" borderId="15" xfId="0" applyFont="1" applyBorder="1"/>
    <xf numFmtId="0" fontId="1" fillId="0" borderId="1" xfId="0" applyFont="1" applyBorder="1"/>
    <xf numFmtId="0" fontId="0" fillId="0" borderId="11" xfId="0" applyBorder="1"/>
    <xf numFmtId="0" fontId="0" fillId="0" borderId="12" xfId="0" applyBorder="1"/>
    <xf numFmtId="0" fontId="1" fillId="0" borderId="5" xfId="0" applyFont="1" applyBorder="1"/>
    <xf numFmtId="0" fontId="1" fillId="0" borderId="13" xfId="0" applyFont="1" applyBorder="1"/>
    <xf numFmtId="0" fontId="1" fillId="0" borderId="14" xfId="0" applyFont="1" applyBorder="1"/>
    <xf numFmtId="164" fontId="0" fillId="0" borderId="0" xfId="0" applyNumberFormat="1"/>
    <xf numFmtId="164" fontId="0" fillId="0" borderId="8" xfId="0" applyNumberFormat="1" applyBorder="1"/>
    <xf numFmtId="164" fontId="0" fillId="0" borderId="3" xfId="0" applyNumberFormat="1" applyBorder="1"/>
    <xf numFmtId="0" fontId="0" fillId="0" borderId="0" xfId="0" quotePrefix="1"/>
    <xf numFmtId="0" fontId="1" fillId="0" borderId="5" xfId="0" applyFont="1" applyBorder="1" applyAlignment="1">
      <alignment wrapText="1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horizontal="left"/>
    </xf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64" fontId="0" fillId="0" borderId="3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2" fontId="0" fillId="0" borderId="6" xfId="0" applyNumberFormat="1" applyBorder="1"/>
    <xf numFmtId="2" fontId="0" fillId="0" borderId="9" xfId="0" applyNumberFormat="1" applyBorder="1"/>
    <xf numFmtId="1" fontId="0" fillId="0" borderId="3" xfId="0" applyNumberFormat="1" applyBorder="1"/>
    <xf numFmtId="2" fontId="0" fillId="0" borderId="3" xfId="0" applyNumberFormat="1" applyBorder="1"/>
    <xf numFmtId="2" fontId="0" fillId="0" borderId="4" xfId="0" applyNumberFormat="1" applyBorder="1"/>
    <xf numFmtId="164" fontId="0" fillId="0" borderId="0" xfId="0" applyNumberFormat="1" applyAlignment="1">
      <alignment horizontal="right"/>
    </xf>
    <xf numFmtId="1" fontId="0" fillId="0" borderId="8" xfId="0" applyNumberFormat="1" applyBorder="1"/>
    <xf numFmtId="164" fontId="0" fillId="0" borderId="8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2" fontId="0" fillId="0" borderId="8" xfId="0" applyNumberFormat="1" applyBorder="1"/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right" vertical="center"/>
    </xf>
    <xf numFmtId="0" fontId="0" fillId="0" borderId="7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6" xfId="0" applyFont="1" applyBorder="1"/>
    <xf numFmtId="0" fontId="1" fillId="0" borderId="3" xfId="0" applyFont="1" applyBorder="1"/>
    <xf numFmtId="0" fontId="1" fillId="0" borderId="4" xfId="0" applyFont="1" applyBorder="1"/>
    <xf numFmtId="165" fontId="0" fillId="0" borderId="3" xfId="0" applyNumberFormat="1" applyBorder="1"/>
    <xf numFmtId="165" fontId="0" fillId="0" borderId="8" xfId="0" applyNumberFormat="1" applyBorder="1"/>
    <xf numFmtId="1" fontId="0" fillId="0" borderId="2" xfId="0" applyNumberFormat="1" applyBorder="1"/>
    <xf numFmtId="1" fontId="0" fillId="0" borderId="5" xfId="0" applyNumberFormat="1" applyBorder="1"/>
    <xf numFmtId="1" fontId="0" fillId="0" borderId="7" xfId="0" applyNumberFormat="1" applyBorder="1"/>
    <xf numFmtId="16" fontId="0" fillId="0" borderId="2" xfId="0" quotePrefix="1" applyNumberFormat="1" applyBorder="1" applyAlignment="1">
      <alignment horizontal="right"/>
    </xf>
    <xf numFmtId="165" fontId="1" fillId="0" borderId="0" xfId="0" applyNumberFormat="1" applyFont="1"/>
    <xf numFmtId="0" fontId="0" fillId="0" borderId="3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0" xfId="0" applyAlignment="1">
      <alignment horizontal="right"/>
    </xf>
    <xf numFmtId="165" fontId="0" fillId="0" borderId="6" xfId="0" applyNumberFormat="1" applyBorder="1"/>
    <xf numFmtId="165" fontId="0" fillId="0" borderId="9" xfId="0" applyNumberFormat="1" applyBorder="1"/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1" fillId="0" borderId="15" xfId="0" applyFont="1" applyBorder="1" applyAlignment="1">
      <alignment vertical="top"/>
    </xf>
    <xf numFmtId="0" fontId="0" fillId="0" borderId="5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329711</xdr:colOff>
      <xdr:row>2</xdr:row>
      <xdr:rowOff>7034</xdr:rowOff>
    </xdr:from>
    <xdr:to>
      <xdr:col>26</xdr:col>
      <xdr:colOff>216871</xdr:colOff>
      <xdr:row>18</xdr:row>
      <xdr:rowOff>159070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A7D852-CD5B-291D-96B9-5ECC31DB3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84423" y="388034"/>
          <a:ext cx="7683006" cy="37129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212481</xdr:colOff>
      <xdr:row>1</xdr:row>
      <xdr:rowOff>50995</xdr:rowOff>
    </xdr:from>
    <xdr:to>
      <xdr:col>26</xdr:col>
      <xdr:colOff>99641</xdr:colOff>
      <xdr:row>18</xdr:row>
      <xdr:rowOff>19858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FB0436-1979-4DC2-8399-E93F4A818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7193" y="241495"/>
          <a:ext cx="7683006" cy="37129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4891-75AC-4FF0-A209-A0439F96762A}">
  <dimension ref="B1:AC134"/>
  <sheetViews>
    <sheetView zoomScale="104" workbookViewId="0">
      <selection activeCell="F14" sqref="F14"/>
    </sheetView>
  </sheetViews>
  <sheetFormatPr defaultColWidth="8.88671875" defaultRowHeight="14.4" x14ac:dyDescent="0.3"/>
  <cols>
    <col min="1" max="1" width="2.6640625" customWidth="1"/>
    <col min="2" max="2" width="22.33203125" bestFit="1" customWidth="1"/>
    <col min="3" max="3" width="14.109375" customWidth="1"/>
    <col min="6" max="6" width="12.44140625" customWidth="1"/>
    <col min="7" max="13" width="9.33203125" customWidth="1"/>
    <col min="14" max="14" width="9.44140625" customWidth="1"/>
    <col min="15" max="15" width="10.44140625" customWidth="1"/>
    <col min="16" max="17" width="9.44140625" customWidth="1"/>
    <col min="18" max="18" width="9.6640625" customWidth="1"/>
    <col min="19" max="19" width="9.33203125" customWidth="1"/>
    <col min="20" max="21" width="10.5546875" customWidth="1"/>
  </cols>
  <sheetData>
    <row r="1" spans="2:14" ht="15" thickBot="1" x14ac:dyDescent="0.35"/>
    <row r="2" spans="2:14" ht="15" thickBot="1" x14ac:dyDescent="0.35">
      <c r="B2" s="10" t="s">
        <v>20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</row>
    <row r="3" spans="2:14" x14ac:dyDescent="0.3">
      <c r="B3" s="20" t="s">
        <v>0</v>
      </c>
      <c r="C3" s="13" t="s">
        <v>56</v>
      </c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2:14" x14ac:dyDescent="0.3">
      <c r="B4" s="21" t="s">
        <v>1</v>
      </c>
      <c r="C4" s="5" t="s">
        <v>57</v>
      </c>
      <c r="N4" s="6"/>
    </row>
    <row r="5" spans="2:14" x14ac:dyDescent="0.3">
      <c r="B5" s="21" t="s">
        <v>2</v>
      </c>
      <c r="C5" s="70">
        <v>2014</v>
      </c>
      <c r="N5" s="6"/>
    </row>
    <row r="6" spans="2:14" x14ac:dyDescent="0.3">
      <c r="B6" s="21" t="s">
        <v>4</v>
      </c>
      <c r="C6" s="5" t="s">
        <v>52</v>
      </c>
      <c r="N6" s="6"/>
    </row>
    <row r="7" spans="2:14" ht="61.2" customHeight="1" thickBot="1" x14ac:dyDescent="0.35">
      <c r="B7" s="69" t="s">
        <v>87</v>
      </c>
      <c r="C7" s="66" t="s">
        <v>89</v>
      </c>
      <c r="D7" s="67"/>
      <c r="E7" s="67"/>
      <c r="F7" s="67"/>
      <c r="G7" s="67"/>
      <c r="H7" s="67"/>
      <c r="I7" s="67"/>
      <c r="J7" s="67"/>
      <c r="K7" s="67"/>
      <c r="L7" s="67"/>
      <c r="M7" s="67"/>
      <c r="N7" s="68"/>
    </row>
    <row r="8" spans="2:14" ht="15" thickBot="1" x14ac:dyDescent="0.35"/>
    <row r="9" spans="2:14" ht="15" thickBot="1" x14ac:dyDescent="0.35">
      <c r="B9" s="10" t="s">
        <v>3</v>
      </c>
      <c r="C9" s="18"/>
      <c r="E9" s="1"/>
    </row>
    <row r="10" spans="2:14" x14ac:dyDescent="0.3">
      <c r="B10" s="20" t="s">
        <v>15</v>
      </c>
      <c r="C10" s="6" t="s">
        <v>53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x14ac:dyDescent="0.3">
      <c r="B11" s="21" t="s">
        <v>16</v>
      </c>
      <c r="C11" s="6" t="s">
        <v>54</v>
      </c>
    </row>
    <row r="12" spans="2:14" x14ac:dyDescent="0.3">
      <c r="B12" s="21" t="s">
        <v>10</v>
      </c>
      <c r="C12" s="6" t="s">
        <v>55</v>
      </c>
    </row>
    <row r="13" spans="2:14" x14ac:dyDescent="0.3">
      <c r="B13" s="21" t="s">
        <v>35</v>
      </c>
      <c r="C13" s="6" t="s">
        <v>28</v>
      </c>
    </row>
    <row r="14" spans="2:14" ht="15" thickBot="1" x14ac:dyDescent="0.35">
      <c r="B14" s="15" t="s">
        <v>9</v>
      </c>
      <c r="C14" s="9" t="s">
        <v>58</v>
      </c>
    </row>
    <row r="15" spans="2:14" ht="15" thickBot="1" x14ac:dyDescent="0.35">
      <c r="B15" s="1"/>
    </row>
    <row r="16" spans="2:14" ht="15" thickBot="1" x14ac:dyDescent="0.35">
      <c r="B16" s="10" t="s">
        <v>17</v>
      </c>
      <c r="C16" s="17"/>
      <c r="D16" s="18"/>
      <c r="F16" s="1"/>
    </row>
    <row r="17" spans="2:29" x14ac:dyDescent="0.3">
      <c r="B17" s="20" t="s">
        <v>18</v>
      </c>
      <c r="C17" s="3">
        <v>0.5</v>
      </c>
      <c r="D17" s="4" t="s">
        <v>8</v>
      </c>
      <c r="F17" s="1"/>
      <c r="G17" s="25"/>
    </row>
    <row r="18" spans="2:29" x14ac:dyDescent="0.3">
      <c r="B18" s="21" t="s">
        <v>36</v>
      </c>
      <c r="C18">
        <v>0.5</v>
      </c>
      <c r="D18" s="6" t="s">
        <v>8</v>
      </c>
      <c r="F18" s="1"/>
    </row>
    <row r="19" spans="2:29" x14ac:dyDescent="0.3">
      <c r="B19" s="21" t="s">
        <v>19</v>
      </c>
      <c r="C19">
        <v>0.5</v>
      </c>
      <c r="D19" s="6" t="s">
        <v>8</v>
      </c>
      <c r="F19" s="1"/>
    </row>
    <row r="20" spans="2:29" x14ac:dyDescent="0.3">
      <c r="B20" s="21" t="s">
        <v>32</v>
      </c>
      <c r="C20">
        <v>4.0000000000000001E-3</v>
      </c>
      <c r="D20" s="6" t="s">
        <v>8</v>
      </c>
    </row>
    <row r="21" spans="2:29" x14ac:dyDescent="0.3">
      <c r="B21" s="21" t="s">
        <v>23</v>
      </c>
      <c r="C21">
        <v>5.0000000000000001E-4</v>
      </c>
      <c r="D21" s="6" t="s">
        <v>8</v>
      </c>
    </row>
    <row r="22" spans="2:29" ht="15" thickBot="1" x14ac:dyDescent="0.35">
      <c r="B22" s="15" t="s">
        <v>33</v>
      </c>
      <c r="C22" s="8">
        <v>125</v>
      </c>
      <c r="D22" s="9" t="s">
        <v>7</v>
      </c>
    </row>
    <row r="23" spans="2:29" ht="15" thickBot="1" x14ac:dyDescent="0.35">
      <c r="B23" s="1"/>
    </row>
    <row r="24" spans="2:29" ht="15" thickBot="1" x14ac:dyDescent="0.35">
      <c r="B24" s="2" t="s">
        <v>21</v>
      </c>
      <c r="C24" s="3"/>
      <c r="D24" s="4"/>
      <c r="F24" s="10" t="s">
        <v>39</v>
      </c>
      <c r="G24" s="17"/>
      <c r="H24" s="17"/>
      <c r="I24" s="17"/>
      <c r="J24" s="17"/>
      <c r="K24" s="17"/>
      <c r="L24" s="18"/>
    </row>
    <row r="25" spans="2:29" x14ac:dyDescent="0.3">
      <c r="B25" s="2" t="s">
        <v>24</v>
      </c>
      <c r="C25" s="59" t="s">
        <v>64</v>
      </c>
      <c r="D25" s="4" t="s">
        <v>6</v>
      </c>
      <c r="F25" s="19" t="s">
        <v>59</v>
      </c>
      <c r="G25" t="s">
        <v>68</v>
      </c>
      <c r="I25" s="1" t="s">
        <v>62</v>
      </c>
      <c r="J25" t="s">
        <v>70</v>
      </c>
      <c r="L25" s="6"/>
    </row>
    <row r="26" spans="2:29" x14ac:dyDescent="0.3">
      <c r="B26" s="19" t="s">
        <v>25</v>
      </c>
      <c r="C26" s="45" t="s">
        <v>65</v>
      </c>
      <c r="D26" s="6" t="s">
        <v>6</v>
      </c>
      <c r="F26" s="19" t="s">
        <v>60</v>
      </c>
      <c r="G26" t="s">
        <v>67</v>
      </c>
      <c r="I26" s="1" t="s">
        <v>63</v>
      </c>
      <c r="J26" t="s">
        <v>71</v>
      </c>
      <c r="L26" s="6"/>
    </row>
    <row r="27" spans="2:29" ht="29.4" thickBot="1" x14ac:dyDescent="0.35">
      <c r="B27" s="26" t="s">
        <v>37</v>
      </c>
      <c r="C27" s="46" t="s">
        <v>66</v>
      </c>
      <c r="D27" s="27" t="s">
        <v>27</v>
      </c>
      <c r="F27" s="14" t="s">
        <v>61</v>
      </c>
      <c r="G27" s="8" t="s">
        <v>69</v>
      </c>
      <c r="H27" s="8"/>
      <c r="I27" s="8"/>
      <c r="J27" s="8"/>
      <c r="K27" s="8"/>
      <c r="L27" s="9"/>
    </row>
    <row r="28" spans="2:29" ht="15" thickBot="1" x14ac:dyDescent="0.35">
      <c r="B28" s="14" t="s">
        <v>22</v>
      </c>
      <c r="C28" s="47" t="s">
        <v>28</v>
      </c>
      <c r="D28" s="9" t="s">
        <v>38</v>
      </c>
      <c r="I28" s="29">
        <f t="shared" ref="I28:K28" si="0">MAX(I32:I134)</f>
        <v>3002.4303667691202</v>
      </c>
      <c r="J28" s="29">
        <f t="shared" si="0"/>
        <v>14.396984186867099</v>
      </c>
      <c r="K28" s="29">
        <f t="shared" si="0"/>
        <v>47.542413904898503</v>
      </c>
      <c r="L28" s="29">
        <f>MAX(L32:L134)</f>
        <v>62.906854249513898</v>
      </c>
    </row>
    <row r="29" spans="2:29" ht="15" thickBot="1" x14ac:dyDescent="0.35"/>
    <row r="30" spans="2:29" ht="15" thickBot="1" x14ac:dyDescent="0.35">
      <c r="B30" s="2"/>
      <c r="C30" s="10" t="s">
        <v>29</v>
      </c>
      <c r="D30" s="11"/>
      <c r="E30" s="11"/>
      <c r="F30" s="11"/>
      <c r="G30" s="11"/>
      <c r="H30" s="11"/>
      <c r="I30" s="11"/>
      <c r="J30" s="11"/>
      <c r="K30" s="11"/>
      <c r="L30" s="12"/>
      <c r="M30" s="10" t="s">
        <v>13</v>
      </c>
      <c r="N30" s="11"/>
      <c r="O30" s="11"/>
      <c r="P30" s="11"/>
      <c r="Q30" s="11"/>
      <c r="R30" s="11"/>
      <c r="S30" s="11"/>
      <c r="T30" s="12"/>
      <c r="U30" s="16" t="s">
        <v>14</v>
      </c>
      <c r="V30" s="3"/>
      <c r="W30" s="3"/>
      <c r="X30" s="3"/>
      <c r="Y30" s="3"/>
      <c r="Z30" s="18"/>
    </row>
    <row r="31" spans="2:29" ht="15" thickBot="1" x14ac:dyDescent="0.35">
      <c r="B31" s="14" t="s">
        <v>11</v>
      </c>
      <c r="C31" s="19" t="s">
        <v>39</v>
      </c>
      <c r="D31" s="1" t="s">
        <v>5</v>
      </c>
      <c r="E31" s="1" t="s">
        <v>31</v>
      </c>
      <c r="F31" s="1" t="s">
        <v>30</v>
      </c>
      <c r="G31" s="1" t="s">
        <v>82</v>
      </c>
      <c r="H31" s="1" t="s">
        <v>34</v>
      </c>
      <c r="I31" s="1" t="s">
        <v>83</v>
      </c>
      <c r="J31" s="1" t="s">
        <v>84</v>
      </c>
      <c r="K31" s="1" t="s">
        <v>85</v>
      </c>
      <c r="L31" s="51" t="s">
        <v>86</v>
      </c>
      <c r="M31" s="2" t="s">
        <v>40</v>
      </c>
      <c r="N31" s="52" t="s">
        <v>41</v>
      </c>
      <c r="O31" s="52" t="s">
        <v>42</v>
      </c>
      <c r="P31" s="52" t="s">
        <v>49</v>
      </c>
      <c r="Q31" s="52" t="s">
        <v>50</v>
      </c>
      <c r="R31" s="1" t="s">
        <v>51</v>
      </c>
      <c r="S31" s="1" t="s">
        <v>43</v>
      </c>
      <c r="T31" s="51" t="s">
        <v>44</v>
      </c>
      <c r="U31" s="2" t="s">
        <v>45</v>
      </c>
      <c r="V31" s="52" t="s">
        <v>46</v>
      </c>
      <c r="W31" s="52" t="s">
        <v>47</v>
      </c>
      <c r="X31" s="52" t="s">
        <v>48</v>
      </c>
      <c r="Y31" s="52" t="s">
        <v>12</v>
      </c>
      <c r="Z31" s="53" t="s">
        <v>26</v>
      </c>
    </row>
    <row r="32" spans="2:29" x14ac:dyDescent="0.3">
      <c r="B32" s="48">
        <v>1</v>
      </c>
      <c r="C32" s="13" t="s">
        <v>59</v>
      </c>
      <c r="D32" s="3">
        <v>0.5</v>
      </c>
      <c r="E32" s="3">
        <v>4.0000000000000001E-3</v>
      </c>
      <c r="F32" s="3">
        <v>0.5</v>
      </c>
      <c r="G32" s="3">
        <v>1</v>
      </c>
      <c r="H32" s="3">
        <v>1</v>
      </c>
      <c r="I32" s="37">
        <v>1571.8917988181499</v>
      </c>
      <c r="J32" s="38">
        <v>4.12</v>
      </c>
      <c r="K32" s="38">
        <v>13.3440676566939</v>
      </c>
      <c r="L32" s="38">
        <v>13.3440676566939</v>
      </c>
      <c r="M32" s="56">
        <v>25.0235856814861</v>
      </c>
      <c r="N32" s="24">
        <v>5.91766710490867E-3</v>
      </c>
      <c r="O32" s="3">
        <v>3</v>
      </c>
      <c r="P32" s="32" t="s">
        <v>28</v>
      </c>
      <c r="Q32" s="32" t="s">
        <v>28</v>
      </c>
      <c r="R32" s="3">
        <v>3</v>
      </c>
      <c r="S32" s="32" t="s">
        <v>28</v>
      </c>
      <c r="T32" s="33" t="s">
        <v>28</v>
      </c>
      <c r="U32" s="54">
        <v>16.143201251555801</v>
      </c>
      <c r="V32" s="24">
        <v>5.91766710490867E-3</v>
      </c>
      <c r="W32" s="32" t="s">
        <v>28</v>
      </c>
      <c r="X32" s="32" t="s">
        <v>28</v>
      </c>
      <c r="Y32" s="38">
        <v>0.83910918867679596</v>
      </c>
      <c r="Z32" s="39">
        <v>0.47338268227455699</v>
      </c>
      <c r="AB32" s="31"/>
      <c r="AC32" s="30"/>
    </row>
    <row r="33" spans="2:29" x14ac:dyDescent="0.3">
      <c r="B33" s="49">
        <v>2</v>
      </c>
      <c r="C33" s="5" t="s">
        <v>59</v>
      </c>
      <c r="D33">
        <v>0.5</v>
      </c>
      <c r="E33">
        <v>4.0000000000000001E-3</v>
      </c>
      <c r="F33">
        <v>0.5</v>
      </c>
      <c r="G33">
        <v>1</v>
      </c>
      <c r="H33">
        <v>1</v>
      </c>
      <c r="I33" s="31">
        <v>1528.6294510938101</v>
      </c>
      <c r="J33" s="29">
        <v>4.12</v>
      </c>
      <c r="K33" s="29">
        <v>13.5048322820787</v>
      </c>
      <c r="L33" s="29">
        <v>13.5048322820787</v>
      </c>
      <c r="M33" s="57">
        <v>30.023584331947099</v>
      </c>
      <c r="N33" s="22">
        <v>7.9551338500036695E-3</v>
      </c>
      <c r="O33">
        <v>3</v>
      </c>
      <c r="P33" s="40" t="s">
        <v>28</v>
      </c>
      <c r="Q33" s="40" t="s">
        <v>28</v>
      </c>
      <c r="R33">
        <v>3</v>
      </c>
      <c r="S33" s="40" t="s">
        <v>28</v>
      </c>
      <c r="T33" s="34" t="s">
        <v>28</v>
      </c>
      <c r="U33" s="30">
        <v>19.681661097104602</v>
      </c>
      <c r="V33" s="22">
        <v>7.9551338500036695E-3</v>
      </c>
      <c r="W33" s="40" t="s">
        <v>28</v>
      </c>
      <c r="X33" s="40" t="s">
        <v>28</v>
      </c>
      <c r="Y33" s="29">
        <v>0.85818091410318298</v>
      </c>
      <c r="Z33" s="35">
        <v>0.53193051521329904</v>
      </c>
      <c r="AB33" s="31"/>
      <c r="AC33" s="30"/>
    </row>
    <row r="34" spans="2:29" x14ac:dyDescent="0.3">
      <c r="B34" s="49">
        <v>3</v>
      </c>
      <c r="C34" s="5" t="s">
        <v>59</v>
      </c>
      <c r="D34">
        <v>0.5</v>
      </c>
      <c r="E34">
        <v>4.0000000000000001E-3</v>
      </c>
      <c r="F34">
        <v>0.5</v>
      </c>
      <c r="G34">
        <v>1</v>
      </c>
      <c r="H34">
        <v>1</v>
      </c>
      <c r="I34" s="31">
        <v>1486.4859511978</v>
      </c>
      <c r="J34" s="29">
        <v>4.12</v>
      </c>
      <c r="K34" s="29">
        <v>13.662260293798701</v>
      </c>
      <c r="L34" s="29">
        <v>13.662260293798701</v>
      </c>
      <c r="M34" s="57">
        <v>34.999998439595501</v>
      </c>
      <c r="N34" s="22">
        <v>1.0589892305191299E-2</v>
      </c>
      <c r="O34">
        <v>3</v>
      </c>
      <c r="P34" s="40" t="s">
        <v>28</v>
      </c>
      <c r="Q34" s="40" t="s">
        <v>28</v>
      </c>
      <c r="R34">
        <v>3</v>
      </c>
      <c r="S34" s="40" t="s">
        <v>28</v>
      </c>
      <c r="T34" s="34" t="s">
        <v>28</v>
      </c>
      <c r="U34" s="30">
        <v>23.198145774442601</v>
      </c>
      <c r="V34" s="22">
        <v>1.0589892305191299E-2</v>
      </c>
      <c r="W34" s="40" t="s">
        <v>28</v>
      </c>
      <c r="X34" s="40" t="s">
        <v>28</v>
      </c>
      <c r="Y34" s="29">
        <v>0.87555728399630295</v>
      </c>
      <c r="Z34" s="35">
        <v>0.586063087681717</v>
      </c>
      <c r="AB34" s="31"/>
      <c r="AC34" s="30"/>
    </row>
    <row r="35" spans="2:29" x14ac:dyDescent="0.3">
      <c r="B35" s="49">
        <v>4</v>
      </c>
      <c r="C35" s="5" t="s">
        <v>59</v>
      </c>
      <c r="D35">
        <v>0.5</v>
      </c>
      <c r="E35">
        <v>4.0000000000000001E-3</v>
      </c>
      <c r="F35">
        <v>0.5</v>
      </c>
      <c r="G35">
        <v>1</v>
      </c>
      <c r="H35">
        <v>1</v>
      </c>
      <c r="I35" s="31">
        <v>1445.30115035988</v>
      </c>
      <c r="J35" s="29">
        <v>4.12</v>
      </c>
      <c r="K35" s="29">
        <v>13.815384922835401</v>
      </c>
      <c r="L35" s="29">
        <v>13.815384922835401</v>
      </c>
      <c r="M35" s="57">
        <v>39.999999789134499</v>
      </c>
      <c r="N35" s="22">
        <v>1.39706031498519E-2</v>
      </c>
      <c r="O35">
        <v>3</v>
      </c>
      <c r="P35" s="40" t="s">
        <v>28</v>
      </c>
      <c r="Q35" s="40" t="s">
        <v>28</v>
      </c>
      <c r="R35">
        <v>3</v>
      </c>
      <c r="S35" s="40" t="s">
        <v>28</v>
      </c>
      <c r="T35" s="34" t="s">
        <v>28</v>
      </c>
      <c r="U35" s="30">
        <v>26.626716574217902</v>
      </c>
      <c r="V35" s="22">
        <v>1.39706031498519E-2</v>
      </c>
      <c r="W35" s="40" t="s">
        <v>28</v>
      </c>
      <c r="X35" s="40" t="s">
        <v>28</v>
      </c>
      <c r="Y35" s="29">
        <v>0.89973305731549302</v>
      </c>
      <c r="Z35" s="35">
        <v>0.64324899922864598</v>
      </c>
      <c r="AB35" s="31"/>
      <c r="AC35" s="30"/>
    </row>
    <row r="36" spans="2:29" x14ac:dyDescent="0.3">
      <c r="B36" s="49">
        <v>5</v>
      </c>
      <c r="C36" s="5" t="s">
        <v>59</v>
      </c>
      <c r="D36">
        <v>0.5</v>
      </c>
      <c r="E36">
        <v>4.0000000000000001E-3</v>
      </c>
      <c r="F36">
        <v>0.5</v>
      </c>
      <c r="G36">
        <v>1</v>
      </c>
      <c r="H36">
        <v>1</v>
      </c>
      <c r="I36" s="31">
        <v>1403.9517406878899</v>
      </c>
      <c r="J36" s="29">
        <v>4.12</v>
      </c>
      <c r="K36" s="29">
        <v>13.967423021587299</v>
      </c>
      <c r="L36" s="29">
        <v>13.967423021587299</v>
      </c>
      <c r="M36" s="57">
        <v>45.000001138673497</v>
      </c>
      <c r="N36" s="22">
        <v>1.8279025639613401E-2</v>
      </c>
      <c r="O36">
        <v>3</v>
      </c>
      <c r="P36" s="40" t="s">
        <v>28</v>
      </c>
      <c r="Q36" s="40" t="s">
        <v>28</v>
      </c>
      <c r="R36">
        <v>3</v>
      </c>
      <c r="S36" s="40" t="s">
        <v>28</v>
      </c>
      <c r="T36" s="34" t="s">
        <v>28</v>
      </c>
      <c r="U36" s="30">
        <v>30.209133987344199</v>
      </c>
      <c r="V36" s="22">
        <v>1.8279025639613401E-2</v>
      </c>
      <c r="W36" s="40" t="s">
        <v>28</v>
      </c>
      <c r="X36" s="40" t="s">
        <v>28</v>
      </c>
      <c r="Y36" s="29">
        <v>0.90814614824279105</v>
      </c>
      <c r="Z36" s="35">
        <v>0.68595307657370996</v>
      </c>
      <c r="AB36" s="31"/>
      <c r="AC36" s="30"/>
    </row>
    <row r="37" spans="2:29" x14ac:dyDescent="0.3">
      <c r="B37" s="49">
        <v>6</v>
      </c>
      <c r="C37" s="5" t="s">
        <v>60</v>
      </c>
      <c r="D37">
        <v>0.5</v>
      </c>
      <c r="E37">
        <v>4.0000000000000001E-3</v>
      </c>
      <c r="F37">
        <v>0.5</v>
      </c>
      <c r="G37">
        <v>1</v>
      </c>
      <c r="H37">
        <v>0.3</v>
      </c>
      <c r="I37" s="31">
        <v>1566.0403952639399</v>
      </c>
      <c r="J37" s="29">
        <v>4.12</v>
      </c>
      <c r="K37" s="29">
        <v>13.367565609721</v>
      </c>
      <c r="L37" s="29">
        <v>13.367565609721</v>
      </c>
      <c r="M37" s="57">
        <v>25.0471702242987</v>
      </c>
      <c r="N37" s="22">
        <v>5.91766710490867E-3</v>
      </c>
      <c r="O37">
        <v>3</v>
      </c>
      <c r="P37" s="40" t="s">
        <v>28</v>
      </c>
      <c r="Q37" s="40" t="s">
        <v>28</v>
      </c>
      <c r="R37">
        <v>0.89999999999999991</v>
      </c>
      <c r="S37" s="40" t="s">
        <v>28</v>
      </c>
      <c r="T37" s="34" t="s">
        <v>28</v>
      </c>
      <c r="U37" s="30">
        <v>17.351992702191701</v>
      </c>
      <c r="V37" s="22">
        <v>5.91766710490867E-3</v>
      </c>
      <c r="W37" s="40" t="s">
        <v>28</v>
      </c>
      <c r="X37" s="40" t="s">
        <v>28</v>
      </c>
      <c r="Y37" s="29">
        <v>0.71654267797119697</v>
      </c>
      <c r="Z37" s="35">
        <v>0.40423689722321798</v>
      </c>
      <c r="AB37" s="31"/>
      <c r="AC37" s="30"/>
    </row>
    <row r="38" spans="2:29" x14ac:dyDescent="0.3">
      <c r="B38" s="49">
        <v>7</v>
      </c>
      <c r="C38" s="5" t="s">
        <v>60</v>
      </c>
      <c r="D38">
        <v>0.5</v>
      </c>
      <c r="E38">
        <v>4.0000000000000001E-3</v>
      </c>
      <c r="F38">
        <v>0.5</v>
      </c>
      <c r="G38">
        <v>1</v>
      </c>
      <c r="H38">
        <v>0.3</v>
      </c>
      <c r="I38" s="31">
        <v>1524.9411084844601</v>
      </c>
      <c r="J38" s="29">
        <v>4.12</v>
      </c>
      <c r="K38" s="29">
        <v>13.520184341276201</v>
      </c>
      <c r="L38" s="29">
        <v>13.520184341276201</v>
      </c>
      <c r="M38" s="57">
        <v>29.999999789134499</v>
      </c>
      <c r="N38" s="22">
        <v>7.9551338500036695E-3</v>
      </c>
      <c r="O38">
        <v>3</v>
      </c>
      <c r="P38" s="40" t="s">
        <v>28</v>
      </c>
      <c r="Q38" s="40" t="s">
        <v>28</v>
      </c>
      <c r="R38">
        <v>0.89999999999999991</v>
      </c>
      <c r="S38" s="40" t="s">
        <v>28</v>
      </c>
      <c r="T38" s="34" t="s">
        <v>28</v>
      </c>
      <c r="U38" s="30">
        <v>20.516826899648201</v>
      </c>
      <c r="V38" s="22">
        <v>7.9551338500036695E-3</v>
      </c>
      <c r="W38" s="40" t="s">
        <v>28</v>
      </c>
      <c r="X38" s="40" t="s">
        <v>28</v>
      </c>
      <c r="Y38" s="29">
        <v>0.79152608582332395</v>
      </c>
      <c r="Z38" s="35">
        <v>0.490615523740421</v>
      </c>
      <c r="AB38" s="31"/>
      <c r="AC38" s="30"/>
    </row>
    <row r="39" spans="2:29" x14ac:dyDescent="0.3">
      <c r="B39" s="49">
        <v>8</v>
      </c>
      <c r="C39" s="5" t="s">
        <v>60</v>
      </c>
      <c r="D39">
        <v>0.5</v>
      </c>
      <c r="E39">
        <v>4.0000000000000001E-3</v>
      </c>
      <c r="F39">
        <v>0.5</v>
      </c>
      <c r="G39">
        <v>1</v>
      </c>
      <c r="H39">
        <v>0.3</v>
      </c>
      <c r="I39" s="31">
        <v>1482.19731994323</v>
      </c>
      <c r="J39" s="29">
        <v>4.12</v>
      </c>
      <c r="K39" s="29">
        <v>13.6807693756587</v>
      </c>
      <c r="L39" s="29">
        <v>13.6807693756587</v>
      </c>
      <c r="M39" s="57">
        <v>34.976415246321899</v>
      </c>
      <c r="N39" s="22">
        <v>1.0589892305191299E-2</v>
      </c>
      <c r="O39">
        <v>3</v>
      </c>
      <c r="P39" s="40" t="s">
        <v>28</v>
      </c>
      <c r="Q39" s="40" t="s">
        <v>28</v>
      </c>
      <c r="R39">
        <v>0.89999999999999991</v>
      </c>
      <c r="S39" s="40" t="s">
        <v>28</v>
      </c>
      <c r="T39" s="34" t="s">
        <v>28</v>
      </c>
      <c r="U39" s="30">
        <v>24.209134301742299</v>
      </c>
      <c r="V39" s="22">
        <v>1.0589892305191299E-2</v>
      </c>
      <c r="W39" s="40" t="s">
        <v>28</v>
      </c>
      <c r="X39" s="40" t="s">
        <v>28</v>
      </c>
      <c r="Y39" s="29">
        <v>0.80135751416610801</v>
      </c>
      <c r="Z39" s="35">
        <v>0.53639672431885999</v>
      </c>
      <c r="AB39" s="31"/>
      <c r="AC39" s="30"/>
    </row>
    <row r="40" spans="2:29" x14ac:dyDescent="0.3">
      <c r="B40" s="49">
        <v>9</v>
      </c>
      <c r="C40" s="5" t="s">
        <v>60</v>
      </c>
      <c r="D40">
        <v>0.5</v>
      </c>
      <c r="E40">
        <v>4.0000000000000001E-3</v>
      </c>
      <c r="F40">
        <v>0.5</v>
      </c>
      <c r="G40">
        <v>1</v>
      </c>
      <c r="H40">
        <v>0.3</v>
      </c>
      <c r="I40" s="31">
        <v>1441.10397161324</v>
      </c>
      <c r="J40" s="29">
        <v>4.12</v>
      </c>
      <c r="K40" s="29">
        <v>13.834142573631</v>
      </c>
      <c r="L40" s="29">
        <v>13.834142573631</v>
      </c>
      <c r="M40" s="57">
        <v>39.999999789134499</v>
      </c>
      <c r="N40" s="22">
        <v>1.39706031498519E-2</v>
      </c>
      <c r="O40">
        <v>3</v>
      </c>
      <c r="P40" s="40" t="s">
        <v>28</v>
      </c>
      <c r="Q40" s="40" t="s">
        <v>28</v>
      </c>
      <c r="R40">
        <v>0.89999999999999991</v>
      </c>
      <c r="S40" s="40" t="s">
        <v>28</v>
      </c>
      <c r="T40" s="34" t="s">
        <v>28</v>
      </c>
      <c r="U40" s="30">
        <v>27.637705730313701</v>
      </c>
      <c r="V40" s="22">
        <v>1.39706031498519E-2</v>
      </c>
      <c r="W40" s="40" t="s">
        <v>28</v>
      </c>
      <c r="X40" s="40" t="s">
        <v>28</v>
      </c>
      <c r="Y40" s="29">
        <v>0.83258879930687402</v>
      </c>
      <c r="Z40" s="35">
        <v>0.595245342569792</v>
      </c>
      <c r="AB40" s="31"/>
      <c r="AC40" s="30"/>
    </row>
    <row r="41" spans="2:29" x14ac:dyDescent="0.3">
      <c r="B41" s="49">
        <v>10</v>
      </c>
      <c r="C41" s="5" t="s">
        <v>60</v>
      </c>
      <c r="D41">
        <v>0.5</v>
      </c>
      <c r="E41">
        <v>4.0000000000000001E-3</v>
      </c>
      <c r="F41">
        <v>0.5</v>
      </c>
      <c r="G41">
        <v>1</v>
      </c>
      <c r="H41">
        <v>0.3</v>
      </c>
      <c r="I41" s="31">
        <v>1400.3802051298201</v>
      </c>
      <c r="J41" s="29">
        <v>4.12</v>
      </c>
      <c r="K41" s="29">
        <v>13.983944150211</v>
      </c>
      <c r="L41" s="29">
        <v>13.983944150211</v>
      </c>
      <c r="M41" s="57">
        <v>45.000001138673497</v>
      </c>
      <c r="N41" s="22">
        <v>1.8279025639613401E-2</v>
      </c>
      <c r="O41">
        <v>3</v>
      </c>
      <c r="P41" s="40" t="s">
        <v>28</v>
      </c>
      <c r="Q41" s="40" t="s">
        <v>28</v>
      </c>
      <c r="R41">
        <v>0.89999999999999991</v>
      </c>
      <c r="S41" s="40" t="s">
        <v>28</v>
      </c>
      <c r="T41" s="34" t="s">
        <v>28</v>
      </c>
      <c r="U41" s="30">
        <v>31.110232840074101</v>
      </c>
      <c r="V41" s="22">
        <v>1.8279025639613401E-2</v>
      </c>
      <c r="W41" s="40" t="s">
        <v>28</v>
      </c>
      <c r="X41" s="40" t="s">
        <v>28</v>
      </c>
      <c r="Y41" s="29">
        <v>0.85292104463343199</v>
      </c>
      <c r="Z41" s="35">
        <v>0.64423971380909295</v>
      </c>
      <c r="AB41" s="31"/>
      <c r="AC41" s="30"/>
    </row>
    <row r="42" spans="2:29" x14ac:dyDescent="0.3">
      <c r="B42" s="49">
        <v>11</v>
      </c>
      <c r="C42" s="5" t="s">
        <v>61</v>
      </c>
      <c r="D42">
        <v>0.5</v>
      </c>
      <c r="E42">
        <v>4.0000000000000001E-3</v>
      </c>
      <c r="F42">
        <v>0.5</v>
      </c>
      <c r="G42">
        <v>1</v>
      </c>
      <c r="H42">
        <v>0.3</v>
      </c>
      <c r="I42" s="31">
        <v>1564.68882841199</v>
      </c>
      <c r="J42" s="29">
        <v>4.12</v>
      </c>
      <c r="K42" s="29">
        <v>13.373011039611701</v>
      </c>
      <c r="L42" s="29">
        <v>13.373011039611701</v>
      </c>
      <c r="M42" s="57">
        <v>25.0471702242987</v>
      </c>
      <c r="N42" s="22">
        <v>5.91766710490867E-3</v>
      </c>
      <c r="O42">
        <v>3</v>
      </c>
      <c r="P42" s="40" t="s">
        <v>28</v>
      </c>
      <c r="Q42" s="40" t="s">
        <v>28</v>
      </c>
      <c r="R42">
        <v>0.89999999999999991</v>
      </c>
      <c r="S42" s="40" t="s">
        <v>28</v>
      </c>
      <c r="T42" s="34" t="s">
        <v>28</v>
      </c>
      <c r="U42" s="30">
        <v>17.637706359109799</v>
      </c>
      <c r="V42" s="22">
        <v>5.91766710490867E-3</v>
      </c>
      <c r="W42" s="40" t="s">
        <v>28</v>
      </c>
      <c r="X42" s="40" t="s">
        <v>28</v>
      </c>
      <c r="Y42" s="29">
        <v>0.69768629170879704</v>
      </c>
      <c r="Z42" s="35">
        <v>0.393599084138396</v>
      </c>
      <c r="AB42" s="31"/>
      <c r="AC42" s="30"/>
    </row>
    <row r="43" spans="2:29" x14ac:dyDescent="0.3">
      <c r="B43" s="49">
        <v>12</v>
      </c>
      <c r="C43" s="5" t="s">
        <v>61</v>
      </c>
      <c r="D43">
        <v>0.5</v>
      </c>
      <c r="E43">
        <v>4.0000000000000001E-3</v>
      </c>
      <c r="F43">
        <v>0.5</v>
      </c>
      <c r="G43">
        <v>1</v>
      </c>
      <c r="H43">
        <v>0.3</v>
      </c>
      <c r="I43" s="31">
        <v>1522.1612424581899</v>
      </c>
      <c r="J43" s="29">
        <v>4.12</v>
      </c>
      <c r="K43" s="29">
        <v>13.5317900891744</v>
      </c>
      <c r="L43" s="29">
        <v>13.5317900891744</v>
      </c>
      <c r="M43" s="57">
        <v>29.976416595860801</v>
      </c>
      <c r="N43" s="22">
        <v>7.9551338500036695E-3</v>
      </c>
      <c r="O43">
        <v>3</v>
      </c>
      <c r="P43" s="40" t="s">
        <v>28</v>
      </c>
      <c r="Q43" s="40" t="s">
        <v>28</v>
      </c>
      <c r="R43">
        <v>0.89999999999999991</v>
      </c>
      <c r="S43" s="40" t="s">
        <v>28</v>
      </c>
      <c r="T43" s="34" t="s">
        <v>28</v>
      </c>
      <c r="U43" s="30">
        <v>21.1541897788555</v>
      </c>
      <c r="V43" s="22">
        <v>7.9551338500036695E-3</v>
      </c>
      <c r="W43" s="40" t="s">
        <v>28</v>
      </c>
      <c r="X43" s="40" t="s">
        <v>28</v>
      </c>
      <c r="Y43" s="29">
        <v>0.73320311107844804</v>
      </c>
      <c r="Z43" s="35">
        <v>0.45446490620165297</v>
      </c>
      <c r="AB43" s="31"/>
      <c r="AC43" s="30"/>
    </row>
    <row r="44" spans="2:29" x14ac:dyDescent="0.3">
      <c r="B44" s="49">
        <v>13</v>
      </c>
      <c r="C44" s="5" t="s">
        <v>61</v>
      </c>
      <c r="D44">
        <v>0.5</v>
      </c>
      <c r="E44">
        <v>4.0000000000000001E-3</v>
      </c>
      <c r="F44">
        <v>0.5</v>
      </c>
      <c r="G44">
        <v>1</v>
      </c>
      <c r="H44">
        <v>0.3</v>
      </c>
      <c r="I44" s="31">
        <v>1479.7245467847299</v>
      </c>
      <c r="J44" s="29">
        <v>4.12</v>
      </c>
      <c r="K44" s="29">
        <v>13.691476218866701</v>
      </c>
      <c r="L44" s="29">
        <v>13.691476218866701</v>
      </c>
      <c r="M44" s="57">
        <v>34.976415246321899</v>
      </c>
      <c r="N44" s="22">
        <v>1.0589892305191299E-2</v>
      </c>
      <c r="O44">
        <v>3</v>
      </c>
      <c r="P44" s="40" t="s">
        <v>28</v>
      </c>
      <c r="Q44" s="40" t="s">
        <v>28</v>
      </c>
      <c r="R44">
        <v>0.89999999999999991</v>
      </c>
      <c r="S44" s="40" t="s">
        <v>28</v>
      </c>
      <c r="T44" s="34" t="s">
        <v>28</v>
      </c>
      <c r="U44" s="30">
        <v>24.780563501966999</v>
      </c>
      <c r="V44" s="22">
        <v>1.0589892305191299E-2</v>
      </c>
      <c r="W44" s="40" t="s">
        <v>28</v>
      </c>
      <c r="X44" s="40" t="s">
        <v>28</v>
      </c>
      <c r="Y44" s="29">
        <v>0.75683765226799105</v>
      </c>
      <c r="Z44" s="35">
        <v>0.50659690630114496</v>
      </c>
      <c r="AB44" s="31"/>
      <c r="AC44" s="30"/>
    </row>
    <row r="45" spans="2:29" x14ac:dyDescent="0.3">
      <c r="B45" s="49">
        <v>14</v>
      </c>
      <c r="C45" s="5" t="s">
        <v>61</v>
      </c>
      <c r="D45">
        <v>0.5</v>
      </c>
      <c r="E45">
        <v>4.0000000000000001E-3</v>
      </c>
      <c r="F45">
        <v>0.5</v>
      </c>
      <c r="G45">
        <v>1</v>
      </c>
      <c r="H45">
        <v>0.3</v>
      </c>
      <c r="I45" s="31">
        <v>1438.6429604976199</v>
      </c>
      <c r="J45" s="29">
        <v>4.12</v>
      </c>
      <c r="K45" s="29">
        <v>13.8451773017827</v>
      </c>
      <c r="L45" s="29">
        <v>13.8451773017827</v>
      </c>
      <c r="M45" s="57">
        <v>40.023584331947099</v>
      </c>
      <c r="N45" s="22">
        <v>1.39706031498519E-2</v>
      </c>
      <c r="O45">
        <v>3</v>
      </c>
      <c r="P45" s="40" t="s">
        <v>28</v>
      </c>
      <c r="Q45" s="40" t="s">
        <v>28</v>
      </c>
      <c r="R45">
        <v>0.89999999999999991</v>
      </c>
      <c r="S45" s="40" t="s">
        <v>28</v>
      </c>
      <c r="T45" s="34" t="s">
        <v>28</v>
      </c>
      <c r="U45" s="30">
        <v>28.209134301742299</v>
      </c>
      <c r="V45" s="22">
        <v>1.39706031498519E-2</v>
      </c>
      <c r="W45" s="40" t="s">
        <v>28</v>
      </c>
      <c r="X45" s="40" t="s">
        <v>28</v>
      </c>
      <c r="Y45" s="29">
        <v>0.79230224450170195</v>
      </c>
      <c r="Z45" s="35">
        <v>0.56644314857447897</v>
      </c>
      <c r="AB45" s="31"/>
      <c r="AC45" s="30"/>
    </row>
    <row r="46" spans="2:29" x14ac:dyDescent="0.3">
      <c r="B46" s="49">
        <v>15</v>
      </c>
      <c r="C46" s="5" t="s">
        <v>61</v>
      </c>
      <c r="D46">
        <v>0.5</v>
      </c>
      <c r="E46">
        <v>4.0000000000000001E-3</v>
      </c>
      <c r="F46">
        <v>0.5</v>
      </c>
      <c r="G46">
        <v>1</v>
      </c>
      <c r="H46">
        <v>0.3</v>
      </c>
      <c r="I46" s="31">
        <v>1398.64968871564</v>
      </c>
      <c r="J46" s="29">
        <v>4.12</v>
      </c>
      <c r="K46" s="29">
        <v>13.9919706809484</v>
      </c>
      <c r="L46" s="29">
        <v>13.9919706809484</v>
      </c>
      <c r="M46" s="57">
        <v>44.976413896782901</v>
      </c>
      <c r="N46" s="22">
        <v>1.8279025639613401E-2</v>
      </c>
      <c r="O46">
        <v>3</v>
      </c>
      <c r="P46" s="40" t="s">
        <v>28</v>
      </c>
      <c r="Q46" s="40" t="s">
        <v>28</v>
      </c>
      <c r="R46">
        <v>0.89999999999999991</v>
      </c>
      <c r="S46" s="40" t="s">
        <v>28</v>
      </c>
      <c r="T46" s="34" t="s">
        <v>28</v>
      </c>
      <c r="U46" s="30">
        <v>31.571771422534901</v>
      </c>
      <c r="V46" s="22">
        <v>1.8279025639613401E-2</v>
      </c>
      <c r="W46" s="40" t="s">
        <v>28</v>
      </c>
      <c r="X46" s="40" t="s">
        <v>28</v>
      </c>
      <c r="Y46" s="29">
        <v>0.82224043151712201</v>
      </c>
      <c r="Z46" s="35">
        <v>0.62106562338430504</v>
      </c>
      <c r="AB46" s="31"/>
      <c r="AC46" s="30"/>
    </row>
    <row r="47" spans="2:29" x14ac:dyDescent="0.3">
      <c r="B47" s="49">
        <v>16</v>
      </c>
      <c r="C47" s="5" t="s">
        <v>62</v>
      </c>
      <c r="D47">
        <v>0.5</v>
      </c>
      <c r="E47">
        <v>4.0000000000000001E-3</v>
      </c>
      <c r="F47">
        <v>0.5</v>
      </c>
      <c r="G47">
        <v>1</v>
      </c>
      <c r="H47">
        <v>1</v>
      </c>
      <c r="I47" s="31">
        <v>1566.26371602156</v>
      </c>
      <c r="J47" s="29">
        <v>4.12</v>
      </c>
      <c r="K47" s="29">
        <v>13.366666501981699</v>
      </c>
      <c r="L47" s="29">
        <v>13.366666501981699</v>
      </c>
      <c r="M47" s="57">
        <v>24.999999789134499</v>
      </c>
      <c r="N47" s="22">
        <v>5.91766710490867E-3</v>
      </c>
      <c r="O47">
        <v>3</v>
      </c>
      <c r="P47" s="40" t="s">
        <v>28</v>
      </c>
      <c r="Q47" s="40" t="s">
        <v>28</v>
      </c>
      <c r="R47">
        <v>3</v>
      </c>
      <c r="S47" s="40" t="s">
        <v>28</v>
      </c>
      <c r="T47" s="34" t="s">
        <v>28</v>
      </c>
      <c r="U47" s="30">
        <v>17.351992702191701</v>
      </c>
      <c r="V47" s="22">
        <v>5.91766710490867E-3</v>
      </c>
      <c r="W47" s="40" t="s">
        <v>28</v>
      </c>
      <c r="X47" s="40" t="s">
        <v>28</v>
      </c>
      <c r="Y47" s="29">
        <v>0.71654267797119697</v>
      </c>
      <c r="Z47" s="35">
        <v>0.40423689722321798</v>
      </c>
      <c r="AB47" s="31"/>
      <c r="AC47" s="30"/>
    </row>
    <row r="48" spans="2:29" x14ac:dyDescent="0.3">
      <c r="B48" s="49">
        <v>17</v>
      </c>
      <c r="C48" s="5" t="s">
        <v>62</v>
      </c>
      <c r="D48">
        <v>0.5</v>
      </c>
      <c r="E48">
        <v>4.0000000000000001E-3</v>
      </c>
      <c r="F48">
        <v>0.5</v>
      </c>
      <c r="G48">
        <v>1</v>
      </c>
      <c r="H48">
        <v>1</v>
      </c>
      <c r="I48" s="31">
        <v>1523.3401830867999</v>
      </c>
      <c r="J48" s="29">
        <v>4.12</v>
      </c>
      <c r="K48" s="29">
        <v>13.526864403533301</v>
      </c>
      <c r="L48" s="29">
        <v>13.526864403533301</v>
      </c>
      <c r="M48" s="57">
        <v>30.023584331947099</v>
      </c>
      <c r="N48" s="22">
        <v>7.9551338500036695E-3</v>
      </c>
      <c r="O48">
        <v>3</v>
      </c>
      <c r="P48" s="40" t="s">
        <v>28</v>
      </c>
      <c r="Q48" s="40" t="s">
        <v>28</v>
      </c>
      <c r="R48">
        <v>3</v>
      </c>
      <c r="S48" s="40" t="s">
        <v>28</v>
      </c>
      <c r="T48" s="34" t="s">
        <v>28</v>
      </c>
      <c r="U48" s="30">
        <v>20.846497180949601</v>
      </c>
      <c r="V48" s="22">
        <v>7.9551338500036695E-3</v>
      </c>
      <c r="W48" s="40" t="s">
        <v>28</v>
      </c>
      <c r="X48" s="40" t="s">
        <v>28</v>
      </c>
      <c r="Y48" s="29">
        <v>0.76653052521837695</v>
      </c>
      <c r="Z48" s="35">
        <v>0.47512240193809202</v>
      </c>
      <c r="AB48" s="31"/>
      <c r="AC48" s="30"/>
    </row>
    <row r="49" spans="2:29" x14ac:dyDescent="0.3">
      <c r="B49" s="49">
        <v>18</v>
      </c>
      <c r="C49" s="5" t="s">
        <v>62</v>
      </c>
      <c r="D49">
        <v>0.5</v>
      </c>
      <c r="E49">
        <v>4.0000000000000001E-3</v>
      </c>
      <c r="F49">
        <v>0.5</v>
      </c>
      <c r="G49">
        <v>1</v>
      </c>
      <c r="H49">
        <v>1</v>
      </c>
      <c r="I49" s="31">
        <v>1480.9531523159601</v>
      </c>
      <c r="J49" s="29">
        <v>4.12</v>
      </c>
      <c r="K49" s="29">
        <v>13.686153303645799</v>
      </c>
      <c r="L49" s="29">
        <v>13.686153303645799</v>
      </c>
      <c r="M49" s="57">
        <v>34.999998439595501</v>
      </c>
      <c r="N49" s="22">
        <v>1.0589892305191299E-2</v>
      </c>
      <c r="O49">
        <v>3</v>
      </c>
      <c r="P49" s="40" t="s">
        <v>28</v>
      </c>
      <c r="Q49" s="40" t="s">
        <v>28</v>
      </c>
      <c r="R49">
        <v>3</v>
      </c>
      <c r="S49" s="40" t="s">
        <v>28</v>
      </c>
      <c r="T49" s="34" t="s">
        <v>28</v>
      </c>
      <c r="U49" s="30">
        <v>24.4728709040611</v>
      </c>
      <c r="V49" s="22">
        <v>1.0589892305191299E-2</v>
      </c>
      <c r="W49" s="40" t="s">
        <v>28</v>
      </c>
      <c r="X49" s="40" t="s">
        <v>28</v>
      </c>
      <c r="Y49" s="29">
        <v>0.77909758321704903</v>
      </c>
      <c r="Z49" s="35">
        <v>0.52149681531000203</v>
      </c>
      <c r="AB49" s="31"/>
      <c r="AC49" s="30"/>
    </row>
    <row r="50" spans="2:29" x14ac:dyDescent="0.3">
      <c r="B50" s="49">
        <v>19</v>
      </c>
      <c r="C50" s="5" t="s">
        <v>62</v>
      </c>
      <c r="D50">
        <v>0.5</v>
      </c>
      <c r="E50">
        <v>4.0000000000000001E-3</v>
      </c>
      <c r="F50">
        <v>0.5</v>
      </c>
      <c r="G50">
        <v>1</v>
      </c>
      <c r="H50">
        <v>1</v>
      </c>
      <c r="I50" s="31">
        <v>1440.2917408590899</v>
      </c>
      <c r="J50" s="29">
        <v>4.12</v>
      </c>
      <c r="K50" s="29">
        <v>13.837781502366999</v>
      </c>
      <c r="L50" s="29">
        <v>13.837781502366999</v>
      </c>
      <c r="M50" s="57">
        <v>39.976415246321899</v>
      </c>
      <c r="N50" s="22">
        <v>1.39706031498519E-2</v>
      </c>
      <c r="O50">
        <v>3</v>
      </c>
      <c r="P50" s="40" t="s">
        <v>28</v>
      </c>
      <c r="Q50" s="40" t="s">
        <v>28</v>
      </c>
      <c r="R50">
        <v>3</v>
      </c>
      <c r="S50" s="40" t="s">
        <v>28</v>
      </c>
      <c r="T50" s="34" t="s">
        <v>28</v>
      </c>
      <c r="U50" s="30">
        <v>27.857486022647301</v>
      </c>
      <c r="V50" s="22">
        <v>1.39706031498519E-2</v>
      </c>
      <c r="W50" s="40" t="s">
        <v>28</v>
      </c>
      <c r="X50" s="40" t="s">
        <v>28</v>
      </c>
      <c r="Y50" s="29">
        <v>0.81244552190428798</v>
      </c>
      <c r="Z50" s="35">
        <v>0.58084424557213599</v>
      </c>
      <c r="AB50" s="31"/>
      <c r="AC50" s="30"/>
    </row>
    <row r="51" spans="2:29" x14ac:dyDescent="0.3">
      <c r="B51" s="49">
        <v>20</v>
      </c>
      <c r="C51" s="5" t="s">
        <v>62</v>
      </c>
      <c r="D51">
        <v>0.5</v>
      </c>
      <c r="E51">
        <v>4.0000000000000001E-3</v>
      </c>
      <c r="F51">
        <v>0.5</v>
      </c>
      <c r="G51">
        <v>1</v>
      </c>
      <c r="H51">
        <v>1</v>
      </c>
      <c r="I51" s="31">
        <v>1399.5303881499999</v>
      </c>
      <c r="J51" s="29">
        <v>4.12</v>
      </c>
      <c r="K51" s="29">
        <v>13.987884033580301</v>
      </c>
      <c r="L51" s="29">
        <v>13.987884033580301</v>
      </c>
      <c r="M51" s="57">
        <v>44.929244811157602</v>
      </c>
      <c r="N51" s="22">
        <v>1.8279025639613401E-2</v>
      </c>
      <c r="O51">
        <v>3</v>
      </c>
      <c r="P51" s="40" t="s">
        <v>28</v>
      </c>
      <c r="Q51" s="40" t="s">
        <v>28</v>
      </c>
      <c r="R51">
        <v>3</v>
      </c>
      <c r="S51" s="40" t="s">
        <v>28</v>
      </c>
      <c r="T51" s="34" t="s">
        <v>28</v>
      </c>
      <c r="U51" s="30">
        <v>31.3959472829875</v>
      </c>
      <c r="V51" s="22">
        <v>1.8279025639613401E-2</v>
      </c>
      <c r="W51" s="40" t="s">
        <v>28</v>
      </c>
      <c r="X51" s="40" t="s">
        <v>28</v>
      </c>
      <c r="Y51" s="29">
        <v>0.83451267676364604</v>
      </c>
      <c r="Z51" s="35">
        <v>0.63033525955421998</v>
      </c>
      <c r="AB51" s="31"/>
      <c r="AC51" s="30"/>
    </row>
    <row r="52" spans="2:29" x14ac:dyDescent="0.3">
      <c r="B52" s="49">
        <v>21</v>
      </c>
      <c r="C52" s="5" t="s">
        <v>63</v>
      </c>
      <c r="D52">
        <v>0.5</v>
      </c>
      <c r="E52">
        <v>4.0000000000000001E-3</v>
      </c>
      <c r="F52">
        <v>0.5</v>
      </c>
      <c r="G52">
        <v>1</v>
      </c>
      <c r="H52">
        <v>1</v>
      </c>
      <c r="I52" s="31">
        <v>1563.86561335637</v>
      </c>
      <c r="J52" s="29">
        <v>4.12</v>
      </c>
      <c r="K52" s="29">
        <v>13.376331046202001</v>
      </c>
      <c r="L52" s="29">
        <v>13.376331046202001</v>
      </c>
      <c r="M52" s="57">
        <v>25.0235856814861</v>
      </c>
      <c r="N52" s="22">
        <v>5.91766710490867E-3</v>
      </c>
      <c r="O52">
        <v>3</v>
      </c>
      <c r="P52" s="40" t="s">
        <v>28</v>
      </c>
      <c r="Q52" s="40" t="s">
        <v>28</v>
      </c>
      <c r="R52">
        <v>3</v>
      </c>
      <c r="S52" s="40" t="s">
        <v>28</v>
      </c>
      <c r="T52" s="34" t="s">
        <v>28</v>
      </c>
      <c r="U52" s="30">
        <v>17.8355092824461</v>
      </c>
      <c r="V52" s="22">
        <v>5.91766710490867E-3</v>
      </c>
      <c r="W52" s="40" t="s">
        <v>28</v>
      </c>
      <c r="X52" s="40" t="s">
        <v>28</v>
      </c>
      <c r="Y52" s="29">
        <v>0.67882990544639699</v>
      </c>
      <c r="Z52" s="35">
        <v>0.38296127105357403</v>
      </c>
      <c r="AB52" s="31"/>
      <c r="AC52" s="30"/>
    </row>
    <row r="53" spans="2:29" x14ac:dyDescent="0.3">
      <c r="B53" s="49">
        <v>22</v>
      </c>
      <c r="C53" s="5" t="s">
        <v>63</v>
      </c>
      <c r="D53">
        <v>0.5</v>
      </c>
      <c r="E53">
        <v>4.0000000000000001E-3</v>
      </c>
      <c r="F53">
        <v>0.5</v>
      </c>
      <c r="G53">
        <v>1</v>
      </c>
      <c r="H53">
        <v>1</v>
      </c>
      <c r="I53" s="31">
        <v>1520.97652989516</v>
      </c>
      <c r="J53" s="29">
        <v>4.12</v>
      </c>
      <c r="K53" s="29">
        <v>13.5367453768954</v>
      </c>
      <c r="L53" s="29">
        <v>13.5367453768954</v>
      </c>
      <c r="M53" s="57">
        <v>29.9528307035092</v>
      </c>
      <c r="N53" s="22">
        <v>7.9551338500036695E-3</v>
      </c>
      <c r="O53">
        <v>3</v>
      </c>
      <c r="P53" s="40" t="s">
        <v>28</v>
      </c>
      <c r="Q53" s="40" t="s">
        <v>28</v>
      </c>
      <c r="R53">
        <v>3</v>
      </c>
      <c r="S53" s="40" t="s">
        <v>28</v>
      </c>
      <c r="T53" s="34" t="s">
        <v>28</v>
      </c>
      <c r="U53" s="30">
        <v>21.4399046933659</v>
      </c>
      <c r="V53" s="22">
        <v>7.9551338500036695E-3</v>
      </c>
      <c r="W53" s="40" t="s">
        <v>28</v>
      </c>
      <c r="X53" s="40" t="s">
        <v>28</v>
      </c>
      <c r="Y53" s="29">
        <v>0.71653940400848304</v>
      </c>
      <c r="Z53" s="35">
        <v>0.44413615833343401</v>
      </c>
      <c r="AB53" s="31"/>
      <c r="AC53" s="30"/>
    </row>
    <row r="54" spans="2:29" x14ac:dyDescent="0.3">
      <c r="B54" s="49">
        <v>23</v>
      </c>
      <c r="C54" s="5" t="s">
        <v>63</v>
      </c>
      <c r="D54">
        <v>0.5</v>
      </c>
      <c r="E54">
        <v>4.0000000000000001E-3</v>
      </c>
      <c r="F54">
        <v>0.5</v>
      </c>
      <c r="G54">
        <v>1</v>
      </c>
      <c r="H54">
        <v>1</v>
      </c>
      <c r="I54" s="31">
        <v>1477.81309299498</v>
      </c>
      <c r="J54" s="29">
        <v>4.12</v>
      </c>
      <c r="K54" s="29">
        <v>13.699770098834</v>
      </c>
      <c r="L54" s="29">
        <v>13.699770098834</v>
      </c>
      <c r="M54" s="57">
        <v>35.023585681486097</v>
      </c>
      <c r="N54" s="22">
        <v>1.0589892305191299E-2</v>
      </c>
      <c r="O54">
        <v>3</v>
      </c>
      <c r="P54" s="40" t="s">
        <v>28</v>
      </c>
      <c r="Q54" s="40" t="s">
        <v>28</v>
      </c>
      <c r="R54">
        <v>3</v>
      </c>
      <c r="S54" s="40" t="s">
        <v>28</v>
      </c>
      <c r="T54" s="34" t="s">
        <v>28</v>
      </c>
      <c r="U54" s="30">
        <v>25.176167462251001</v>
      </c>
      <c r="V54" s="22">
        <v>1.0589892305191299E-2</v>
      </c>
      <c r="W54" s="40" t="s">
        <v>28</v>
      </c>
      <c r="X54" s="40" t="s">
        <v>28</v>
      </c>
      <c r="Y54" s="29">
        <v>0.72715774433591296</v>
      </c>
      <c r="Z54" s="35">
        <v>0.48673036095600197</v>
      </c>
      <c r="AB54" s="31"/>
      <c r="AC54" s="30"/>
    </row>
    <row r="55" spans="2:29" x14ac:dyDescent="0.3">
      <c r="B55" s="49">
        <v>24</v>
      </c>
      <c r="C55" s="5" t="s">
        <v>63</v>
      </c>
      <c r="D55">
        <v>0.5</v>
      </c>
      <c r="E55">
        <v>4.0000000000000001E-3</v>
      </c>
      <c r="F55">
        <v>0.5</v>
      </c>
      <c r="G55">
        <v>1</v>
      </c>
      <c r="H55">
        <v>1</v>
      </c>
      <c r="I55" s="31">
        <v>1436.57740819283</v>
      </c>
      <c r="J55" s="29">
        <v>4.12</v>
      </c>
      <c r="K55" s="29">
        <v>13.854459621175501</v>
      </c>
      <c r="L55" s="29">
        <v>13.854459621175501</v>
      </c>
      <c r="M55" s="57">
        <v>39.9528307035092</v>
      </c>
      <c r="N55" s="22">
        <v>1.39706031498519E-2</v>
      </c>
      <c r="O55">
        <v>3</v>
      </c>
      <c r="P55" s="40" t="s">
        <v>28</v>
      </c>
      <c r="Q55" s="40" t="s">
        <v>28</v>
      </c>
      <c r="R55">
        <v>3</v>
      </c>
      <c r="S55" s="40" t="s">
        <v>28</v>
      </c>
      <c r="T55" s="34" t="s">
        <v>28</v>
      </c>
      <c r="U55" s="30">
        <v>28.780562558772701</v>
      </c>
      <c r="V55" s="22">
        <v>1.39706031498519E-2</v>
      </c>
      <c r="W55" s="40" t="s">
        <v>28</v>
      </c>
      <c r="X55" s="40" t="s">
        <v>28</v>
      </c>
      <c r="Y55" s="29">
        <v>0.75201568969653099</v>
      </c>
      <c r="Z55" s="35">
        <v>0.53764095457916705</v>
      </c>
      <c r="AB55" s="31"/>
      <c r="AC55" s="30"/>
    </row>
    <row r="56" spans="2:29" x14ac:dyDescent="0.3">
      <c r="B56" s="49">
        <v>25</v>
      </c>
      <c r="C56" s="5" t="s">
        <v>63</v>
      </c>
      <c r="D56">
        <v>0.5</v>
      </c>
      <c r="E56">
        <v>4.0000000000000001E-3</v>
      </c>
      <c r="F56">
        <v>0.5</v>
      </c>
      <c r="G56">
        <v>1</v>
      </c>
      <c r="H56">
        <v>1</v>
      </c>
      <c r="I56" s="31">
        <v>1395.5194577120401</v>
      </c>
      <c r="J56" s="29">
        <v>4.12</v>
      </c>
      <c r="K56" s="29">
        <v>14.0065253123469</v>
      </c>
      <c r="L56" s="29">
        <v>14.0065253123469</v>
      </c>
      <c r="M56" s="57">
        <v>45.0235829824082</v>
      </c>
      <c r="N56" s="22">
        <v>1.8279025639613401E-2</v>
      </c>
      <c r="O56">
        <v>3</v>
      </c>
      <c r="P56" s="40" t="s">
        <v>28</v>
      </c>
      <c r="Q56" s="40" t="s">
        <v>28</v>
      </c>
      <c r="R56">
        <v>3</v>
      </c>
      <c r="S56" s="40" t="s">
        <v>28</v>
      </c>
      <c r="T56" s="34" t="s">
        <v>28</v>
      </c>
      <c r="U56" s="30">
        <v>32.319024133511</v>
      </c>
      <c r="V56" s="22">
        <v>1.8279025639613401E-2</v>
      </c>
      <c r="W56" s="40" t="s">
        <v>28</v>
      </c>
      <c r="X56" s="40" t="s">
        <v>28</v>
      </c>
      <c r="Y56" s="29">
        <v>0.77928757315428698</v>
      </c>
      <c r="Z56" s="35">
        <v>0.58862189678960297</v>
      </c>
      <c r="AB56" s="31"/>
      <c r="AC56" s="30"/>
    </row>
    <row r="57" spans="2:29" x14ac:dyDescent="0.3">
      <c r="B57" s="49">
        <v>26</v>
      </c>
      <c r="C57" s="5" t="s">
        <v>59</v>
      </c>
      <c r="D57">
        <v>0.5</v>
      </c>
      <c r="E57">
        <v>4.0000000000000001E-3</v>
      </c>
      <c r="F57">
        <v>0.5</v>
      </c>
      <c r="G57">
        <v>1</v>
      </c>
      <c r="H57">
        <v>1</v>
      </c>
      <c r="I57" s="31">
        <v>1528.76507984965</v>
      </c>
      <c r="J57" s="29">
        <v>4.12</v>
      </c>
      <c r="K57" s="29">
        <v>13.504268759612399</v>
      </c>
      <c r="L57" s="29">
        <v>13.504268759612399</v>
      </c>
      <c r="M57" s="57">
        <v>30</v>
      </c>
      <c r="N57" s="22">
        <v>7.9551338500036695E-3</v>
      </c>
      <c r="O57">
        <v>3</v>
      </c>
      <c r="P57" s="40" t="s">
        <v>28</v>
      </c>
      <c r="Q57" s="40" t="s">
        <v>28</v>
      </c>
      <c r="R57">
        <v>3</v>
      </c>
      <c r="S57" s="40" t="s">
        <v>28</v>
      </c>
      <c r="T57" s="34" t="s">
        <v>28</v>
      </c>
      <c r="U57" s="30">
        <v>19.675462058915599</v>
      </c>
      <c r="V57" s="22">
        <v>7.9551338500036695E-3</v>
      </c>
      <c r="W57" s="40" t="s">
        <v>28</v>
      </c>
      <c r="X57" s="40" t="s">
        <v>28</v>
      </c>
      <c r="Y57" s="29">
        <v>0.85818091410318298</v>
      </c>
      <c r="Z57" s="35">
        <v>0.53193051521329904</v>
      </c>
      <c r="AB57" s="29"/>
    </row>
    <row r="58" spans="2:29" x14ac:dyDescent="0.3">
      <c r="B58" s="49">
        <v>27</v>
      </c>
      <c r="C58" s="5" t="s">
        <v>59</v>
      </c>
      <c r="D58">
        <v>0.5</v>
      </c>
      <c r="E58">
        <v>4.0000000000000001E-3</v>
      </c>
      <c r="F58">
        <v>0.5</v>
      </c>
      <c r="G58">
        <v>1</v>
      </c>
      <c r="H58">
        <v>1</v>
      </c>
      <c r="I58" s="31">
        <v>1522.63112013164</v>
      </c>
      <c r="J58" s="29">
        <v>4.12</v>
      </c>
      <c r="K58" s="29">
        <v>13.519281740109699</v>
      </c>
      <c r="L58" s="29">
        <v>13.519281740109699</v>
      </c>
      <c r="M58" s="57">
        <v>30</v>
      </c>
      <c r="N58" s="22">
        <v>9.3008168727461895E-3</v>
      </c>
      <c r="O58">
        <v>3</v>
      </c>
      <c r="P58" s="40" t="s">
        <v>28</v>
      </c>
      <c r="Q58" s="40" t="s">
        <v>28</v>
      </c>
      <c r="R58">
        <v>3</v>
      </c>
      <c r="S58" s="40" t="s">
        <v>28</v>
      </c>
      <c r="T58" s="34" t="s">
        <v>28</v>
      </c>
      <c r="U58" s="30">
        <v>20.5303428425972</v>
      </c>
      <c r="V58" s="22">
        <v>9.3008168727461895E-3</v>
      </c>
      <c r="W58" s="40" t="s">
        <v>28</v>
      </c>
      <c r="X58" s="40" t="s">
        <v>28</v>
      </c>
      <c r="Y58" s="29">
        <v>0.865951438205669</v>
      </c>
      <c r="Z58" s="35">
        <v>0.555036111525257</v>
      </c>
      <c r="AB58" s="29"/>
    </row>
    <row r="59" spans="2:29" x14ac:dyDescent="0.3">
      <c r="B59" s="49">
        <v>28</v>
      </c>
      <c r="C59" s="5" t="s">
        <v>59</v>
      </c>
      <c r="D59">
        <v>0.5</v>
      </c>
      <c r="E59">
        <v>4.0000000000000001E-3</v>
      </c>
      <c r="F59">
        <v>0.5</v>
      </c>
      <c r="G59">
        <v>1</v>
      </c>
      <c r="H59">
        <v>1</v>
      </c>
      <c r="I59" s="31">
        <v>1510.6455124879301</v>
      </c>
      <c r="J59" s="29">
        <v>4.12</v>
      </c>
      <c r="K59" s="29">
        <v>13.548273798667999</v>
      </c>
      <c r="L59" s="29">
        <v>13.548273798667999</v>
      </c>
      <c r="M59" s="57">
        <v>30</v>
      </c>
      <c r="N59" s="22">
        <v>1.2009505980892199E-2</v>
      </c>
      <c r="O59">
        <v>3</v>
      </c>
      <c r="P59" s="40" t="s">
        <v>28</v>
      </c>
      <c r="Q59" s="40" t="s">
        <v>28</v>
      </c>
      <c r="R59">
        <v>3</v>
      </c>
      <c r="S59" s="40" t="s">
        <v>28</v>
      </c>
      <c r="T59" s="34" t="s">
        <v>28</v>
      </c>
      <c r="U59" s="30">
        <v>22.197889003195499</v>
      </c>
      <c r="V59" s="22">
        <v>1.2009505980892199E-2</v>
      </c>
      <c r="W59" s="40" t="s">
        <v>28</v>
      </c>
      <c r="X59" s="40" t="s">
        <v>28</v>
      </c>
      <c r="Y59" s="29">
        <v>0.870567053557051</v>
      </c>
      <c r="Z59" s="35">
        <v>0.58953617548973003</v>
      </c>
      <c r="AB59" s="29"/>
    </row>
    <row r="60" spans="2:29" x14ac:dyDescent="0.3">
      <c r="B60" s="49">
        <v>29</v>
      </c>
      <c r="C60" s="5" t="s">
        <v>59</v>
      </c>
      <c r="D60">
        <v>0.5</v>
      </c>
      <c r="E60">
        <v>4.0000000000000001E-3</v>
      </c>
      <c r="F60">
        <v>0.5</v>
      </c>
      <c r="G60">
        <v>1</v>
      </c>
      <c r="H60">
        <v>1</v>
      </c>
      <c r="I60" s="31">
        <v>1499.1511877534001</v>
      </c>
      <c r="J60" s="29">
        <v>4.12</v>
      </c>
      <c r="K60" s="29">
        <v>13.575375317344299</v>
      </c>
      <c r="L60" s="29">
        <v>13.575375317344299</v>
      </c>
      <c r="M60" s="57">
        <v>30</v>
      </c>
      <c r="N60" s="22">
        <v>1.4741541352482301E-2</v>
      </c>
      <c r="O60">
        <v>3</v>
      </c>
      <c r="P60" s="40" t="s">
        <v>28</v>
      </c>
      <c r="Q60" s="40" t="s">
        <v>28</v>
      </c>
      <c r="R60">
        <v>3</v>
      </c>
      <c r="S60" s="40" t="s">
        <v>28</v>
      </c>
      <c r="T60" s="34" t="s">
        <v>28</v>
      </c>
      <c r="U60" s="30">
        <v>23.7810025385347</v>
      </c>
      <c r="V60" s="22">
        <v>1.4741541352482301E-2</v>
      </c>
      <c r="W60" s="40" t="s">
        <v>28</v>
      </c>
      <c r="X60" s="40" t="s">
        <v>28</v>
      </c>
      <c r="Y60" s="29">
        <v>0.87248613452234403</v>
      </c>
      <c r="Z60" s="35">
        <v>0.61601246145402599</v>
      </c>
      <c r="AB60" s="29"/>
    </row>
    <row r="61" spans="2:29" x14ac:dyDescent="0.3">
      <c r="B61" s="49">
        <v>30</v>
      </c>
      <c r="C61" s="5" t="s">
        <v>59</v>
      </c>
      <c r="D61">
        <v>0.5</v>
      </c>
      <c r="E61">
        <v>4.0000000000000001E-3</v>
      </c>
      <c r="F61">
        <v>0.5</v>
      </c>
      <c r="G61">
        <v>1</v>
      </c>
      <c r="H61">
        <v>1</v>
      </c>
      <c r="I61" s="31">
        <v>1488.1329397678601</v>
      </c>
      <c r="J61" s="29">
        <v>4.12</v>
      </c>
      <c r="K61" s="29">
        <v>13.600610835411899</v>
      </c>
      <c r="L61" s="29">
        <v>13.600610835411899</v>
      </c>
      <c r="M61" s="57">
        <v>30</v>
      </c>
      <c r="N61" s="22">
        <v>1.7497226126998201E-2</v>
      </c>
      <c r="O61">
        <v>3</v>
      </c>
      <c r="P61" s="40" t="s">
        <v>28</v>
      </c>
      <c r="Q61" s="40" t="s">
        <v>28</v>
      </c>
      <c r="R61">
        <v>3</v>
      </c>
      <c r="S61" s="40" t="s">
        <v>28</v>
      </c>
      <c r="T61" s="34" t="s">
        <v>28</v>
      </c>
      <c r="U61" s="30">
        <v>25.2796829956823</v>
      </c>
      <c r="V61" s="22">
        <v>1.7497226126998201E-2</v>
      </c>
      <c r="W61" s="40" t="s">
        <v>28</v>
      </c>
      <c r="X61" s="40" t="s">
        <v>28</v>
      </c>
      <c r="Y61" s="29">
        <v>0.882114445432992</v>
      </c>
      <c r="Z61" s="35">
        <v>0.64438870369179302</v>
      </c>
      <c r="AB61" s="29"/>
    </row>
    <row r="62" spans="2:29" x14ac:dyDescent="0.3">
      <c r="B62" s="49">
        <v>31</v>
      </c>
      <c r="C62" s="5" t="s">
        <v>59</v>
      </c>
      <c r="D62">
        <v>0.5</v>
      </c>
      <c r="E62">
        <v>4.0000000000000001E-3</v>
      </c>
      <c r="F62">
        <v>0.5</v>
      </c>
      <c r="G62">
        <v>1</v>
      </c>
      <c r="H62">
        <v>1</v>
      </c>
      <c r="I62" s="31">
        <v>1482.6146229040901</v>
      </c>
      <c r="J62" s="29">
        <v>4.12</v>
      </c>
      <c r="K62" s="29">
        <v>13.613318545513501</v>
      </c>
      <c r="L62" s="29">
        <v>13.613318545513501</v>
      </c>
      <c r="M62" s="57">
        <v>30</v>
      </c>
      <c r="N62" s="22">
        <v>1.8884033209594999E-2</v>
      </c>
      <c r="O62">
        <v>3</v>
      </c>
      <c r="P62" s="40" t="s">
        <v>28</v>
      </c>
      <c r="Q62" s="40" t="s">
        <v>28</v>
      </c>
      <c r="R62">
        <v>3</v>
      </c>
      <c r="S62" s="40" t="s">
        <v>28</v>
      </c>
      <c r="T62" s="34" t="s">
        <v>28</v>
      </c>
      <c r="U62" s="30">
        <v>26.039577302413502</v>
      </c>
      <c r="V62" s="22">
        <v>1.8884033209594999E-2</v>
      </c>
      <c r="W62" s="40" t="s">
        <v>28</v>
      </c>
      <c r="X62" s="40" t="s">
        <v>28</v>
      </c>
      <c r="Y62" s="29">
        <v>0.89123445249662903</v>
      </c>
      <c r="Z62" s="35">
        <v>0.66052290201778396</v>
      </c>
      <c r="AB62" s="29"/>
    </row>
    <row r="63" spans="2:29" x14ac:dyDescent="0.3">
      <c r="B63" s="49">
        <v>32</v>
      </c>
      <c r="C63" s="5" t="s">
        <v>60</v>
      </c>
      <c r="D63">
        <v>0.5</v>
      </c>
      <c r="E63">
        <v>4.0000000000000001E-3</v>
      </c>
      <c r="F63">
        <v>0.5</v>
      </c>
      <c r="G63">
        <v>1</v>
      </c>
      <c r="H63">
        <v>0.3</v>
      </c>
      <c r="I63" s="31">
        <v>1523.4448591553601</v>
      </c>
      <c r="J63" s="29">
        <v>4.12</v>
      </c>
      <c r="K63" s="29">
        <v>13.5264273234716</v>
      </c>
      <c r="L63" s="29">
        <v>13.5264273234716</v>
      </c>
      <c r="M63" s="57">
        <v>30</v>
      </c>
      <c r="N63" s="22">
        <v>7.9551338500036695E-3</v>
      </c>
      <c r="O63">
        <v>3</v>
      </c>
      <c r="P63" s="40" t="s">
        <v>28</v>
      </c>
      <c r="Q63" s="40" t="s">
        <v>28</v>
      </c>
      <c r="R63">
        <v>0.89999999999999991</v>
      </c>
      <c r="S63" s="40" t="s">
        <v>28</v>
      </c>
      <c r="T63" s="34" t="s">
        <v>28</v>
      </c>
      <c r="U63" s="30">
        <v>20.8469657157402</v>
      </c>
      <c r="V63" s="22">
        <v>7.9551338500036695E-3</v>
      </c>
      <c r="W63" s="40" t="s">
        <v>28</v>
      </c>
      <c r="X63" s="40" t="s">
        <v>28</v>
      </c>
      <c r="Y63" s="29">
        <v>0.76653052521837695</v>
      </c>
      <c r="Z63" s="35">
        <v>0.47512240193809202</v>
      </c>
      <c r="AB63" s="29"/>
    </row>
    <row r="64" spans="2:29" x14ac:dyDescent="0.3">
      <c r="B64" s="49">
        <v>33</v>
      </c>
      <c r="C64" s="5" t="s">
        <v>60</v>
      </c>
      <c r="D64">
        <v>0.5</v>
      </c>
      <c r="E64">
        <v>4.0000000000000001E-3</v>
      </c>
      <c r="F64">
        <v>0.5</v>
      </c>
      <c r="G64">
        <v>1</v>
      </c>
      <c r="H64">
        <v>0.3</v>
      </c>
      <c r="I64" s="31">
        <v>1517.8196050398799</v>
      </c>
      <c r="J64" s="29">
        <v>4.12</v>
      </c>
      <c r="K64" s="29">
        <v>13.539391364999901</v>
      </c>
      <c r="L64" s="29">
        <v>13.539391364999901</v>
      </c>
      <c r="M64" s="57">
        <v>30</v>
      </c>
      <c r="N64" s="22">
        <v>9.3008168727461895E-3</v>
      </c>
      <c r="O64">
        <v>3</v>
      </c>
      <c r="P64" s="40" t="s">
        <v>28</v>
      </c>
      <c r="Q64" s="40" t="s">
        <v>28</v>
      </c>
      <c r="R64">
        <v>0.89999999999999991</v>
      </c>
      <c r="S64" s="40" t="s">
        <v>28</v>
      </c>
      <c r="T64" s="34" t="s">
        <v>28</v>
      </c>
      <c r="U64" s="30">
        <v>21.5963060198028</v>
      </c>
      <c r="V64" s="22">
        <v>9.3008168727461895E-3</v>
      </c>
      <c r="W64" s="40" t="s">
        <v>28</v>
      </c>
      <c r="X64" s="40" t="s">
        <v>28</v>
      </c>
      <c r="Y64" s="29">
        <v>0.76568337693974997</v>
      </c>
      <c r="Z64" s="35">
        <v>0.49076877229601701</v>
      </c>
      <c r="AB64" s="29"/>
    </row>
    <row r="65" spans="2:28" x14ac:dyDescent="0.3">
      <c r="B65" s="49">
        <v>34</v>
      </c>
      <c r="C65" s="5" t="s">
        <v>60</v>
      </c>
      <c r="D65">
        <v>0.5</v>
      </c>
      <c r="E65">
        <v>4.0000000000000001E-3</v>
      </c>
      <c r="F65">
        <v>0.5</v>
      </c>
      <c r="G65">
        <v>1</v>
      </c>
      <c r="H65">
        <v>0.3</v>
      </c>
      <c r="I65" s="31">
        <v>1507.3495567510299</v>
      </c>
      <c r="J65" s="29">
        <v>4.12</v>
      </c>
      <c r="K65" s="29">
        <v>13.5621388203365</v>
      </c>
      <c r="L65" s="29">
        <v>13.5621388203365</v>
      </c>
      <c r="M65" s="57">
        <v>30</v>
      </c>
      <c r="N65" s="22">
        <v>1.2009505980892199E-2</v>
      </c>
      <c r="O65">
        <v>3</v>
      </c>
      <c r="P65" s="40" t="s">
        <v>28</v>
      </c>
      <c r="Q65" s="40" t="s">
        <v>28</v>
      </c>
      <c r="R65">
        <v>0.89999999999999991</v>
      </c>
      <c r="S65" s="40" t="s">
        <v>28</v>
      </c>
      <c r="T65" s="34" t="s">
        <v>28</v>
      </c>
      <c r="U65" s="30">
        <v>22.9366753045894</v>
      </c>
      <c r="V65" s="22">
        <v>1.2009505980892199E-2</v>
      </c>
      <c r="W65" s="40" t="s">
        <v>28</v>
      </c>
      <c r="X65" s="40" t="s">
        <v>28</v>
      </c>
      <c r="Y65" s="29">
        <v>0.79243924105834096</v>
      </c>
      <c r="Z65" s="35">
        <v>0.53662908281757504</v>
      </c>
      <c r="AB65" s="29"/>
    </row>
    <row r="66" spans="2:28" x14ac:dyDescent="0.3">
      <c r="B66" s="49">
        <v>35</v>
      </c>
      <c r="C66" s="5" t="s">
        <v>60</v>
      </c>
      <c r="D66">
        <v>0.5</v>
      </c>
      <c r="E66">
        <v>4.0000000000000001E-3</v>
      </c>
      <c r="F66">
        <v>0.5</v>
      </c>
      <c r="G66">
        <v>1</v>
      </c>
      <c r="H66">
        <v>0.3</v>
      </c>
      <c r="I66" s="31">
        <v>1496.3592152681199</v>
      </c>
      <c r="J66" s="29">
        <v>4.12</v>
      </c>
      <c r="K66" s="29">
        <v>13.5871973123431</v>
      </c>
      <c r="L66" s="29">
        <v>13.5871973123431</v>
      </c>
      <c r="M66" s="57">
        <v>30</v>
      </c>
      <c r="N66" s="22">
        <v>1.4741541352482301E-2</v>
      </c>
      <c r="O66">
        <v>3</v>
      </c>
      <c r="P66" s="40" t="s">
        <v>28</v>
      </c>
      <c r="Q66" s="40" t="s">
        <v>28</v>
      </c>
      <c r="R66">
        <v>0.89999999999999991</v>
      </c>
      <c r="S66" s="40" t="s">
        <v>28</v>
      </c>
      <c r="T66" s="34" t="s">
        <v>28</v>
      </c>
      <c r="U66" s="30">
        <v>24.4142477563997</v>
      </c>
      <c r="V66" s="22">
        <v>1.4741541352482301E-2</v>
      </c>
      <c r="W66" s="40" t="s">
        <v>28</v>
      </c>
      <c r="X66" s="40" t="s">
        <v>28</v>
      </c>
      <c r="Y66" s="29">
        <v>0.78805199247179503</v>
      </c>
      <c r="Z66" s="35">
        <v>0.55639835228105605</v>
      </c>
      <c r="AB66" s="29"/>
    </row>
    <row r="67" spans="2:28" x14ac:dyDescent="0.3">
      <c r="B67" s="49">
        <v>36</v>
      </c>
      <c r="C67" s="5" t="s">
        <v>60</v>
      </c>
      <c r="D67">
        <v>0.5</v>
      </c>
      <c r="E67">
        <v>4.0000000000000001E-3</v>
      </c>
      <c r="F67">
        <v>0.5</v>
      </c>
      <c r="G67">
        <v>1</v>
      </c>
      <c r="H67">
        <v>0.3</v>
      </c>
      <c r="I67" s="31">
        <v>1486.33819160391</v>
      </c>
      <c r="J67" s="29">
        <v>4.12</v>
      </c>
      <c r="K67" s="29">
        <v>13.608255193895101</v>
      </c>
      <c r="L67" s="29">
        <v>13.608255193895101</v>
      </c>
      <c r="M67" s="57">
        <v>30</v>
      </c>
      <c r="N67" s="22">
        <v>1.7497226126998201E-2</v>
      </c>
      <c r="O67">
        <v>3</v>
      </c>
      <c r="P67" s="40" t="s">
        <v>28</v>
      </c>
      <c r="Q67" s="40" t="s">
        <v>28</v>
      </c>
      <c r="R67">
        <v>0.89999999999999991</v>
      </c>
      <c r="S67" s="40" t="s">
        <v>28</v>
      </c>
      <c r="T67" s="34" t="s">
        <v>28</v>
      </c>
      <c r="U67" s="30">
        <v>25.691292572241899</v>
      </c>
      <c r="V67" s="22">
        <v>1.7497226126998201E-2</v>
      </c>
      <c r="W67" s="40" t="s">
        <v>28</v>
      </c>
      <c r="X67" s="40" t="s">
        <v>28</v>
      </c>
      <c r="Y67" s="29">
        <v>0.80704087560890803</v>
      </c>
      <c r="Z67" s="35">
        <v>0.58954711188823605</v>
      </c>
      <c r="AB67" s="29"/>
    </row>
    <row r="68" spans="2:28" x14ac:dyDescent="0.3">
      <c r="B68" s="49">
        <v>37</v>
      </c>
      <c r="C68" s="5" t="s">
        <v>60</v>
      </c>
      <c r="D68">
        <v>0.5</v>
      </c>
      <c r="E68">
        <v>4.0000000000000001E-3</v>
      </c>
      <c r="F68">
        <v>0.5</v>
      </c>
      <c r="G68">
        <v>1</v>
      </c>
      <c r="H68">
        <v>0.3</v>
      </c>
      <c r="I68" s="31">
        <v>1481.1503539322</v>
      </c>
      <c r="J68" s="29">
        <v>4.12</v>
      </c>
      <c r="K68" s="29">
        <v>13.6195743264479</v>
      </c>
      <c r="L68" s="29">
        <v>13.6195743264479</v>
      </c>
      <c r="M68" s="57">
        <v>30</v>
      </c>
      <c r="N68" s="22">
        <v>1.8884033209594999E-2</v>
      </c>
      <c r="O68">
        <v>3</v>
      </c>
      <c r="P68" s="40" t="s">
        <v>28</v>
      </c>
      <c r="Q68" s="40" t="s">
        <v>28</v>
      </c>
      <c r="R68">
        <v>0.89999999999999991</v>
      </c>
      <c r="S68" s="40" t="s">
        <v>28</v>
      </c>
      <c r="T68" s="34" t="s">
        <v>28</v>
      </c>
      <c r="U68" s="30">
        <v>26.377308256382602</v>
      </c>
      <c r="V68" s="22">
        <v>1.8884033209594999E-2</v>
      </c>
      <c r="W68" s="40" t="s">
        <v>28</v>
      </c>
      <c r="X68" s="40" t="s">
        <v>28</v>
      </c>
      <c r="Y68" s="29">
        <v>0.80211100724696605</v>
      </c>
      <c r="Z68" s="35">
        <v>0.59447061181600502</v>
      </c>
      <c r="AB68" s="29"/>
    </row>
    <row r="69" spans="2:28" x14ac:dyDescent="0.3">
      <c r="B69" s="49">
        <v>38</v>
      </c>
      <c r="C69" s="5" t="s">
        <v>61</v>
      </c>
      <c r="D69">
        <v>0.5</v>
      </c>
      <c r="E69">
        <v>4.0000000000000001E-3</v>
      </c>
      <c r="F69">
        <v>0.5</v>
      </c>
      <c r="G69">
        <v>1</v>
      </c>
      <c r="H69">
        <v>0.3</v>
      </c>
      <c r="I69" s="31">
        <v>1522.72820517419</v>
      </c>
      <c r="J69" s="29">
        <v>4.12</v>
      </c>
      <c r="K69" s="29">
        <v>13.529420605275501</v>
      </c>
      <c r="L69" s="29">
        <v>13.529420605275501</v>
      </c>
      <c r="M69" s="57">
        <v>30</v>
      </c>
      <c r="N69" s="22">
        <v>7.9551338500036695E-3</v>
      </c>
      <c r="O69">
        <v>3</v>
      </c>
      <c r="P69" s="40" t="s">
        <v>28</v>
      </c>
      <c r="Q69" s="40" t="s">
        <v>28</v>
      </c>
      <c r="R69">
        <v>0.89999999999999991</v>
      </c>
      <c r="S69" s="40" t="s">
        <v>28</v>
      </c>
      <c r="T69" s="34" t="s">
        <v>28</v>
      </c>
      <c r="U69" s="30">
        <v>21.005277039078699</v>
      </c>
      <c r="V69" s="22">
        <v>7.9551338500036695E-3</v>
      </c>
      <c r="W69" s="40" t="s">
        <v>28</v>
      </c>
      <c r="X69" s="40" t="s">
        <v>28</v>
      </c>
      <c r="Y69" s="29">
        <v>0.74986681814841205</v>
      </c>
      <c r="Z69" s="35">
        <v>0.464793654069873</v>
      </c>
      <c r="AB69" s="29"/>
    </row>
    <row r="70" spans="2:28" x14ac:dyDescent="0.3">
      <c r="B70" s="49">
        <v>39</v>
      </c>
      <c r="C70" s="5" t="s">
        <v>61</v>
      </c>
      <c r="D70">
        <v>0.5</v>
      </c>
      <c r="E70">
        <v>4.0000000000000001E-3</v>
      </c>
      <c r="F70">
        <v>0.5</v>
      </c>
      <c r="G70">
        <v>1</v>
      </c>
      <c r="H70">
        <v>0.3</v>
      </c>
      <c r="I70" s="31">
        <v>1517.2495743260799</v>
      </c>
      <c r="J70" s="29">
        <v>4.12</v>
      </c>
      <c r="K70" s="29">
        <v>13.5417798197756</v>
      </c>
      <c r="L70" s="29">
        <v>13.5417798197756</v>
      </c>
      <c r="M70" s="57">
        <v>30</v>
      </c>
      <c r="N70" s="22">
        <v>9.3008168727461895E-3</v>
      </c>
      <c r="O70">
        <v>3</v>
      </c>
      <c r="P70" s="40" t="s">
        <v>28</v>
      </c>
      <c r="Q70" s="40" t="s">
        <v>28</v>
      </c>
      <c r="R70">
        <v>0.89999999999999991</v>
      </c>
      <c r="S70" s="40" t="s">
        <v>28</v>
      </c>
      <c r="T70" s="34" t="s">
        <v>28</v>
      </c>
      <c r="U70" s="30">
        <v>21.722954957691499</v>
      </c>
      <c r="V70" s="22">
        <v>9.3008168727461895E-3</v>
      </c>
      <c r="W70" s="40" t="s">
        <v>28</v>
      </c>
      <c r="X70" s="40" t="s">
        <v>28</v>
      </c>
      <c r="Y70" s="29">
        <v>0.75656809864284802</v>
      </c>
      <c r="Z70" s="35">
        <v>0.48492628691153999</v>
      </c>
      <c r="AB70" s="29"/>
    </row>
    <row r="71" spans="2:28" x14ac:dyDescent="0.3">
      <c r="B71" s="49">
        <v>40</v>
      </c>
      <c r="C71" s="5" t="s">
        <v>61</v>
      </c>
      <c r="D71">
        <v>0.5</v>
      </c>
      <c r="E71">
        <v>4.0000000000000001E-3</v>
      </c>
      <c r="F71">
        <v>0.5</v>
      </c>
      <c r="G71">
        <v>1</v>
      </c>
      <c r="H71">
        <v>0.3</v>
      </c>
      <c r="I71" s="31">
        <v>1506.3160882954101</v>
      </c>
      <c r="J71" s="29">
        <v>4.12</v>
      </c>
      <c r="K71" s="29">
        <v>13.5664951870974</v>
      </c>
      <c r="L71" s="29">
        <v>13.5664951870974</v>
      </c>
      <c r="M71" s="57">
        <v>30</v>
      </c>
      <c r="N71" s="22">
        <v>1.2009505980892199E-2</v>
      </c>
      <c r="O71">
        <v>3</v>
      </c>
      <c r="P71" s="40" t="s">
        <v>28</v>
      </c>
      <c r="Q71" s="40" t="s">
        <v>28</v>
      </c>
      <c r="R71">
        <v>0.89999999999999991</v>
      </c>
      <c r="S71" s="40" t="s">
        <v>28</v>
      </c>
      <c r="T71" s="34" t="s">
        <v>28</v>
      </c>
      <c r="U71" s="30">
        <v>23.168865024052199</v>
      </c>
      <c r="V71" s="22">
        <v>1.2009505980892199E-2</v>
      </c>
      <c r="W71" s="40" t="s">
        <v>28</v>
      </c>
      <c r="X71" s="40" t="s">
        <v>28</v>
      </c>
      <c r="Y71" s="29">
        <v>0.75895589284460796</v>
      </c>
      <c r="Z71" s="35">
        <v>0.51395461452950797</v>
      </c>
      <c r="AB71" s="29"/>
    </row>
    <row r="72" spans="2:28" x14ac:dyDescent="0.3">
      <c r="B72" s="49">
        <v>41</v>
      </c>
      <c r="C72" s="5" t="s">
        <v>61</v>
      </c>
      <c r="D72">
        <v>0.5</v>
      </c>
      <c r="E72">
        <v>4.0000000000000001E-3</v>
      </c>
      <c r="F72">
        <v>0.5</v>
      </c>
      <c r="G72">
        <v>1</v>
      </c>
      <c r="H72">
        <v>0.3</v>
      </c>
      <c r="I72" s="31">
        <v>1495.47684545367</v>
      </c>
      <c r="J72" s="29">
        <v>4.12</v>
      </c>
      <c r="K72" s="29">
        <v>13.590940045117399</v>
      </c>
      <c r="L72" s="29">
        <v>13.590940045117399</v>
      </c>
      <c r="M72" s="57">
        <v>30</v>
      </c>
      <c r="N72" s="22">
        <v>1.4741541352482301E-2</v>
      </c>
      <c r="O72">
        <v>3</v>
      </c>
      <c r="P72" s="40" t="s">
        <v>28</v>
      </c>
      <c r="Q72" s="40" t="s">
        <v>28</v>
      </c>
      <c r="R72">
        <v>0.89999999999999991</v>
      </c>
      <c r="S72" s="40" t="s">
        <v>28</v>
      </c>
      <c r="T72" s="34" t="s">
        <v>28</v>
      </c>
      <c r="U72" s="30">
        <v>24.614775392367701</v>
      </c>
      <c r="V72" s="22">
        <v>1.4741541352482301E-2</v>
      </c>
      <c r="W72" s="40" t="s">
        <v>28</v>
      </c>
      <c r="X72" s="40" t="s">
        <v>28</v>
      </c>
      <c r="Y72" s="29">
        <v>0.75990727845494399</v>
      </c>
      <c r="Z72" s="35">
        <v>0.53652698255673303</v>
      </c>
      <c r="AB72" s="29"/>
    </row>
    <row r="73" spans="2:28" x14ac:dyDescent="0.3">
      <c r="B73" s="49">
        <v>42</v>
      </c>
      <c r="C73" s="5" t="s">
        <v>61</v>
      </c>
      <c r="D73">
        <v>0.5</v>
      </c>
      <c r="E73">
        <v>4.0000000000000001E-3</v>
      </c>
      <c r="F73">
        <v>0.5</v>
      </c>
      <c r="G73">
        <v>1</v>
      </c>
      <c r="H73">
        <v>0.3</v>
      </c>
      <c r="I73" s="31">
        <v>1485.60289938455</v>
      </c>
      <c r="J73" s="29">
        <v>4.12</v>
      </c>
      <c r="K73" s="29">
        <v>13.6113908105301</v>
      </c>
      <c r="L73" s="29">
        <v>13.6113908105301</v>
      </c>
      <c r="M73" s="57">
        <v>30</v>
      </c>
      <c r="N73" s="22">
        <v>1.7497226126998201E-2</v>
      </c>
      <c r="O73">
        <v>3</v>
      </c>
      <c r="P73" s="40" t="s">
        <v>28</v>
      </c>
      <c r="Q73" s="40" t="s">
        <v>28</v>
      </c>
      <c r="R73">
        <v>0.89999999999999991</v>
      </c>
      <c r="S73" s="40" t="s">
        <v>28</v>
      </c>
      <c r="T73" s="34" t="s">
        <v>28</v>
      </c>
      <c r="U73" s="30">
        <v>25.860157973737699</v>
      </c>
      <c r="V73" s="22">
        <v>1.7497226126998201E-2</v>
      </c>
      <c r="W73" s="40" t="s">
        <v>28</v>
      </c>
      <c r="X73" s="40" t="s">
        <v>28</v>
      </c>
      <c r="Y73" s="29">
        <v>0.76950409069686598</v>
      </c>
      <c r="Z73" s="35">
        <v>0.56212631598645801</v>
      </c>
      <c r="AB73" s="29"/>
    </row>
    <row r="74" spans="2:28" x14ac:dyDescent="0.3">
      <c r="B74" s="49">
        <v>43</v>
      </c>
      <c r="C74" s="5" t="s">
        <v>61</v>
      </c>
      <c r="D74">
        <v>0.5</v>
      </c>
      <c r="E74">
        <v>4.0000000000000001E-3</v>
      </c>
      <c r="F74">
        <v>0.5</v>
      </c>
      <c r="G74">
        <v>1</v>
      </c>
      <c r="H74">
        <v>0.3</v>
      </c>
      <c r="I74" s="31">
        <v>1480.9217733294499</v>
      </c>
      <c r="J74" s="29">
        <v>4.12</v>
      </c>
      <c r="K74" s="29">
        <v>13.6205516822096</v>
      </c>
      <c r="L74" s="29">
        <v>13.6205516822096</v>
      </c>
      <c r="M74" s="57">
        <v>30</v>
      </c>
      <c r="N74" s="22">
        <v>1.8884033209594999E-2</v>
      </c>
      <c r="O74">
        <v>3</v>
      </c>
      <c r="P74" s="40" t="s">
        <v>28</v>
      </c>
      <c r="Q74" s="40" t="s">
        <v>28</v>
      </c>
      <c r="R74">
        <v>0.89999999999999991</v>
      </c>
      <c r="S74" s="40" t="s">
        <v>28</v>
      </c>
      <c r="T74" s="34" t="s">
        <v>28</v>
      </c>
      <c r="U74" s="30">
        <v>26.430078798147001</v>
      </c>
      <c r="V74" s="22">
        <v>1.8884033209594999E-2</v>
      </c>
      <c r="W74" s="40" t="s">
        <v>28</v>
      </c>
      <c r="X74" s="40" t="s">
        <v>28</v>
      </c>
      <c r="Y74" s="29">
        <v>0.80211100724696605</v>
      </c>
      <c r="Z74" s="35">
        <v>0.59447061181600502</v>
      </c>
      <c r="AB74" s="29"/>
    </row>
    <row r="75" spans="2:28" x14ac:dyDescent="0.3">
      <c r="B75" s="49">
        <v>44</v>
      </c>
      <c r="C75" s="5" t="s">
        <v>62</v>
      </c>
      <c r="D75">
        <v>0.5</v>
      </c>
      <c r="E75">
        <v>4.0000000000000001E-3</v>
      </c>
      <c r="F75">
        <v>0.5</v>
      </c>
      <c r="G75">
        <v>1</v>
      </c>
      <c r="H75">
        <v>1</v>
      </c>
      <c r="I75" s="31">
        <v>1523.4448591553601</v>
      </c>
      <c r="J75" s="29">
        <v>4.12</v>
      </c>
      <c r="K75" s="29">
        <v>13.5264273234716</v>
      </c>
      <c r="L75" s="29">
        <v>13.5264273234716</v>
      </c>
      <c r="M75" s="57">
        <v>30</v>
      </c>
      <c r="N75" s="22">
        <v>7.9551338500036695E-3</v>
      </c>
      <c r="O75">
        <v>3</v>
      </c>
      <c r="P75" s="40" t="s">
        <v>28</v>
      </c>
      <c r="Q75" s="40" t="s">
        <v>28</v>
      </c>
      <c r="R75">
        <v>3</v>
      </c>
      <c r="S75" s="40" t="s">
        <v>28</v>
      </c>
      <c r="T75" s="34" t="s">
        <v>28</v>
      </c>
      <c r="U75" s="30">
        <v>20.8469657157402</v>
      </c>
      <c r="V75" s="22">
        <v>7.9551338500036695E-3</v>
      </c>
      <c r="W75" s="40" t="s">
        <v>28</v>
      </c>
      <c r="X75" s="40" t="s">
        <v>28</v>
      </c>
      <c r="Y75" s="29">
        <v>0.76653052521837695</v>
      </c>
      <c r="Z75" s="35">
        <v>0.47512240193809202</v>
      </c>
      <c r="AB75" s="29"/>
    </row>
    <row r="76" spans="2:28" x14ac:dyDescent="0.3">
      <c r="B76" s="49">
        <v>45</v>
      </c>
      <c r="C76" s="5" t="s">
        <v>62</v>
      </c>
      <c r="D76">
        <v>0.5</v>
      </c>
      <c r="E76">
        <v>4.0000000000000001E-3</v>
      </c>
      <c r="F76">
        <v>0.5</v>
      </c>
      <c r="G76">
        <v>1</v>
      </c>
      <c r="H76">
        <v>1</v>
      </c>
      <c r="I76" s="31">
        <v>1517.8671225461601</v>
      </c>
      <c r="J76" s="29">
        <v>4.12</v>
      </c>
      <c r="K76" s="29">
        <v>13.539192322239501</v>
      </c>
      <c r="L76" s="29">
        <v>13.539192322239501</v>
      </c>
      <c r="M76" s="57">
        <v>30</v>
      </c>
      <c r="N76" s="22">
        <v>9.3008168727461895E-3</v>
      </c>
      <c r="O76">
        <v>3</v>
      </c>
      <c r="P76" s="40" t="s">
        <v>28</v>
      </c>
      <c r="Q76" s="40" t="s">
        <v>28</v>
      </c>
      <c r="R76">
        <v>3</v>
      </c>
      <c r="S76" s="40" t="s">
        <v>28</v>
      </c>
      <c r="T76" s="34" t="s">
        <v>28</v>
      </c>
      <c r="U76" s="30">
        <v>21.585752092622801</v>
      </c>
      <c r="V76" s="22">
        <v>9.3008168727461895E-3</v>
      </c>
      <c r="W76" s="40" t="s">
        <v>28</v>
      </c>
      <c r="X76" s="40" t="s">
        <v>28</v>
      </c>
      <c r="Y76" s="29">
        <v>0.76568337693974997</v>
      </c>
      <c r="Z76" s="35">
        <v>0.49076877229601701</v>
      </c>
      <c r="AB76" s="29"/>
    </row>
    <row r="77" spans="2:28" x14ac:dyDescent="0.3">
      <c r="B77" s="49">
        <v>46</v>
      </c>
      <c r="C77" s="5" t="s">
        <v>62</v>
      </c>
      <c r="D77">
        <v>0.5</v>
      </c>
      <c r="E77">
        <v>4.0000000000000001E-3</v>
      </c>
      <c r="F77">
        <v>0.5</v>
      </c>
      <c r="G77">
        <v>1</v>
      </c>
      <c r="H77">
        <v>1</v>
      </c>
      <c r="I77" s="31">
        <v>1507.1145761770299</v>
      </c>
      <c r="J77" s="29">
        <v>4.12</v>
      </c>
      <c r="K77" s="29">
        <v>13.5631289571709</v>
      </c>
      <c r="L77" s="29">
        <v>13.5631289571709</v>
      </c>
      <c r="M77" s="57">
        <v>30</v>
      </c>
      <c r="N77" s="22">
        <v>1.2009505980892199E-2</v>
      </c>
      <c r="O77">
        <v>3</v>
      </c>
      <c r="P77" s="40" t="s">
        <v>28</v>
      </c>
      <c r="Q77" s="40" t="s">
        <v>28</v>
      </c>
      <c r="R77">
        <v>3</v>
      </c>
      <c r="S77" s="40" t="s">
        <v>28</v>
      </c>
      <c r="T77" s="34" t="s">
        <v>28</v>
      </c>
      <c r="U77" s="30">
        <v>22.989445846353799</v>
      </c>
      <c r="V77" s="22">
        <v>1.2009505980892199E-2</v>
      </c>
      <c r="W77" s="40" t="s">
        <v>28</v>
      </c>
      <c r="X77" s="40" t="s">
        <v>28</v>
      </c>
      <c r="Y77" s="29">
        <v>0.78127812498709703</v>
      </c>
      <c r="Z77" s="35">
        <v>0.52907092672155298</v>
      </c>
      <c r="AB77" s="29"/>
    </row>
    <row r="78" spans="2:28" x14ac:dyDescent="0.3">
      <c r="B78" s="49">
        <v>47</v>
      </c>
      <c r="C78" s="5" t="s">
        <v>62</v>
      </c>
      <c r="D78">
        <v>0.5</v>
      </c>
      <c r="E78">
        <v>4.0000000000000001E-3</v>
      </c>
      <c r="F78">
        <v>0.5</v>
      </c>
      <c r="G78">
        <v>1</v>
      </c>
      <c r="H78">
        <v>1</v>
      </c>
      <c r="I78" s="31">
        <v>1496.3592152681199</v>
      </c>
      <c r="J78" s="29">
        <v>4.12</v>
      </c>
      <c r="K78" s="29">
        <v>13.5871973123431</v>
      </c>
      <c r="L78" s="29">
        <v>13.5871973123431</v>
      </c>
      <c r="M78" s="57">
        <v>30</v>
      </c>
      <c r="N78" s="22">
        <v>1.4741541352482301E-2</v>
      </c>
      <c r="O78">
        <v>3</v>
      </c>
      <c r="P78" s="40" t="s">
        <v>28</v>
      </c>
      <c r="Q78" s="40" t="s">
        <v>28</v>
      </c>
      <c r="R78">
        <v>3</v>
      </c>
      <c r="S78" s="40" t="s">
        <v>28</v>
      </c>
      <c r="T78" s="34" t="s">
        <v>28</v>
      </c>
      <c r="U78" s="30">
        <v>24.4142477563997</v>
      </c>
      <c r="V78" s="22">
        <v>1.4741541352482301E-2</v>
      </c>
      <c r="W78" s="40" t="s">
        <v>28</v>
      </c>
      <c r="X78" s="40" t="s">
        <v>28</v>
      </c>
      <c r="Y78" s="29">
        <v>0.78805199247179503</v>
      </c>
      <c r="Z78" s="35">
        <v>0.55639835228105605</v>
      </c>
      <c r="AB78" s="29"/>
    </row>
    <row r="79" spans="2:28" x14ac:dyDescent="0.3">
      <c r="B79" s="49">
        <v>48</v>
      </c>
      <c r="C79" s="5" t="s">
        <v>62</v>
      </c>
      <c r="D79">
        <v>0.5</v>
      </c>
      <c r="E79">
        <v>4.0000000000000001E-3</v>
      </c>
      <c r="F79">
        <v>0.5</v>
      </c>
      <c r="G79">
        <v>1</v>
      </c>
      <c r="H79">
        <v>1</v>
      </c>
      <c r="I79" s="31">
        <v>1486.33819160391</v>
      </c>
      <c r="J79" s="29">
        <v>4.12</v>
      </c>
      <c r="K79" s="29">
        <v>13.608255193895101</v>
      </c>
      <c r="L79" s="29">
        <v>13.608255193895101</v>
      </c>
      <c r="M79" s="57">
        <v>30</v>
      </c>
      <c r="N79" s="22">
        <v>1.7497226126998201E-2</v>
      </c>
      <c r="O79">
        <v>3</v>
      </c>
      <c r="P79" s="40" t="s">
        <v>28</v>
      </c>
      <c r="Q79" s="40" t="s">
        <v>28</v>
      </c>
      <c r="R79">
        <v>3</v>
      </c>
      <c r="S79" s="40" t="s">
        <v>28</v>
      </c>
      <c r="T79" s="34" t="s">
        <v>28</v>
      </c>
      <c r="U79" s="30">
        <v>25.691292572241899</v>
      </c>
      <c r="V79" s="22">
        <v>1.7497226126998201E-2</v>
      </c>
      <c r="W79" s="40" t="s">
        <v>28</v>
      </c>
      <c r="X79" s="40" t="s">
        <v>28</v>
      </c>
      <c r="Y79" s="29">
        <v>0.80704087560890803</v>
      </c>
      <c r="Z79" s="35">
        <v>0.58954711188823605</v>
      </c>
      <c r="AB79" s="29"/>
    </row>
    <row r="80" spans="2:28" x14ac:dyDescent="0.3">
      <c r="B80" s="49">
        <v>49</v>
      </c>
      <c r="C80" s="5" t="s">
        <v>62</v>
      </c>
      <c r="D80">
        <v>0.5</v>
      </c>
      <c r="E80">
        <v>4.0000000000000001E-3</v>
      </c>
      <c r="F80">
        <v>0.5</v>
      </c>
      <c r="G80">
        <v>1</v>
      </c>
      <c r="H80">
        <v>1</v>
      </c>
      <c r="I80" s="31">
        <v>1481.1503539322</v>
      </c>
      <c r="J80" s="29">
        <v>4.12</v>
      </c>
      <c r="K80" s="29">
        <v>13.6195743264479</v>
      </c>
      <c r="L80" s="29">
        <v>13.6195743264479</v>
      </c>
      <c r="M80" s="57">
        <v>30</v>
      </c>
      <c r="N80" s="22">
        <v>1.8884033209594999E-2</v>
      </c>
      <c r="O80">
        <v>3</v>
      </c>
      <c r="P80" s="40" t="s">
        <v>28</v>
      </c>
      <c r="Q80" s="40" t="s">
        <v>28</v>
      </c>
      <c r="R80">
        <v>3</v>
      </c>
      <c r="S80" s="40" t="s">
        <v>28</v>
      </c>
      <c r="T80" s="34" t="s">
        <v>28</v>
      </c>
      <c r="U80" s="30">
        <v>26.377308256382602</v>
      </c>
      <c r="V80" s="22">
        <v>1.8884033209594999E-2</v>
      </c>
      <c r="W80" s="40" t="s">
        <v>28</v>
      </c>
      <c r="X80" s="40" t="s">
        <v>28</v>
      </c>
      <c r="Y80" s="29">
        <v>0.80211100724696605</v>
      </c>
      <c r="Z80" s="35">
        <v>0.59447061181600502</v>
      </c>
      <c r="AB80" s="29"/>
    </row>
    <row r="81" spans="2:28" x14ac:dyDescent="0.3">
      <c r="B81" s="49">
        <v>50</v>
      </c>
      <c r="C81" s="5" t="s">
        <v>63</v>
      </c>
      <c r="D81">
        <v>0.5</v>
      </c>
      <c r="E81">
        <v>4.0000000000000001E-3</v>
      </c>
      <c r="F81">
        <v>0.5</v>
      </c>
      <c r="G81">
        <v>1</v>
      </c>
      <c r="H81">
        <v>1</v>
      </c>
      <c r="I81" s="31">
        <v>1520.62916182035</v>
      </c>
      <c r="J81" s="29">
        <v>4.12</v>
      </c>
      <c r="K81" s="29">
        <v>13.5381993547914</v>
      </c>
      <c r="L81" s="29">
        <v>13.5381993547914</v>
      </c>
      <c r="M81" s="57">
        <v>30</v>
      </c>
      <c r="N81" s="22">
        <v>7.9551338500036695E-3</v>
      </c>
      <c r="O81">
        <v>3</v>
      </c>
      <c r="P81" s="40" t="s">
        <v>28</v>
      </c>
      <c r="Q81" s="40" t="s">
        <v>28</v>
      </c>
      <c r="R81">
        <v>3</v>
      </c>
      <c r="S81" s="40" t="s">
        <v>28</v>
      </c>
      <c r="T81" s="34" t="s">
        <v>28</v>
      </c>
      <c r="U81" s="30">
        <v>21.4696564780042</v>
      </c>
      <c r="V81" s="22">
        <v>7.9551338500036695E-3</v>
      </c>
      <c r="W81" s="40" t="s">
        <v>28</v>
      </c>
      <c r="X81" s="40" t="s">
        <v>28</v>
      </c>
      <c r="Y81" s="29">
        <v>0.70820755047350104</v>
      </c>
      <c r="Z81" s="35">
        <v>0.43897178439932399</v>
      </c>
      <c r="AB81" s="29"/>
    </row>
    <row r="82" spans="2:28" x14ac:dyDescent="0.3">
      <c r="B82" s="49">
        <v>51</v>
      </c>
      <c r="C82" s="5" t="s">
        <v>63</v>
      </c>
      <c r="D82">
        <v>0.5</v>
      </c>
      <c r="E82">
        <v>4.0000000000000001E-3</v>
      </c>
      <c r="F82">
        <v>0.5</v>
      </c>
      <c r="G82">
        <v>1</v>
      </c>
      <c r="H82">
        <v>1</v>
      </c>
      <c r="I82" s="31">
        <v>1515.3045761308599</v>
      </c>
      <c r="J82" s="29">
        <v>4.12</v>
      </c>
      <c r="K82" s="29">
        <v>13.5499390938591</v>
      </c>
      <c r="L82" s="29">
        <v>13.5499390938591</v>
      </c>
      <c r="M82" s="57">
        <v>30</v>
      </c>
      <c r="N82" s="22">
        <v>9.3008168727461895E-3</v>
      </c>
      <c r="O82">
        <v>3</v>
      </c>
      <c r="P82" s="40" t="s">
        <v>28</v>
      </c>
      <c r="Q82" s="40" t="s">
        <v>28</v>
      </c>
      <c r="R82">
        <v>3</v>
      </c>
      <c r="S82" s="40" t="s">
        <v>28</v>
      </c>
      <c r="T82" s="34" t="s">
        <v>28</v>
      </c>
      <c r="U82" s="30">
        <v>22.155672615077201</v>
      </c>
      <c r="V82" s="22">
        <v>9.3008168727461895E-3</v>
      </c>
      <c r="W82" s="40" t="s">
        <v>28</v>
      </c>
      <c r="X82" s="40" t="s">
        <v>28</v>
      </c>
      <c r="Y82" s="29">
        <v>0.71099170715833904</v>
      </c>
      <c r="Z82" s="35">
        <v>0.45571385998915798</v>
      </c>
      <c r="AB82" s="29"/>
    </row>
    <row r="83" spans="2:28" x14ac:dyDescent="0.3">
      <c r="B83" s="49">
        <v>52</v>
      </c>
      <c r="C83" s="5" t="s">
        <v>63</v>
      </c>
      <c r="D83">
        <v>0.5</v>
      </c>
      <c r="E83">
        <v>4.0000000000000001E-3</v>
      </c>
      <c r="F83">
        <v>0.5</v>
      </c>
      <c r="G83">
        <v>1</v>
      </c>
      <c r="H83">
        <v>1</v>
      </c>
      <c r="I83" s="31">
        <v>1504.9086580588801</v>
      </c>
      <c r="J83" s="29">
        <v>4.12</v>
      </c>
      <c r="K83" s="29">
        <v>13.5724347636534</v>
      </c>
      <c r="L83" s="29">
        <v>13.5724347636534</v>
      </c>
      <c r="M83" s="57">
        <v>30</v>
      </c>
      <c r="N83" s="22">
        <v>1.2009505980892199E-2</v>
      </c>
      <c r="O83">
        <v>3</v>
      </c>
      <c r="P83" s="40" t="s">
        <v>28</v>
      </c>
      <c r="Q83" s="40" t="s">
        <v>28</v>
      </c>
      <c r="R83">
        <v>3</v>
      </c>
      <c r="S83" s="40" t="s">
        <v>28</v>
      </c>
      <c r="T83" s="34" t="s">
        <v>28</v>
      </c>
      <c r="U83" s="30">
        <v>23.485487670729</v>
      </c>
      <c r="V83" s="22">
        <v>1.2009505980892199E-2</v>
      </c>
      <c r="W83" s="40" t="s">
        <v>28</v>
      </c>
      <c r="X83" s="40" t="s">
        <v>28</v>
      </c>
      <c r="Y83" s="29">
        <v>0.72547254463087596</v>
      </c>
      <c r="Z83" s="35">
        <v>0.49128014624144201</v>
      </c>
      <c r="AB83" s="29"/>
    </row>
    <row r="84" spans="2:28" x14ac:dyDescent="0.3">
      <c r="B84" s="49">
        <v>53</v>
      </c>
      <c r="C84" s="5" t="s">
        <v>63</v>
      </c>
      <c r="D84">
        <v>0.5</v>
      </c>
      <c r="E84">
        <v>4.0000000000000001E-3</v>
      </c>
      <c r="F84">
        <v>0.5</v>
      </c>
      <c r="G84">
        <v>1</v>
      </c>
      <c r="H84">
        <v>1</v>
      </c>
      <c r="I84" s="31">
        <v>1494.6416936288799</v>
      </c>
      <c r="J84" s="29">
        <v>4.12</v>
      </c>
      <c r="K84" s="29">
        <v>13.5944853907955</v>
      </c>
      <c r="L84" s="29">
        <v>13.5944853907955</v>
      </c>
      <c r="M84" s="57">
        <v>30</v>
      </c>
      <c r="N84" s="22">
        <v>1.4741541352482301E-2</v>
      </c>
      <c r="O84">
        <v>3</v>
      </c>
      <c r="P84" s="40" t="s">
        <v>28</v>
      </c>
      <c r="Q84" s="40" t="s">
        <v>28</v>
      </c>
      <c r="R84">
        <v>3</v>
      </c>
      <c r="S84" s="40" t="s">
        <v>28</v>
      </c>
      <c r="T84" s="34" t="s">
        <v>28</v>
      </c>
      <c r="U84" s="30">
        <v>24.804748799200901</v>
      </c>
      <c r="V84" s="22">
        <v>1.4741541352482301E-2</v>
      </c>
      <c r="W84" s="40" t="s">
        <v>28</v>
      </c>
      <c r="X84" s="40" t="s">
        <v>28</v>
      </c>
      <c r="Y84" s="29">
        <v>0.73176256443809495</v>
      </c>
      <c r="Z84" s="35">
        <v>0.51665561283240902</v>
      </c>
      <c r="AB84" s="29"/>
    </row>
    <row r="85" spans="2:28" x14ac:dyDescent="0.3">
      <c r="B85" s="49">
        <v>54</v>
      </c>
      <c r="C85" s="5" t="s">
        <v>63</v>
      </c>
      <c r="D85">
        <v>0.5</v>
      </c>
      <c r="E85">
        <v>4.0000000000000001E-3</v>
      </c>
      <c r="F85">
        <v>0.5</v>
      </c>
      <c r="G85">
        <v>1</v>
      </c>
      <c r="H85">
        <v>1</v>
      </c>
      <c r="I85" s="31">
        <v>1485.0518167887501</v>
      </c>
      <c r="J85" s="29">
        <v>4.12</v>
      </c>
      <c r="K85" s="29">
        <v>13.613742321732801</v>
      </c>
      <c r="L85" s="29">
        <v>13.613742321732801</v>
      </c>
      <c r="M85" s="57">
        <v>30</v>
      </c>
      <c r="N85" s="22">
        <v>1.7497226126998201E-2</v>
      </c>
      <c r="O85">
        <v>3</v>
      </c>
      <c r="P85" s="40" t="s">
        <v>28</v>
      </c>
      <c r="Q85" s="40" t="s">
        <v>28</v>
      </c>
      <c r="R85">
        <v>3</v>
      </c>
      <c r="S85" s="40" t="s">
        <v>28</v>
      </c>
      <c r="T85" s="34" t="s">
        <v>28</v>
      </c>
      <c r="U85" s="30">
        <v>25.986807062604001</v>
      </c>
      <c r="V85" s="22">
        <v>1.7497226126998201E-2</v>
      </c>
      <c r="W85" s="40" t="s">
        <v>28</v>
      </c>
      <c r="X85" s="40" t="s">
        <v>28</v>
      </c>
      <c r="Y85" s="29">
        <v>0.75073569824084496</v>
      </c>
      <c r="Z85" s="35">
        <v>0.54841591803556899</v>
      </c>
      <c r="AB85" s="29"/>
    </row>
    <row r="86" spans="2:28" x14ac:dyDescent="0.3">
      <c r="B86" s="49">
        <v>55</v>
      </c>
      <c r="C86" s="5" t="s">
        <v>63</v>
      </c>
      <c r="D86">
        <v>0.5</v>
      </c>
      <c r="E86">
        <v>4.0000000000000001E-3</v>
      </c>
      <c r="F86">
        <v>0.5</v>
      </c>
      <c r="G86">
        <v>1</v>
      </c>
      <c r="H86">
        <v>1</v>
      </c>
      <c r="I86" s="31">
        <v>1480.23637648611</v>
      </c>
      <c r="J86" s="29">
        <v>4.12</v>
      </c>
      <c r="K86" s="29">
        <v>13.6234835603659</v>
      </c>
      <c r="L86" s="29">
        <v>13.6234835603659</v>
      </c>
      <c r="M86" s="57">
        <v>30</v>
      </c>
      <c r="N86" s="22">
        <v>1.8884033209594999E-2</v>
      </c>
      <c r="O86">
        <v>3</v>
      </c>
      <c r="P86" s="40" t="s">
        <v>28</v>
      </c>
      <c r="Q86" s="40" t="s">
        <v>28</v>
      </c>
      <c r="R86">
        <v>3</v>
      </c>
      <c r="S86" s="40" t="s">
        <v>28</v>
      </c>
      <c r="T86" s="34" t="s">
        <v>28</v>
      </c>
      <c r="U86" s="30">
        <v>26.588389970508</v>
      </c>
      <c r="V86" s="22">
        <v>1.8884033209594999E-2</v>
      </c>
      <c r="W86" s="40" t="s">
        <v>28</v>
      </c>
      <c r="X86" s="40" t="s">
        <v>28</v>
      </c>
      <c r="Y86" s="29">
        <v>0.757549284622134</v>
      </c>
      <c r="Z86" s="35">
        <v>0.56144446671511605</v>
      </c>
      <c r="AB86" s="29"/>
    </row>
    <row r="87" spans="2:28" x14ac:dyDescent="0.3">
      <c r="B87" s="49">
        <v>56</v>
      </c>
      <c r="C87" s="5" t="s">
        <v>59</v>
      </c>
      <c r="D87">
        <v>0.5</v>
      </c>
      <c r="E87">
        <v>4.0000000000000001E-3</v>
      </c>
      <c r="F87">
        <v>0.5</v>
      </c>
      <c r="G87">
        <v>1</v>
      </c>
      <c r="H87">
        <v>1</v>
      </c>
      <c r="I87" s="31">
        <v>1009.53664018392</v>
      </c>
      <c r="J87" s="29">
        <v>4.12</v>
      </c>
      <c r="K87" s="29">
        <v>13.5256829751729</v>
      </c>
      <c r="L87" s="29">
        <v>13.5256829751729</v>
      </c>
      <c r="M87" s="57">
        <v>30</v>
      </c>
      <c r="N87" s="22">
        <v>1.2E-2</v>
      </c>
      <c r="O87" s="31">
        <v>1.9976906987291501</v>
      </c>
      <c r="P87" s="40" t="s">
        <v>28</v>
      </c>
      <c r="Q87" s="40" t="s">
        <v>28</v>
      </c>
      <c r="R87" s="31">
        <v>1.9976906987291501</v>
      </c>
      <c r="S87" s="40" t="s">
        <v>28</v>
      </c>
      <c r="T87" s="34" t="s">
        <v>28</v>
      </c>
      <c r="U87" s="30">
        <v>20.994382028341299</v>
      </c>
      <c r="V87" s="22">
        <v>1.2E-2</v>
      </c>
      <c r="W87" s="40" t="s">
        <v>28</v>
      </c>
      <c r="X87" s="40" t="s">
        <v>28</v>
      </c>
      <c r="Y87" s="29">
        <v>1.00526211726037</v>
      </c>
      <c r="Z87" s="35">
        <v>0.680863334756312</v>
      </c>
      <c r="AB87" s="31"/>
    </row>
    <row r="88" spans="2:28" x14ac:dyDescent="0.3">
      <c r="B88" s="49">
        <v>57</v>
      </c>
      <c r="C88" s="5" t="s">
        <v>59</v>
      </c>
      <c r="D88">
        <v>0.5</v>
      </c>
      <c r="E88">
        <v>4.0000000000000001E-3</v>
      </c>
      <c r="F88">
        <v>0.5</v>
      </c>
      <c r="G88">
        <v>1</v>
      </c>
      <c r="H88">
        <v>1</v>
      </c>
      <c r="I88" s="31">
        <v>1512.96748420722</v>
      </c>
      <c r="J88" s="29">
        <v>4.12</v>
      </c>
      <c r="K88" s="29">
        <v>13.548364230647501</v>
      </c>
      <c r="L88" s="29">
        <v>13.548364230647501</v>
      </c>
      <c r="M88" s="57">
        <v>30</v>
      </c>
      <c r="N88" s="22">
        <v>1.2E-2</v>
      </c>
      <c r="O88" s="31">
        <v>3.0046188668394098</v>
      </c>
      <c r="P88" s="40" t="s">
        <v>28</v>
      </c>
      <c r="Q88" s="40" t="s">
        <v>28</v>
      </c>
      <c r="R88" s="31">
        <v>3.0046188668394098</v>
      </c>
      <c r="S88" s="40" t="s">
        <v>28</v>
      </c>
      <c r="T88" s="34" t="s">
        <v>28</v>
      </c>
      <c r="U88" s="30">
        <v>22.2022473011756</v>
      </c>
      <c r="V88" s="22">
        <v>1.2E-2</v>
      </c>
      <c r="W88" s="40" t="s">
        <v>28</v>
      </c>
      <c r="X88" s="40" t="s">
        <v>28</v>
      </c>
      <c r="Y88" s="29">
        <v>0.87122716829231905</v>
      </c>
      <c r="Z88" s="35">
        <v>0.59008155678880403</v>
      </c>
      <c r="AB88" s="31"/>
    </row>
    <row r="89" spans="2:28" x14ac:dyDescent="0.3">
      <c r="B89" s="49">
        <v>58</v>
      </c>
      <c r="C89" s="5" t="s">
        <v>59</v>
      </c>
      <c r="D89">
        <v>0.5</v>
      </c>
      <c r="E89">
        <v>4.0000000000000001E-3</v>
      </c>
      <c r="F89">
        <v>0.5</v>
      </c>
      <c r="G89">
        <v>1</v>
      </c>
      <c r="H89">
        <v>1</v>
      </c>
      <c r="I89" s="31">
        <v>2013.1400275148801</v>
      </c>
      <c r="J89" s="29">
        <v>4.12</v>
      </c>
      <c r="K89" s="29">
        <v>13.5699759803866</v>
      </c>
      <c r="L89" s="29">
        <v>13.5699759803866</v>
      </c>
      <c r="M89" s="57">
        <v>30</v>
      </c>
      <c r="N89" s="22">
        <v>1.2E-2</v>
      </c>
      <c r="O89" s="31">
        <v>4.0115476956939498</v>
      </c>
      <c r="P89" s="40" t="s">
        <v>28</v>
      </c>
      <c r="Q89" s="40" t="s">
        <v>28</v>
      </c>
      <c r="R89" s="31">
        <v>4.0115476956939498</v>
      </c>
      <c r="S89" s="40" t="s">
        <v>28</v>
      </c>
      <c r="T89" s="34" t="s">
        <v>28</v>
      </c>
      <c r="U89" s="30">
        <v>23.3539325359598</v>
      </c>
      <c r="V89" s="22">
        <v>1.2E-2</v>
      </c>
      <c r="W89" s="40" t="s">
        <v>28</v>
      </c>
      <c r="X89" s="40" t="s">
        <v>28</v>
      </c>
      <c r="Y89" s="29">
        <v>0.73719221932427004</v>
      </c>
      <c r="Z89" s="35">
        <v>0.499299778821296</v>
      </c>
      <c r="AB89" s="31"/>
    </row>
    <row r="90" spans="2:28" x14ac:dyDescent="0.3">
      <c r="B90" s="49">
        <v>59</v>
      </c>
      <c r="C90" s="5" t="s">
        <v>59</v>
      </c>
      <c r="D90">
        <v>0.5</v>
      </c>
      <c r="E90">
        <v>4.0000000000000001E-3</v>
      </c>
      <c r="F90">
        <v>0.5</v>
      </c>
      <c r="G90">
        <v>1</v>
      </c>
      <c r="H90">
        <v>1</v>
      </c>
      <c r="I90" s="31">
        <v>2502.9927441687501</v>
      </c>
      <c r="J90" s="29">
        <v>11.571551677197</v>
      </c>
      <c r="K90" s="29">
        <v>38.1571218065435</v>
      </c>
      <c r="L90" s="29">
        <v>38.1571218065435</v>
      </c>
      <c r="M90" s="57">
        <v>30</v>
      </c>
      <c r="N90" s="22">
        <v>1.2E-2</v>
      </c>
      <c r="O90" s="31">
        <v>5</v>
      </c>
      <c r="P90" s="40" t="s">
        <v>28</v>
      </c>
      <c r="Q90" s="40" t="s">
        <v>28</v>
      </c>
      <c r="R90">
        <v>5</v>
      </c>
      <c r="S90" s="40" t="s">
        <v>28</v>
      </c>
      <c r="T90" s="34" t="s">
        <v>28</v>
      </c>
      <c r="U90" s="30">
        <v>24.191011036395</v>
      </c>
      <c r="V90" s="22">
        <v>1.2E-2</v>
      </c>
      <c r="W90" s="40" t="s">
        <v>28</v>
      </c>
      <c r="X90" s="40" t="s">
        <v>28</v>
      </c>
      <c r="Y90" s="29">
        <v>0.64783558667890395</v>
      </c>
      <c r="Z90" s="35">
        <v>0.438778593509624</v>
      </c>
      <c r="AB90" s="31"/>
    </row>
    <row r="91" spans="2:28" x14ac:dyDescent="0.3">
      <c r="B91" s="49">
        <v>60</v>
      </c>
      <c r="C91" s="5" t="s">
        <v>59</v>
      </c>
      <c r="D91">
        <v>0.5</v>
      </c>
      <c r="E91">
        <v>4.0000000000000001E-3</v>
      </c>
      <c r="F91">
        <v>0.5</v>
      </c>
      <c r="G91">
        <v>1</v>
      </c>
      <c r="H91">
        <v>1</v>
      </c>
      <c r="I91" s="31">
        <v>3002.3581136247299</v>
      </c>
      <c r="J91" s="29">
        <v>14.396663656785799</v>
      </c>
      <c r="K91" s="29">
        <v>47.524800154250599</v>
      </c>
      <c r="L91" s="29">
        <v>47.524800154250599</v>
      </c>
      <c r="M91" s="57">
        <v>30</v>
      </c>
      <c r="N91" s="22">
        <v>1.2E-2</v>
      </c>
      <c r="O91" s="31">
        <v>6.0115471670985201</v>
      </c>
      <c r="P91" s="40" t="s">
        <v>28</v>
      </c>
      <c r="Q91" s="40" t="s">
        <v>28</v>
      </c>
      <c r="R91" s="31">
        <v>6.0115471670985201</v>
      </c>
      <c r="S91" s="40" t="s">
        <v>28</v>
      </c>
      <c r="T91" s="34" t="s">
        <v>28</v>
      </c>
      <c r="U91" s="30">
        <v>24.983146004658099</v>
      </c>
      <c r="V91" s="22">
        <v>1.2E-2</v>
      </c>
      <c r="W91" s="40" t="s">
        <v>28</v>
      </c>
      <c r="X91" s="40" t="s">
        <v>28</v>
      </c>
      <c r="Y91" s="29">
        <v>0.55847895403353798</v>
      </c>
      <c r="Z91" s="35">
        <v>0.37825740819795101</v>
      </c>
      <c r="AB91" s="31"/>
    </row>
    <row r="92" spans="2:28" x14ac:dyDescent="0.3">
      <c r="B92" s="49">
        <v>61</v>
      </c>
      <c r="C92" s="5" t="s">
        <v>60</v>
      </c>
      <c r="D92">
        <v>0.5</v>
      </c>
      <c r="E92">
        <v>4.0000000000000001E-3</v>
      </c>
      <c r="F92">
        <v>0.5</v>
      </c>
      <c r="G92">
        <v>1</v>
      </c>
      <c r="H92">
        <v>0.3</v>
      </c>
      <c r="I92" s="31">
        <v>1009.96899911938</v>
      </c>
      <c r="J92" s="29">
        <v>4.12</v>
      </c>
      <c r="K92" s="29">
        <v>13.537605763133501</v>
      </c>
      <c r="L92" s="29">
        <v>13.537605763133501</v>
      </c>
      <c r="M92" s="57">
        <v>30</v>
      </c>
      <c r="N92" s="22">
        <v>1.2E-2</v>
      </c>
      <c r="O92" s="31">
        <v>2.0023094334197</v>
      </c>
      <c r="P92" s="40" t="s">
        <v>28</v>
      </c>
      <c r="Q92" s="40" t="s">
        <v>28</v>
      </c>
      <c r="R92" s="30">
        <v>0.60069283002591001</v>
      </c>
      <c r="S92" s="40" t="s">
        <v>28</v>
      </c>
      <c r="T92" s="34" t="s">
        <v>28</v>
      </c>
      <c r="U92" s="30">
        <v>21.629213066869202</v>
      </c>
      <c r="V92" s="22">
        <v>1.2E-2</v>
      </c>
      <c r="W92" s="40" t="s">
        <v>28</v>
      </c>
      <c r="X92" s="40" t="s">
        <v>28</v>
      </c>
      <c r="Y92" s="29">
        <v>0.93824464277634401</v>
      </c>
      <c r="Z92" s="35">
        <v>0.63547244577255801</v>
      </c>
      <c r="AB92" s="31"/>
    </row>
    <row r="93" spans="2:28" x14ac:dyDescent="0.3">
      <c r="B93" s="49">
        <v>62</v>
      </c>
      <c r="C93" s="5" t="s">
        <v>60</v>
      </c>
      <c r="D93">
        <v>0.5</v>
      </c>
      <c r="E93">
        <v>4.0000000000000001E-3</v>
      </c>
      <c r="F93">
        <v>0.5</v>
      </c>
      <c r="G93">
        <v>1</v>
      </c>
      <c r="H93">
        <v>0.3</v>
      </c>
      <c r="I93" s="31">
        <v>1514.19509071073</v>
      </c>
      <c r="J93" s="29">
        <v>4.12</v>
      </c>
      <c r="K93" s="29">
        <v>13.562703365584101</v>
      </c>
      <c r="L93" s="29">
        <v>13.562703365584101</v>
      </c>
      <c r="M93" s="57">
        <v>30</v>
      </c>
      <c r="N93" s="22">
        <v>1.2E-2</v>
      </c>
      <c r="O93" s="31">
        <v>3.0138568648159398</v>
      </c>
      <c r="P93" s="40" t="s">
        <v>28</v>
      </c>
      <c r="Q93" s="40" t="s">
        <v>28</v>
      </c>
      <c r="R93" s="30">
        <v>0.90415705944478186</v>
      </c>
      <c r="S93" s="40" t="s">
        <v>28</v>
      </c>
      <c r="T93" s="34" t="s">
        <v>28</v>
      </c>
      <c r="U93" s="30">
        <v>22.966292089682099</v>
      </c>
      <c r="V93" s="22">
        <v>1.2E-2</v>
      </c>
      <c r="W93" s="40" t="s">
        <v>28</v>
      </c>
      <c r="X93" s="40" t="s">
        <v>28</v>
      </c>
      <c r="Y93" s="29">
        <v>0.78187053564695297</v>
      </c>
      <c r="Z93" s="35">
        <v>0.52956037147713197</v>
      </c>
      <c r="AB93" s="31"/>
    </row>
    <row r="94" spans="2:28" x14ac:dyDescent="0.3">
      <c r="B94" s="49">
        <v>63</v>
      </c>
      <c r="C94" s="5" t="s">
        <v>60</v>
      </c>
      <c r="D94">
        <v>0.5</v>
      </c>
      <c r="E94">
        <v>4.0000000000000001E-3</v>
      </c>
      <c r="F94">
        <v>0.5</v>
      </c>
      <c r="G94">
        <v>1</v>
      </c>
      <c r="H94">
        <v>0.3</v>
      </c>
      <c r="I94" s="31">
        <v>2007.4579739778101</v>
      </c>
      <c r="J94" s="29">
        <v>4.12</v>
      </c>
      <c r="K94" s="29">
        <v>13.5806185048512</v>
      </c>
      <c r="L94" s="29">
        <v>13.5806185048512</v>
      </c>
      <c r="M94" s="57">
        <v>30</v>
      </c>
      <c r="N94" s="22">
        <v>1.2E-2</v>
      </c>
      <c r="O94" s="31">
        <v>4.0069283002591103</v>
      </c>
      <c r="P94" s="40" t="s">
        <v>28</v>
      </c>
      <c r="Q94" s="40" t="s">
        <v>28</v>
      </c>
      <c r="R94" s="30">
        <v>1.202078490077733</v>
      </c>
      <c r="S94" s="40" t="s">
        <v>28</v>
      </c>
      <c r="T94" s="34" t="s">
        <v>28</v>
      </c>
      <c r="U94" s="30">
        <v>23.921348236046899</v>
      </c>
      <c r="V94" s="22">
        <v>1.2E-2</v>
      </c>
      <c r="W94" s="40" t="s">
        <v>28</v>
      </c>
      <c r="X94" s="40" t="s">
        <v>28</v>
      </c>
      <c r="Y94" s="29">
        <v>0.68134432392091704</v>
      </c>
      <c r="Z94" s="35">
        <v>0.461474038001501</v>
      </c>
      <c r="AB94" s="31"/>
    </row>
    <row r="95" spans="2:28" x14ac:dyDescent="0.3">
      <c r="B95" s="49">
        <v>64</v>
      </c>
      <c r="C95" s="5" t="s">
        <v>60</v>
      </c>
      <c r="D95">
        <v>0.5</v>
      </c>
      <c r="E95">
        <v>4.0000000000000001E-3</v>
      </c>
      <c r="F95">
        <v>0.5</v>
      </c>
      <c r="G95">
        <v>1</v>
      </c>
      <c r="H95">
        <v>0.3</v>
      </c>
      <c r="I95" s="31">
        <v>2504.0084887427201</v>
      </c>
      <c r="J95" s="29">
        <v>11.5774721270797</v>
      </c>
      <c r="K95" s="29">
        <v>38.202393545652399</v>
      </c>
      <c r="L95" s="29">
        <v>13.594838292889801</v>
      </c>
      <c r="M95" s="57">
        <v>30</v>
      </c>
      <c r="N95" s="22">
        <v>1.2E-2</v>
      </c>
      <c r="O95" s="31">
        <v>5.0092377336788196</v>
      </c>
      <c r="P95" s="40" t="s">
        <v>28</v>
      </c>
      <c r="Q95" s="40" t="s">
        <v>28</v>
      </c>
      <c r="R95" s="30">
        <v>1.5027713201036459</v>
      </c>
      <c r="S95" s="40" t="s">
        <v>28</v>
      </c>
      <c r="T95" s="34" t="s">
        <v>28</v>
      </c>
      <c r="U95" s="30">
        <v>24.6797752136263</v>
      </c>
      <c r="V95" s="22">
        <v>1.2E-2</v>
      </c>
      <c r="W95" s="40" t="s">
        <v>28</v>
      </c>
      <c r="X95" s="40" t="s">
        <v>28</v>
      </c>
      <c r="Y95" s="29">
        <v>0.59198769127554995</v>
      </c>
      <c r="Z95" s="35">
        <v>0.400952852689829</v>
      </c>
      <c r="AB95" s="31"/>
    </row>
    <row r="96" spans="2:28" x14ac:dyDescent="0.3">
      <c r="B96" s="49">
        <v>65</v>
      </c>
      <c r="C96" s="5" t="s">
        <v>60</v>
      </c>
      <c r="D96">
        <v>0.5</v>
      </c>
      <c r="E96">
        <v>4.0000000000000001E-3</v>
      </c>
      <c r="F96">
        <v>0.5</v>
      </c>
      <c r="G96">
        <v>1</v>
      </c>
      <c r="H96">
        <v>0.3</v>
      </c>
      <c r="I96" s="31">
        <v>3002.4303667691202</v>
      </c>
      <c r="J96" s="29">
        <v>14.396984186867099</v>
      </c>
      <c r="K96" s="29">
        <v>47.542413904898503</v>
      </c>
      <c r="L96" s="29">
        <v>13.6052622372718</v>
      </c>
      <c r="M96" s="57">
        <v>30</v>
      </c>
      <c r="N96" s="22">
        <v>1.2E-2</v>
      </c>
      <c r="O96" s="31">
        <v>6.0161660339379397</v>
      </c>
      <c r="P96" s="40" t="s">
        <v>28</v>
      </c>
      <c r="Q96" s="40" t="s">
        <v>28</v>
      </c>
      <c r="R96" s="30">
        <v>1.8048498101813819</v>
      </c>
      <c r="S96" s="40" t="s">
        <v>28</v>
      </c>
      <c r="T96" s="34" t="s">
        <v>28</v>
      </c>
      <c r="U96" s="30">
        <v>25.235954970396001</v>
      </c>
      <c r="V96" s="22">
        <v>1.2E-2</v>
      </c>
      <c r="W96" s="40" t="s">
        <v>28</v>
      </c>
      <c r="X96" s="40" t="s">
        <v>28</v>
      </c>
      <c r="Y96" s="29">
        <v>0.53613979587219696</v>
      </c>
      <c r="Z96" s="35">
        <v>0.36312711187003299</v>
      </c>
      <c r="AB96" s="31"/>
    </row>
    <row r="97" spans="2:28" x14ac:dyDescent="0.3">
      <c r="B97" s="49">
        <v>66</v>
      </c>
      <c r="C97" s="5" t="s">
        <v>61</v>
      </c>
      <c r="D97">
        <v>0.5</v>
      </c>
      <c r="E97">
        <v>4.0000000000000001E-3</v>
      </c>
      <c r="F97">
        <v>0.5</v>
      </c>
      <c r="G97">
        <v>1</v>
      </c>
      <c r="H97">
        <v>0.3</v>
      </c>
      <c r="I97" s="31">
        <v>1007.90553896542</v>
      </c>
      <c r="J97" s="29">
        <v>4.12</v>
      </c>
      <c r="K97" s="29">
        <v>13.550578766525801</v>
      </c>
      <c r="L97" s="29">
        <v>13.550578766525801</v>
      </c>
      <c r="M97" s="57">
        <v>30</v>
      </c>
      <c r="N97" s="22">
        <v>1.2E-2</v>
      </c>
      <c r="O97" s="31">
        <v>2.0023094334197</v>
      </c>
      <c r="P97" s="40" t="s">
        <v>28</v>
      </c>
      <c r="Q97" s="40" t="s">
        <v>28</v>
      </c>
      <c r="R97" s="30">
        <v>0.60069283002591001</v>
      </c>
      <c r="S97" s="40" t="s">
        <v>28</v>
      </c>
      <c r="T97" s="34" t="s">
        <v>28</v>
      </c>
      <c r="U97" s="30">
        <v>22.320224625641998</v>
      </c>
      <c r="V97" s="22">
        <v>1.2E-2</v>
      </c>
      <c r="W97" s="40" t="s">
        <v>28</v>
      </c>
      <c r="X97" s="40" t="s">
        <v>28</v>
      </c>
      <c r="Y97" s="29">
        <v>0.86005758921164799</v>
      </c>
      <c r="Z97" s="35">
        <v>0.58251640862484499</v>
      </c>
      <c r="AB97" s="31"/>
    </row>
    <row r="98" spans="2:28" x14ac:dyDescent="0.3">
      <c r="B98" s="49">
        <v>67</v>
      </c>
      <c r="C98" s="5" t="s">
        <v>61</v>
      </c>
      <c r="D98">
        <v>0.5</v>
      </c>
      <c r="E98">
        <v>4.0000000000000001E-3</v>
      </c>
      <c r="F98">
        <v>0.5</v>
      </c>
      <c r="G98">
        <v>1</v>
      </c>
      <c r="H98">
        <v>0.3</v>
      </c>
      <c r="I98" s="31">
        <v>1502.46808715528</v>
      </c>
      <c r="J98" s="29">
        <v>4.12</v>
      </c>
      <c r="K98" s="29">
        <v>13.573032105359299</v>
      </c>
      <c r="L98" s="29">
        <v>13.573032105359299</v>
      </c>
      <c r="M98" s="57">
        <v>30</v>
      </c>
      <c r="N98" s="22">
        <v>1.2E-2</v>
      </c>
      <c r="O98" s="31">
        <v>2.99538113316058</v>
      </c>
      <c r="P98" s="40" t="s">
        <v>28</v>
      </c>
      <c r="Q98" s="40" t="s">
        <v>28</v>
      </c>
      <c r="R98" s="30">
        <v>0.89861433994817397</v>
      </c>
      <c r="S98" s="40" t="s">
        <v>28</v>
      </c>
      <c r="T98" s="34" t="s">
        <v>28</v>
      </c>
      <c r="U98" s="30">
        <v>23.516853794427298</v>
      </c>
      <c r="V98" s="22">
        <v>1.2E-2</v>
      </c>
      <c r="W98" s="40" t="s">
        <v>28</v>
      </c>
      <c r="X98" s="40" t="s">
        <v>28</v>
      </c>
      <c r="Y98" s="29">
        <v>0.72602264024359897</v>
      </c>
      <c r="Z98" s="35">
        <v>0.49173463065733702</v>
      </c>
      <c r="AB98" s="31"/>
    </row>
    <row r="99" spans="2:28" x14ac:dyDescent="0.3">
      <c r="B99" s="49">
        <v>68</v>
      </c>
      <c r="C99" s="5" t="s">
        <v>61</v>
      </c>
      <c r="D99">
        <v>0.5</v>
      </c>
      <c r="E99">
        <v>4.0000000000000001E-3</v>
      </c>
      <c r="F99">
        <v>0.5</v>
      </c>
      <c r="G99">
        <v>1</v>
      </c>
      <c r="H99">
        <v>0.3</v>
      </c>
      <c r="I99" s="31">
        <v>2003.64983642932</v>
      </c>
      <c r="J99" s="29">
        <v>4.12</v>
      </c>
      <c r="K99" s="29">
        <v>13.5853591159015</v>
      </c>
      <c r="L99" s="29">
        <v>13.5853591159015</v>
      </c>
      <c r="M99" s="57">
        <v>30</v>
      </c>
      <c r="N99" s="22">
        <v>1.2E-2</v>
      </c>
      <c r="O99" s="31">
        <v>4.0023094334196996</v>
      </c>
      <c r="P99" s="40" t="s">
        <v>28</v>
      </c>
      <c r="Q99" s="40" t="s">
        <v>28</v>
      </c>
      <c r="R99" s="30">
        <v>1.2006928300259099</v>
      </c>
      <c r="S99" s="40" t="s">
        <v>28</v>
      </c>
      <c r="T99" s="34" t="s">
        <v>28</v>
      </c>
      <c r="U99" s="30">
        <v>24.174157201784698</v>
      </c>
      <c r="V99" s="22">
        <v>1.2E-2</v>
      </c>
      <c r="W99" s="40" t="s">
        <v>28</v>
      </c>
      <c r="X99" s="40" t="s">
        <v>28</v>
      </c>
      <c r="Y99" s="29">
        <v>0.64783558667890395</v>
      </c>
      <c r="Z99" s="35">
        <v>0.438778593509624</v>
      </c>
      <c r="AB99" s="31"/>
    </row>
    <row r="100" spans="2:28" x14ac:dyDescent="0.3">
      <c r="B100" s="49">
        <v>69</v>
      </c>
      <c r="C100" s="5" t="s">
        <v>61</v>
      </c>
      <c r="D100">
        <v>0.5</v>
      </c>
      <c r="E100">
        <v>4.0000000000000001E-3</v>
      </c>
      <c r="F100">
        <v>0.5</v>
      </c>
      <c r="G100">
        <v>1</v>
      </c>
      <c r="H100">
        <v>0.3</v>
      </c>
      <c r="I100" s="31">
        <v>2500.9961102082002</v>
      </c>
      <c r="J100" s="29">
        <v>11.559605614441001</v>
      </c>
      <c r="K100" s="29">
        <v>38.148461921280003</v>
      </c>
      <c r="L100" s="29">
        <v>13.596628497370601</v>
      </c>
      <c r="M100" s="57">
        <v>30</v>
      </c>
      <c r="N100" s="22">
        <v>1.2E-2</v>
      </c>
      <c r="O100" s="31">
        <v>5.0046188668394098</v>
      </c>
      <c r="P100" s="40" t="s">
        <v>28</v>
      </c>
      <c r="Q100" s="40" t="s">
        <v>28</v>
      </c>
      <c r="R100" s="30">
        <v>1.5013856600518229</v>
      </c>
      <c r="S100" s="40" t="s">
        <v>28</v>
      </c>
      <c r="T100" s="34" t="s">
        <v>28</v>
      </c>
      <c r="U100" s="30">
        <v>24.7752808121896</v>
      </c>
      <c r="V100" s="22">
        <v>1.2E-2</v>
      </c>
      <c r="W100" s="40" t="s">
        <v>28</v>
      </c>
      <c r="X100" s="40" t="s">
        <v>28</v>
      </c>
      <c r="Y100" s="29">
        <v>0.580818112194879</v>
      </c>
      <c r="Z100" s="35">
        <v>0.39338770452586902</v>
      </c>
      <c r="AB100" s="31"/>
    </row>
    <row r="101" spans="2:28" x14ac:dyDescent="0.3">
      <c r="B101" s="49">
        <v>70</v>
      </c>
      <c r="C101" s="5" t="s">
        <v>61</v>
      </c>
      <c r="D101">
        <v>0.5</v>
      </c>
      <c r="E101">
        <v>4.0000000000000001E-3</v>
      </c>
      <c r="F101">
        <v>0.5</v>
      </c>
      <c r="G101">
        <v>1</v>
      </c>
      <c r="H101">
        <v>0.3</v>
      </c>
      <c r="I101" s="31">
        <v>2997.5231627114499</v>
      </c>
      <c r="J101" s="29">
        <v>14.3703473204751</v>
      </c>
      <c r="K101" s="29">
        <v>47.456655519899201</v>
      </c>
      <c r="L101" s="29">
        <v>13.6058938856268</v>
      </c>
      <c r="M101" s="57">
        <v>30</v>
      </c>
      <c r="N101" s="22">
        <v>1.2E-2</v>
      </c>
      <c r="O101" s="31">
        <v>6.0069288288545399</v>
      </c>
      <c r="P101" s="40" t="s">
        <v>28</v>
      </c>
      <c r="Q101" s="40" t="s">
        <v>28</v>
      </c>
      <c r="R101" s="30">
        <v>1.8020786486563618</v>
      </c>
      <c r="S101" s="40" t="s">
        <v>28</v>
      </c>
      <c r="T101" s="34" t="s">
        <v>28</v>
      </c>
      <c r="U101" s="30">
        <v>25.269662840531002</v>
      </c>
      <c r="V101" s="22">
        <v>1.2E-2</v>
      </c>
      <c r="W101" s="40" t="s">
        <v>28</v>
      </c>
      <c r="X101" s="40" t="s">
        <v>28</v>
      </c>
      <c r="Y101" s="29">
        <v>0.524970216791526</v>
      </c>
      <c r="Z101" s="35">
        <v>0.35556196370607401</v>
      </c>
      <c r="AB101" s="31"/>
    </row>
    <row r="102" spans="2:28" x14ac:dyDescent="0.3">
      <c r="B102" s="49">
        <v>71</v>
      </c>
      <c r="C102" s="5" t="s">
        <v>62</v>
      </c>
      <c r="D102">
        <v>0.5</v>
      </c>
      <c r="E102">
        <v>4.0000000000000001E-3</v>
      </c>
      <c r="F102">
        <v>0.5</v>
      </c>
      <c r="G102">
        <v>1</v>
      </c>
      <c r="H102">
        <v>1</v>
      </c>
      <c r="I102" s="31">
        <v>1006.91881595851</v>
      </c>
      <c r="J102" s="29">
        <v>4.12</v>
      </c>
      <c r="K102" s="29">
        <v>13.542141629401</v>
      </c>
      <c r="L102" s="29">
        <v>13.542141629401</v>
      </c>
      <c r="M102" s="57">
        <v>30</v>
      </c>
      <c r="N102" s="22">
        <v>1.2E-2</v>
      </c>
      <c r="O102" s="31">
        <v>1.9976906987291501</v>
      </c>
      <c r="P102" s="40" t="s">
        <v>28</v>
      </c>
      <c r="Q102" s="40" t="s">
        <v>28</v>
      </c>
      <c r="R102" s="31">
        <v>1.9976906987291501</v>
      </c>
      <c r="S102" s="40" t="s">
        <v>28</v>
      </c>
      <c r="T102" s="34" t="s">
        <v>28</v>
      </c>
      <c r="U102" s="30">
        <v>21.870786571484601</v>
      </c>
      <c r="V102" s="22">
        <v>1.2E-2</v>
      </c>
      <c r="W102" s="40" t="s">
        <v>28</v>
      </c>
      <c r="X102" s="40" t="s">
        <v>28</v>
      </c>
      <c r="Y102" s="29">
        <v>0.90473590553433203</v>
      </c>
      <c r="Z102" s="35">
        <v>0.61277700128068102</v>
      </c>
      <c r="AB102" s="31"/>
    </row>
    <row r="103" spans="2:28" x14ac:dyDescent="0.3">
      <c r="B103" s="49">
        <v>72</v>
      </c>
      <c r="C103" s="5" t="s">
        <v>62</v>
      </c>
      <c r="D103">
        <v>0.5</v>
      </c>
      <c r="E103">
        <v>4.0000000000000001E-3</v>
      </c>
      <c r="F103">
        <v>0.5</v>
      </c>
      <c r="G103">
        <v>1</v>
      </c>
      <c r="H103">
        <v>1</v>
      </c>
      <c r="I103" s="31">
        <v>1509.2031183721399</v>
      </c>
      <c r="J103" s="29">
        <v>4.12</v>
      </c>
      <c r="K103" s="29">
        <v>13.5641791000489</v>
      </c>
      <c r="L103" s="29">
        <v>13.5641791000489</v>
      </c>
      <c r="M103" s="57">
        <v>30</v>
      </c>
      <c r="N103" s="22">
        <v>1.2E-2</v>
      </c>
      <c r="O103" s="31">
        <v>3.0046188668394098</v>
      </c>
      <c r="P103" s="40" t="s">
        <v>28</v>
      </c>
      <c r="Q103" s="40" t="s">
        <v>28</v>
      </c>
      <c r="R103" s="31">
        <v>3.0046188668394098</v>
      </c>
      <c r="S103" s="40" t="s">
        <v>28</v>
      </c>
      <c r="T103" s="34" t="s">
        <v>28</v>
      </c>
      <c r="U103" s="30">
        <v>23.0449438536352</v>
      </c>
      <c r="V103" s="22">
        <v>1.2E-2</v>
      </c>
      <c r="W103" s="40" t="s">
        <v>28</v>
      </c>
      <c r="X103" s="40" t="s">
        <v>28</v>
      </c>
      <c r="Y103" s="29">
        <v>0.78187053564695297</v>
      </c>
      <c r="Z103" s="35">
        <v>0.52956037147713197</v>
      </c>
      <c r="AB103" s="31"/>
    </row>
    <row r="104" spans="2:28" x14ac:dyDescent="0.3">
      <c r="B104" s="49">
        <v>73</v>
      </c>
      <c r="C104" s="5" t="s">
        <v>62</v>
      </c>
      <c r="D104">
        <v>0.5</v>
      </c>
      <c r="E104">
        <v>4.0000000000000001E-3</v>
      </c>
      <c r="F104">
        <v>0.5</v>
      </c>
      <c r="G104">
        <v>1</v>
      </c>
      <c r="H104">
        <v>1</v>
      </c>
      <c r="I104" s="31">
        <v>2007.4579739778101</v>
      </c>
      <c r="J104" s="29">
        <v>4.12</v>
      </c>
      <c r="K104" s="29">
        <v>13.5806185048512</v>
      </c>
      <c r="L104" s="29">
        <v>13.5806185048512</v>
      </c>
      <c r="M104" s="57">
        <v>30</v>
      </c>
      <c r="N104" s="22">
        <v>1.2E-2</v>
      </c>
      <c r="O104" s="31">
        <v>4.0069283002591103</v>
      </c>
      <c r="P104" s="40" t="s">
        <v>28</v>
      </c>
      <c r="Q104" s="40" t="s">
        <v>28</v>
      </c>
      <c r="R104" s="31">
        <v>4.0069283002591103</v>
      </c>
      <c r="S104" s="40" t="s">
        <v>28</v>
      </c>
      <c r="T104" s="34" t="s">
        <v>28</v>
      </c>
      <c r="U104" s="30">
        <v>23.921348236046899</v>
      </c>
      <c r="V104" s="22">
        <v>1.2E-2</v>
      </c>
      <c r="W104" s="40" t="s">
        <v>28</v>
      </c>
      <c r="X104" s="40" t="s">
        <v>28</v>
      </c>
      <c r="Y104" s="29">
        <v>0.68134432392091704</v>
      </c>
      <c r="Z104" s="35">
        <v>0.461474038001501</v>
      </c>
      <c r="AB104" s="31"/>
    </row>
    <row r="105" spans="2:28" x14ac:dyDescent="0.3">
      <c r="B105" s="49">
        <v>74</v>
      </c>
      <c r="C105" s="5" t="s">
        <v>62</v>
      </c>
      <c r="D105">
        <v>0.5</v>
      </c>
      <c r="E105">
        <v>4.0000000000000001E-3</v>
      </c>
      <c r="F105">
        <v>0.5</v>
      </c>
      <c r="G105">
        <v>1</v>
      </c>
      <c r="H105">
        <v>1</v>
      </c>
      <c r="I105" s="31">
        <v>2504.5886242700199</v>
      </c>
      <c r="J105" s="29">
        <v>11.580923559708999</v>
      </c>
      <c r="K105" s="29">
        <v>38.209638013617202</v>
      </c>
      <c r="L105" s="29">
        <v>38.209638013617202</v>
      </c>
      <c r="M105" s="57">
        <v>30</v>
      </c>
      <c r="N105" s="22">
        <v>1.2E-2</v>
      </c>
      <c r="O105" s="31">
        <v>5.0092377336788196</v>
      </c>
      <c r="P105" s="40" t="s">
        <v>28</v>
      </c>
      <c r="Q105" s="40" t="s">
        <v>28</v>
      </c>
      <c r="R105" s="31">
        <v>5.0092377336788196</v>
      </c>
      <c r="S105" s="40" t="s">
        <v>28</v>
      </c>
      <c r="T105" s="34" t="s">
        <v>28</v>
      </c>
      <c r="U105" s="30">
        <v>24.601123449673199</v>
      </c>
      <c r="V105" s="22">
        <v>1.2E-2</v>
      </c>
      <c r="W105" s="40" t="s">
        <v>28</v>
      </c>
      <c r="X105" s="40" t="s">
        <v>28</v>
      </c>
      <c r="Y105" s="29">
        <v>0.60315727035622102</v>
      </c>
      <c r="Z105" s="35">
        <v>0.40851800085378698</v>
      </c>
      <c r="AB105" s="31"/>
    </row>
    <row r="106" spans="2:28" x14ac:dyDescent="0.3">
      <c r="B106" s="49">
        <v>75</v>
      </c>
      <c r="C106" s="5" t="s">
        <v>62</v>
      </c>
      <c r="D106">
        <v>0.5</v>
      </c>
      <c r="E106">
        <v>4.0000000000000001E-3</v>
      </c>
      <c r="F106">
        <v>0.5</v>
      </c>
      <c r="G106">
        <v>1</v>
      </c>
      <c r="H106">
        <v>1</v>
      </c>
      <c r="I106" s="31">
        <v>3000.8196466825302</v>
      </c>
      <c r="J106" s="29">
        <v>14.388268489194401</v>
      </c>
      <c r="K106" s="29">
        <v>47.508485234871799</v>
      </c>
      <c r="L106" s="29">
        <v>47.508485234871799</v>
      </c>
      <c r="M106" s="57">
        <v>30</v>
      </c>
      <c r="N106" s="22">
        <v>1.2E-2</v>
      </c>
      <c r="O106" s="31">
        <v>6.0115471670985201</v>
      </c>
      <c r="P106" s="40" t="s">
        <v>28</v>
      </c>
      <c r="Q106" s="40" t="s">
        <v>28</v>
      </c>
      <c r="R106" s="31">
        <v>6.0115471670985201</v>
      </c>
      <c r="S106" s="40" t="s">
        <v>28</v>
      </c>
      <c r="T106" s="34" t="s">
        <v>28</v>
      </c>
      <c r="U106" s="30">
        <v>25.157303286808698</v>
      </c>
      <c r="V106" s="22">
        <v>1.2E-2</v>
      </c>
      <c r="W106" s="40" t="s">
        <v>28</v>
      </c>
      <c r="X106" s="40" t="s">
        <v>28</v>
      </c>
      <c r="Y106" s="29">
        <v>0.53613979587219696</v>
      </c>
      <c r="Z106" s="35">
        <v>0.36312711187003299</v>
      </c>
      <c r="AB106" s="31"/>
    </row>
    <row r="107" spans="2:28" x14ac:dyDescent="0.3">
      <c r="B107" s="49">
        <v>76</v>
      </c>
      <c r="C107" s="5" t="s">
        <v>63</v>
      </c>
      <c r="D107">
        <v>0.5</v>
      </c>
      <c r="E107">
        <v>4.0000000000000001E-3</v>
      </c>
      <c r="F107">
        <v>0.5</v>
      </c>
      <c r="G107">
        <v>1</v>
      </c>
      <c r="H107">
        <v>1</v>
      </c>
      <c r="I107" s="31">
        <v>1008.90584493197</v>
      </c>
      <c r="J107" s="29">
        <v>4.12</v>
      </c>
      <c r="K107" s="29">
        <v>13.5589083236242</v>
      </c>
      <c r="L107" s="29">
        <v>13.5589083236242</v>
      </c>
      <c r="M107" s="57">
        <v>30</v>
      </c>
      <c r="N107" s="22">
        <v>1.2E-2</v>
      </c>
      <c r="O107" s="31">
        <v>2.0069284324079701</v>
      </c>
      <c r="P107" s="40" t="s">
        <v>28</v>
      </c>
      <c r="Q107" s="40" t="s">
        <v>28</v>
      </c>
      <c r="R107" s="31">
        <v>2.0069284324079701</v>
      </c>
      <c r="S107" s="40" t="s">
        <v>28</v>
      </c>
      <c r="T107" s="34" t="s">
        <v>28</v>
      </c>
      <c r="U107" s="30">
        <v>22.7640451099697</v>
      </c>
      <c r="V107" s="22">
        <v>1.2E-2</v>
      </c>
      <c r="W107" s="40" t="s">
        <v>28</v>
      </c>
      <c r="X107" s="40" t="s">
        <v>28</v>
      </c>
      <c r="Y107" s="29">
        <v>0.80420969380829499</v>
      </c>
      <c r="Z107" s="35">
        <v>0.54469066780505004</v>
      </c>
      <c r="AB107" s="31"/>
    </row>
    <row r="108" spans="2:28" x14ac:dyDescent="0.3">
      <c r="B108" s="49">
        <v>77</v>
      </c>
      <c r="C108" s="5" t="s">
        <v>63</v>
      </c>
      <c r="D108">
        <v>0.5</v>
      </c>
      <c r="E108">
        <v>4.0000000000000001E-3</v>
      </c>
      <c r="F108">
        <v>0.5</v>
      </c>
      <c r="G108">
        <v>1</v>
      </c>
      <c r="H108">
        <v>1</v>
      </c>
      <c r="I108" s="31">
        <v>1502.46808715528</v>
      </c>
      <c r="J108" s="29">
        <v>4.12</v>
      </c>
      <c r="K108" s="29">
        <v>13.573032105359299</v>
      </c>
      <c r="L108" s="29">
        <v>13.573032105359299</v>
      </c>
      <c r="M108" s="57">
        <v>30</v>
      </c>
      <c r="N108" s="22">
        <v>1.2E-2</v>
      </c>
      <c r="O108" s="31">
        <v>2.99538113316058</v>
      </c>
      <c r="P108" s="40" t="s">
        <v>28</v>
      </c>
      <c r="Q108" s="40" t="s">
        <v>28</v>
      </c>
      <c r="R108" s="31">
        <v>2.99538113316058</v>
      </c>
      <c r="S108" s="40" t="s">
        <v>28</v>
      </c>
      <c r="T108" s="34" t="s">
        <v>28</v>
      </c>
      <c r="U108" s="30">
        <v>23.516853794427298</v>
      </c>
      <c r="V108" s="22">
        <v>1.2E-2</v>
      </c>
      <c r="W108" s="40" t="s">
        <v>28</v>
      </c>
      <c r="X108" s="40" t="s">
        <v>28</v>
      </c>
      <c r="Y108" s="29">
        <v>0.72602264024359897</v>
      </c>
      <c r="Z108" s="35">
        <v>0.49173463065733702</v>
      </c>
      <c r="AB108" s="31"/>
    </row>
    <row r="109" spans="2:28" x14ac:dyDescent="0.3">
      <c r="B109" s="49">
        <v>78</v>
      </c>
      <c r="C109" s="5" t="s">
        <v>63</v>
      </c>
      <c r="D109">
        <v>0.5</v>
      </c>
      <c r="E109">
        <v>4.0000000000000001E-3</v>
      </c>
      <c r="F109">
        <v>0.5</v>
      </c>
      <c r="G109">
        <v>1</v>
      </c>
      <c r="H109">
        <v>1</v>
      </c>
      <c r="I109" s="31">
        <v>2003.3180580911301</v>
      </c>
      <c r="J109" s="29">
        <v>4.12</v>
      </c>
      <c r="K109" s="29">
        <v>13.586412494361999</v>
      </c>
      <c r="L109" s="29">
        <v>13.586412494361999</v>
      </c>
      <c r="M109" s="57">
        <v>30</v>
      </c>
      <c r="N109" s="22">
        <v>1.2E-2</v>
      </c>
      <c r="O109" s="31">
        <v>4.0023094334196996</v>
      </c>
      <c r="P109" s="40" t="s">
        <v>28</v>
      </c>
      <c r="Q109" s="40" t="s">
        <v>28</v>
      </c>
      <c r="R109" s="31">
        <v>4.0023094334196996</v>
      </c>
      <c r="S109" s="40" t="s">
        <v>28</v>
      </c>
      <c r="T109" s="34" t="s">
        <v>28</v>
      </c>
      <c r="U109" s="30">
        <v>24.230337079103101</v>
      </c>
      <c r="V109" s="22">
        <v>1.2E-2</v>
      </c>
      <c r="W109" s="40" t="s">
        <v>28</v>
      </c>
      <c r="X109" s="40" t="s">
        <v>28</v>
      </c>
      <c r="Y109" s="29">
        <v>0.64783558667890395</v>
      </c>
      <c r="Z109" s="35">
        <v>0.438778593509624</v>
      </c>
      <c r="AB109" s="31"/>
    </row>
    <row r="110" spans="2:28" x14ac:dyDescent="0.3">
      <c r="B110" s="49">
        <v>79</v>
      </c>
      <c r="C110" s="5" t="s">
        <v>63</v>
      </c>
      <c r="D110">
        <v>0.5</v>
      </c>
      <c r="E110">
        <v>4.0000000000000001E-3</v>
      </c>
      <c r="F110">
        <v>0.5</v>
      </c>
      <c r="G110">
        <v>1</v>
      </c>
      <c r="H110">
        <v>1</v>
      </c>
      <c r="I110" s="31">
        <v>2502.8074720821401</v>
      </c>
      <c r="J110" s="29">
        <v>11.5703255953169</v>
      </c>
      <c r="K110" s="29">
        <v>38.187388145001499</v>
      </c>
      <c r="L110" s="29">
        <v>38.187388145001499</v>
      </c>
      <c r="M110" s="57">
        <v>30</v>
      </c>
      <c r="N110" s="22">
        <v>1.2E-2</v>
      </c>
      <c r="O110" s="31">
        <v>5.0092377336788196</v>
      </c>
      <c r="P110" s="40" t="s">
        <v>28</v>
      </c>
      <c r="Q110" s="40" t="s">
        <v>28</v>
      </c>
      <c r="R110" s="31">
        <v>5.0092377336788196</v>
      </c>
      <c r="S110" s="40" t="s">
        <v>28</v>
      </c>
      <c r="T110" s="34" t="s">
        <v>28</v>
      </c>
      <c r="U110" s="30">
        <v>24.8426965524596</v>
      </c>
      <c r="V110" s="22">
        <v>1.2E-2</v>
      </c>
      <c r="W110" s="40" t="s">
        <v>28</v>
      </c>
      <c r="X110" s="40" t="s">
        <v>28</v>
      </c>
      <c r="Y110" s="29">
        <v>0.580818112194879</v>
      </c>
      <c r="Z110" s="35">
        <v>0.39338770452586902</v>
      </c>
      <c r="AB110" s="31"/>
    </row>
    <row r="111" spans="2:28" x14ac:dyDescent="0.3">
      <c r="B111" s="49">
        <v>80</v>
      </c>
      <c r="C111" s="5" t="s">
        <v>63</v>
      </c>
      <c r="D111">
        <v>0.5</v>
      </c>
      <c r="E111">
        <v>4.0000000000000001E-3</v>
      </c>
      <c r="F111">
        <v>0.5</v>
      </c>
      <c r="G111">
        <v>1</v>
      </c>
      <c r="H111">
        <v>1</v>
      </c>
      <c r="I111" s="31">
        <v>2996.8296936021402</v>
      </c>
      <c r="J111" s="29">
        <v>14.3665607224314</v>
      </c>
      <c r="K111" s="29">
        <v>47.449289832832001</v>
      </c>
      <c r="L111" s="29">
        <v>47.449289832832001</v>
      </c>
      <c r="M111" s="57">
        <v>30</v>
      </c>
      <c r="N111" s="22">
        <v>1.2E-2</v>
      </c>
      <c r="O111" s="31">
        <v>6.0069288288545399</v>
      </c>
      <c r="P111" s="40" t="s">
        <v>28</v>
      </c>
      <c r="Q111" s="40" t="s">
        <v>28</v>
      </c>
      <c r="R111" s="31">
        <v>6.0069288288545399</v>
      </c>
      <c r="S111" s="40" t="s">
        <v>28</v>
      </c>
      <c r="T111" s="34" t="s">
        <v>28</v>
      </c>
      <c r="U111" s="30">
        <v>25.348314524118301</v>
      </c>
      <c r="V111" s="22">
        <v>1.2E-2</v>
      </c>
      <c r="W111" s="40" t="s">
        <v>28</v>
      </c>
      <c r="X111" s="40" t="s">
        <v>28</v>
      </c>
      <c r="Y111" s="29">
        <v>0.524970216791526</v>
      </c>
      <c r="Z111" s="35">
        <v>0.35556196370607401</v>
      </c>
      <c r="AB111" s="31"/>
    </row>
    <row r="112" spans="2:28" x14ac:dyDescent="0.3">
      <c r="B112" s="49">
        <v>81</v>
      </c>
      <c r="C112" s="5" t="s">
        <v>59</v>
      </c>
      <c r="D112">
        <v>0.5</v>
      </c>
      <c r="E112">
        <v>4.0000000000000001E-3</v>
      </c>
      <c r="F112">
        <v>0.5</v>
      </c>
      <c r="G112">
        <v>1</v>
      </c>
      <c r="H112" s="30">
        <v>0.25174021221488102</v>
      </c>
      <c r="I112" s="31">
        <v>1511.69212641426</v>
      </c>
      <c r="J112" s="29">
        <v>4.12</v>
      </c>
      <c r="K112" s="29">
        <v>13.554128231529999</v>
      </c>
      <c r="L112" s="29">
        <v>13.554128231529999</v>
      </c>
      <c r="M112" s="57">
        <v>30</v>
      </c>
      <c r="N112" s="22">
        <v>1.0699999999999999E-2</v>
      </c>
      <c r="O112" s="31">
        <v>3</v>
      </c>
      <c r="P112" s="40" t="s">
        <v>28</v>
      </c>
      <c r="Q112" s="40" t="s">
        <v>28</v>
      </c>
      <c r="R112" s="30">
        <v>0.75522063664464301</v>
      </c>
      <c r="S112" s="40" t="s">
        <v>28</v>
      </c>
      <c r="T112" s="34" t="s">
        <v>28</v>
      </c>
      <c r="U112" s="30">
        <v>22.445945852745599</v>
      </c>
      <c r="V112" s="22">
        <v>1.0699999999999999E-2</v>
      </c>
      <c r="W112" s="40" t="s">
        <v>28</v>
      </c>
      <c r="X112" s="40" t="s">
        <v>28</v>
      </c>
      <c r="Y112" s="29">
        <v>0.76440841038749596</v>
      </c>
      <c r="Z112" s="35">
        <v>0.50467024575695096</v>
      </c>
      <c r="AB112" s="30"/>
    </row>
    <row r="113" spans="2:28" x14ac:dyDescent="0.3">
      <c r="B113" s="49">
        <v>82</v>
      </c>
      <c r="C113" s="5" t="s">
        <v>59</v>
      </c>
      <c r="D113">
        <v>0.5</v>
      </c>
      <c r="E113">
        <v>4.0000000000000001E-3</v>
      </c>
      <c r="F113">
        <v>0.5</v>
      </c>
      <c r="G113">
        <v>1</v>
      </c>
      <c r="H113" s="30">
        <v>0.49535969961781701</v>
      </c>
      <c r="I113" s="31">
        <v>1516.23716589337</v>
      </c>
      <c r="J113" s="29">
        <v>4.12</v>
      </c>
      <c r="K113" s="29">
        <v>13.5350604796957</v>
      </c>
      <c r="L113" s="29">
        <v>13.5350604796957</v>
      </c>
      <c r="M113" s="57">
        <v>30</v>
      </c>
      <c r="N113" s="22">
        <v>1.0699999999999999E-2</v>
      </c>
      <c r="O113" s="31">
        <v>3</v>
      </c>
      <c r="P113" s="40" t="s">
        <v>28</v>
      </c>
      <c r="Q113" s="40" t="s">
        <v>28</v>
      </c>
      <c r="R113" s="30">
        <v>1.4860790988534509</v>
      </c>
      <c r="S113" s="40" t="s">
        <v>28</v>
      </c>
      <c r="T113" s="34" t="s">
        <v>28</v>
      </c>
      <c r="U113" s="30">
        <v>21.432432286985499</v>
      </c>
      <c r="V113" s="22">
        <v>1.0699999999999999E-2</v>
      </c>
      <c r="W113" s="40" t="s">
        <v>28</v>
      </c>
      <c r="X113" s="40" t="s">
        <v>28</v>
      </c>
      <c r="Y113" s="29">
        <v>0.86498846438584998</v>
      </c>
      <c r="Z113" s="35">
        <v>0.57107422546181297</v>
      </c>
      <c r="AB113" s="30"/>
    </row>
    <row r="114" spans="2:28" x14ac:dyDescent="0.3">
      <c r="B114" s="49">
        <v>83</v>
      </c>
      <c r="C114" s="5" t="s">
        <v>59</v>
      </c>
      <c r="D114">
        <v>0.5</v>
      </c>
      <c r="E114">
        <v>4.0000000000000001E-3</v>
      </c>
      <c r="F114">
        <v>0.5</v>
      </c>
      <c r="G114">
        <v>1</v>
      </c>
      <c r="H114" s="30">
        <v>0.90139222287673904</v>
      </c>
      <c r="I114" s="31">
        <v>1518.00050928364</v>
      </c>
      <c r="J114" s="29">
        <v>4.12</v>
      </c>
      <c r="K114" s="29">
        <v>13.5276846682755</v>
      </c>
      <c r="L114" s="29">
        <v>13.5276846682755</v>
      </c>
      <c r="M114" s="57">
        <v>30</v>
      </c>
      <c r="N114" s="22">
        <v>1.0699999999999999E-2</v>
      </c>
      <c r="O114" s="31">
        <v>3</v>
      </c>
      <c r="P114" s="40" t="s">
        <v>28</v>
      </c>
      <c r="Q114" s="40" t="s">
        <v>28</v>
      </c>
      <c r="R114" s="30">
        <v>2.7041766686302173</v>
      </c>
      <c r="S114" s="40" t="s">
        <v>28</v>
      </c>
      <c r="T114" s="34" t="s">
        <v>28</v>
      </c>
      <c r="U114" s="30">
        <v>21.040540168691699</v>
      </c>
      <c r="V114" s="22">
        <v>1.0699999999999999E-2</v>
      </c>
      <c r="W114" s="40" t="s">
        <v>28</v>
      </c>
      <c r="X114" s="40" t="s">
        <v>28</v>
      </c>
      <c r="Y114" s="29">
        <v>0.905220485985192</v>
      </c>
      <c r="Z114" s="35">
        <v>0.59763581734375704</v>
      </c>
      <c r="AB114" s="30"/>
    </row>
    <row r="115" spans="2:28" x14ac:dyDescent="0.3">
      <c r="B115" s="49">
        <v>84</v>
      </c>
      <c r="C115" s="5" t="s">
        <v>59</v>
      </c>
      <c r="D115">
        <v>0.5</v>
      </c>
      <c r="E115">
        <v>4.0000000000000001E-3</v>
      </c>
      <c r="F115">
        <v>0.5</v>
      </c>
      <c r="G115">
        <v>1</v>
      </c>
      <c r="H115" s="30">
        <v>0.99651997385649005</v>
      </c>
      <c r="I115" s="31">
        <v>1518.06137240875</v>
      </c>
      <c r="J115" s="29">
        <v>4.12</v>
      </c>
      <c r="K115" s="29">
        <v>13.5274303046615</v>
      </c>
      <c r="L115" s="29">
        <v>13.5274303046615</v>
      </c>
      <c r="M115" s="57">
        <v>30</v>
      </c>
      <c r="N115" s="22">
        <v>1.0699999999999999E-2</v>
      </c>
      <c r="O115" s="31">
        <v>3</v>
      </c>
      <c r="P115" s="40" t="s">
        <v>28</v>
      </c>
      <c r="Q115" s="40" t="s">
        <v>28</v>
      </c>
      <c r="R115" s="31">
        <v>2.9895599215694704</v>
      </c>
      <c r="S115" s="40" t="s">
        <v>28</v>
      </c>
      <c r="T115" s="34" t="s">
        <v>28</v>
      </c>
      <c r="U115" s="30">
        <v>21.027026860681499</v>
      </c>
      <c r="V115" s="22">
        <v>1.0699999999999999E-2</v>
      </c>
      <c r="W115" s="40" t="s">
        <v>28</v>
      </c>
      <c r="X115" s="40" t="s">
        <v>28</v>
      </c>
      <c r="Y115" s="29">
        <v>0.905220485985192</v>
      </c>
      <c r="Z115" s="35">
        <v>0.59763581734375704</v>
      </c>
      <c r="AB115" s="30"/>
    </row>
    <row r="116" spans="2:28" x14ac:dyDescent="0.3">
      <c r="B116" s="49">
        <v>85</v>
      </c>
      <c r="C116" s="5" t="s">
        <v>59</v>
      </c>
      <c r="D116">
        <v>0.5</v>
      </c>
      <c r="E116">
        <v>4.0000000000000001E-3</v>
      </c>
      <c r="F116">
        <v>0.5</v>
      </c>
      <c r="G116">
        <v>1</v>
      </c>
      <c r="H116" s="30">
        <v>1.99419969090331</v>
      </c>
      <c r="I116" s="31">
        <v>1517.1488257753899</v>
      </c>
      <c r="J116" s="29">
        <v>4.12</v>
      </c>
      <c r="K116" s="29">
        <v>13.5312456119354</v>
      </c>
      <c r="L116" s="29">
        <v>62.748766118710002</v>
      </c>
      <c r="M116" s="57">
        <v>30</v>
      </c>
      <c r="N116" s="22">
        <v>1.0699999999999999E-2</v>
      </c>
      <c r="O116" s="31">
        <v>3</v>
      </c>
      <c r="P116" s="40" t="s">
        <v>28</v>
      </c>
      <c r="Q116" s="40" t="s">
        <v>28</v>
      </c>
      <c r="R116" s="31">
        <v>5.9825990727099301</v>
      </c>
      <c r="S116" s="40" t="s">
        <v>28</v>
      </c>
      <c r="T116" s="34" t="s">
        <v>28</v>
      </c>
      <c r="U116" s="30">
        <v>21.229729573833499</v>
      </c>
      <c r="V116" s="22">
        <v>1.0699999999999999E-2</v>
      </c>
      <c r="W116" s="40" t="s">
        <v>28</v>
      </c>
      <c r="X116" s="40" t="s">
        <v>28</v>
      </c>
      <c r="Y116" s="29">
        <v>0.88510447518552104</v>
      </c>
      <c r="Z116" s="35">
        <v>0.58435502140278495</v>
      </c>
      <c r="AB116" s="30"/>
    </row>
    <row r="117" spans="2:28" x14ac:dyDescent="0.3">
      <c r="B117" s="49">
        <v>86</v>
      </c>
      <c r="C117" s="5" t="s">
        <v>60</v>
      </c>
      <c r="D117">
        <v>0.5</v>
      </c>
      <c r="E117">
        <v>4.0000000000000001E-3</v>
      </c>
      <c r="F117">
        <v>0.5</v>
      </c>
      <c r="G117">
        <v>1</v>
      </c>
      <c r="H117" s="30">
        <v>0.249419929261706</v>
      </c>
      <c r="I117" s="31">
        <v>1510.36309603941</v>
      </c>
      <c r="J117" s="29">
        <v>4.12</v>
      </c>
      <c r="K117" s="29">
        <v>13.559719345606601</v>
      </c>
      <c r="L117" s="29">
        <v>13.559719345606601</v>
      </c>
      <c r="M117" s="57">
        <v>30</v>
      </c>
      <c r="N117" s="22">
        <v>1.0699999999999999E-2</v>
      </c>
      <c r="O117" s="31">
        <v>3</v>
      </c>
      <c r="P117" s="40" t="s">
        <v>28</v>
      </c>
      <c r="Q117" s="40" t="s">
        <v>28</v>
      </c>
      <c r="R117" s="30">
        <v>0.74825978778511804</v>
      </c>
      <c r="S117" s="40" t="s">
        <v>28</v>
      </c>
      <c r="T117" s="34" t="s">
        <v>28</v>
      </c>
      <c r="U117" s="30">
        <v>22.743242495219</v>
      </c>
      <c r="V117" s="22">
        <v>1.0699999999999999E-2</v>
      </c>
      <c r="W117" s="40" t="s">
        <v>28</v>
      </c>
      <c r="X117" s="40" t="s">
        <v>28</v>
      </c>
      <c r="Y117" s="29">
        <v>0.73423439418798897</v>
      </c>
      <c r="Z117" s="35">
        <v>0.484749051845492</v>
      </c>
      <c r="AB117" s="30"/>
    </row>
    <row r="118" spans="2:28" x14ac:dyDescent="0.3">
      <c r="B118" s="49">
        <v>87</v>
      </c>
      <c r="C118" s="5" t="s">
        <v>60</v>
      </c>
      <c r="D118">
        <v>0.5</v>
      </c>
      <c r="E118">
        <v>4.0000000000000001E-3</v>
      </c>
      <c r="F118">
        <v>0.5</v>
      </c>
      <c r="G118">
        <v>1</v>
      </c>
      <c r="H118" s="30">
        <v>0.5</v>
      </c>
      <c r="I118" s="31">
        <v>1517.0880218029799</v>
      </c>
      <c r="J118" s="29">
        <v>4.12</v>
      </c>
      <c r="K118" s="29">
        <v>13.5314999462438</v>
      </c>
      <c r="L118" s="29">
        <v>13.5314999462438</v>
      </c>
      <c r="M118" s="57">
        <v>30</v>
      </c>
      <c r="N118" s="22">
        <v>1.0699999999999999E-2</v>
      </c>
      <c r="O118" s="31">
        <v>3</v>
      </c>
      <c r="P118" s="40" t="s">
        <v>28</v>
      </c>
      <c r="Q118" s="40" t="s">
        <v>28</v>
      </c>
      <c r="R118" s="30">
        <v>1.5</v>
      </c>
      <c r="S118" s="40" t="s">
        <v>28</v>
      </c>
      <c r="T118" s="34" t="s">
        <v>28</v>
      </c>
      <c r="U118" s="30">
        <v>21.243242881843798</v>
      </c>
      <c r="V118" s="22">
        <v>1.0699999999999999E-2</v>
      </c>
      <c r="W118" s="40" t="s">
        <v>28</v>
      </c>
      <c r="X118" s="40" t="s">
        <v>28</v>
      </c>
      <c r="Y118" s="29">
        <v>0.88510447518552104</v>
      </c>
      <c r="Z118" s="35">
        <v>0.58435502140278495</v>
      </c>
      <c r="AB118" s="30"/>
    </row>
    <row r="119" spans="2:28" x14ac:dyDescent="0.3">
      <c r="B119" s="49">
        <v>88</v>
      </c>
      <c r="C119" s="5" t="s">
        <v>60</v>
      </c>
      <c r="D119">
        <v>0.5</v>
      </c>
      <c r="E119">
        <v>4.0000000000000001E-3</v>
      </c>
      <c r="F119">
        <v>0.5</v>
      </c>
      <c r="G119">
        <v>1</v>
      </c>
      <c r="H119" s="30">
        <v>0.90139222287673904</v>
      </c>
      <c r="I119" s="31">
        <v>1520.80434467804</v>
      </c>
      <c r="J119" s="29">
        <v>4.12</v>
      </c>
      <c r="K119" s="29">
        <v>13.5159817441189</v>
      </c>
      <c r="L119" s="29">
        <v>13.5159817441189</v>
      </c>
      <c r="M119" s="57">
        <v>30</v>
      </c>
      <c r="N119" s="22">
        <v>1.0699999999999999E-2</v>
      </c>
      <c r="O119" s="31">
        <v>3</v>
      </c>
      <c r="P119" s="40" t="s">
        <v>28</v>
      </c>
      <c r="Q119" s="40" t="s">
        <v>28</v>
      </c>
      <c r="R119" s="30">
        <v>2.7041766686302173</v>
      </c>
      <c r="S119" s="40" t="s">
        <v>28</v>
      </c>
      <c r="T119" s="34" t="s">
        <v>28</v>
      </c>
      <c r="U119" s="30">
        <v>20.418918721225399</v>
      </c>
      <c r="V119" s="22">
        <v>1.0699999999999999E-2</v>
      </c>
      <c r="W119" s="40" t="s">
        <v>28</v>
      </c>
      <c r="X119" s="40" t="s">
        <v>28</v>
      </c>
      <c r="Y119" s="29">
        <v>0.96556851838420499</v>
      </c>
      <c r="Z119" s="35">
        <v>0.63747820516667497</v>
      </c>
      <c r="AB119" s="30"/>
    </row>
    <row r="120" spans="2:28" x14ac:dyDescent="0.3">
      <c r="B120" s="49">
        <v>89</v>
      </c>
      <c r="C120" s="5" t="s">
        <v>60</v>
      </c>
      <c r="D120">
        <v>0.5</v>
      </c>
      <c r="E120">
        <v>4.0000000000000001E-3</v>
      </c>
      <c r="F120">
        <v>0.5</v>
      </c>
      <c r="G120">
        <v>1</v>
      </c>
      <c r="H120" s="30">
        <v>1.0011601414765801</v>
      </c>
      <c r="I120" s="31">
        <v>1521.1706812325201</v>
      </c>
      <c r="J120" s="29">
        <v>4.12</v>
      </c>
      <c r="K120" s="29">
        <v>13.514454964336799</v>
      </c>
      <c r="L120" s="29">
        <v>13.514454964336799</v>
      </c>
      <c r="M120" s="57">
        <v>30</v>
      </c>
      <c r="N120" s="22">
        <v>1.0699999999999999E-2</v>
      </c>
      <c r="O120" s="31">
        <v>3</v>
      </c>
      <c r="P120" s="40" t="s">
        <v>28</v>
      </c>
      <c r="Q120" s="40" t="s">
        <v>28</v>
      </c>
      <c r="R120" s="31">
        <v>3.0034804244297399</v>
      </c>
      <c r="S120" s="40" t="s">
        <v>28</v>
      </c>
      <c r="T120" s="34" t="s">
        <v>28</v>
      </c>
      <c r="U120" s="30">
        <v>20.3378373266648</v>
      </c>
      <c r="V120" s="22">
        <v>1.0699999999999999E-2</v>
      </c>
      <c r="W120" s="40" t="s">
        <v>28</v>
      </c>
      <c r="X120" s="40" t="s">
        <v>28</v>
      </c>
      <c r="Y120" s="29">
        <v>0.97562652378404002</v>
      </c>
      <c r="Z120" s="35">
        <v>0.64411860313716096</v>
      </c>
      <c r="AB120" s="30"/>
    </row>
    <row r="121" spans="2:28" x14ac:dyDescent="0.3">
      <c r="B121" s="49">
        <v>90</v>
      </c>
      <c r="C121" s="5" t="s">
        <v>61</v>
      </c>
      <c r="D121">
        <v>0.5</v>
      </c>
      <c r="E121">
        <v>4.0000000000000001E-3</v>
      </c>
      <c r="F121">
        <v>0.5</v>
      </c>
      <c r="G121">
        <v>1</v>
      </c>
      <c r="H121" s="30">
        <v>0.25174021221488102</v>
      </c>
      <c r="I121" s="31">
        <v>1507.5301183947099</v>
      </c>
      <c r="J121" s="29">
        <v>4.12</v>
      </c>
      <c r="K121" s="29">
        <v>13.5716608741503</v>
      </c>
      <c r="L121" s="29">
        <v>13.5716608741503</v>
      </c>
      <c r="M121" s="57">
        <v>30</v>
      </c>
      <c r="N121" s="22">
        <v>1.0699999999999999E-2</v>
      </c>
      <c r="O121" s="31">
        <v>3</v>
      </c>
      <c r="P121" s="40" t="s">
        <v>28</v>
      </c>
      <c r="Q121" s="40" t="s">
        <v>28</v>
      </c>
      <c r="R121" s="30">
        <v>0.75522063664464301</v>
      </c>
      <c r="S121" s="40" t="s">
        <v>28</v>
      </c>
      <c r="T121" s="34" t="s">
        <v>28</v>
      </c>
      <c r="U121" s="30">
        <v>23.3783780239451</v>
      </c>
      <c r="V121" s="22">
        <v>1.0699999999999999E-2</v>
      </c>
      <c r="W121" s="40" t="s">
        <v>28</v>
      </c>
      <c r="X121" s="40" t="s">
        <v>28</v>
      </c>
      <c r="Y121" s="29">
        <v>0.66382835638914095</v>
      </c>
      <c r="Z121" s="35">
        <v>0.43826626605208902</v>
      </c>
      <c r="AB121" s="30"/>
    </row>
    <row r="122" spans="2:28" x14ac:dyDescent="0.3">
      <c r="B122" s="49">
        <v>91</v>
      </c>
      <c r="C122" s="5" t="s">
        <v>61</v>
      </c>
      <c r="D122">
        <v>0.5</v>
      </c>
      <c r="E122">
        <v>4.0000000000000001E-3</v>
      </c>
      <c r="F122">
        <v>0.5</v>
      </c>
      <c r="G122">
        <v>1</v>
      </c>
      <c r="H122" s="30">
        <v>0.5</v>
      </c>
      <c r="I122" s="31">
        <v>1519.0966670339101</v>
      </c>
      <c r="J122" s="29">
        <v>4.12</v>
      </c>
      <c r="K122" s="29">
        <v>13.523105751427901</v>
      </c>
      <c r="L122" s="29">
        <v>13.523105751427901</v>
      </c>
      <c r="M122" s="57">
        <v>30</v>
      </c>
      <c r="N122" s="22">
        <v>1.0699999999999999E-2</v>
      </c>
      <c r="O122" s="31">
        <v>3</v>
      </c>
      <c r="P122" s="40" t="s">
        <v>28</v>
      </c>
      <c r="Q122" s="40" t="s">
        <v>28</v>
      </c>
      <c r="R122" s="30">
        <v>1.5</v>
      </c>
      <c r="S122" s="40" t="s">
        <v>28</v>
      </c>
      <c r="T122" s="34" t="s">
        <v>28</v>
      </c>
      <c r="U122" s="30">
        <v>20.797296758259399</v>
      </c>
      <c r="V122" s="22">
        <v>1.0699999999999999E-2</v>
      </c>
      <c r="W122" s="40" t="s">
        <v>28</v>
      </c>
      <c r="X122" s="40" t="s">
        <v>28</v>
      </c>
      <c r="Y122" s="29">
        <v>0.92533649678486296</v>
      </c>
      <c r="Z122" s="35">
        <v>0.61091661328473001</v>
      </c>
      <c r="AB122" s="30"/>
    </row>
    <row r="123" spans="2:28" x14ac:dyDescent="0.3">
      <c r="B123" s="49">
        <v>92</v>
      </c>
      <c r="C123" s="5" t="s">
        <v>61</v>
      </c>
      <c r="D123">
        <v>0.5</v>
      </c>
      <c r="E123">
        <v>4.0000000000000001E-3</v>
      </c>
      <c r="F123">
        <v>0.5</v>
      </c>
      <c r="G123">
        <v>1</v>
      </c>
      <c r="H123" s="30">
        <v>0.89907193992356305</v>
      </c>
      <c r="I123" s="31">
        <v>1527.11295533871</v>
      </c>
      <c r="J123" s="29">
        <v>4.12</v>
      </c>
      <c r="K123" s="29">
        <v>13.4897623451086</v>
      </c>
      <c r="L123" s="29">
        <v>13.4897623451086</v>
      </c>
      <c r="M123" s="57">
        <v>30</v>
      </c>
      <c r="N123" s="22">
        <v>1.0699999999999999E-2</v>
      </c>
      <c r="O123" s="31">
        <v>3</v>
      </c>
      <c r="P123" s="40" t="s">
        <v>28</v>
      </c>
      <c r="Q123" s="40" t="s">
        <v>28</v>
      </c>
      <c r="R123" s="30">
        <v>2.697215819770689</v>
      </c>
      <c r="S123" s="40" t="s">
        <v>28</v>
      </c>
      <c r="T123" s="34" t="s">
        <v>28</v>
      </c>
      <c r="U123" s="30">
        <v>19.0270268737703</v>
      </c>
      <c r="V123" s="22">
        <v>1.0699999999999999E-2</v>
      </c>
      <c r="W123" s="40" t="s">
        <v>28</v>
      </c>
      <c r="X123" s="40" t="s">
        <v>28</v>
      </c>
      <c r="Y123" s="29">
        <v>1.1063805939819</v>
      </c>
      <c r="Z123" s="35">
        <v>0.73044377675348104</v>
      </c>
      <c r="AB123" s="30"/>
    </row>
    <row r="124" spans="2:28" x14ac:dyDescent="0.3">
      <c r="B124" s="49">
        <v>93</v>
      </c>
      <c r="C124" s="5" t="s">
        <v>61</v>
      </c>
      <c r="D124">
        <v>0.5</v>
      </c>
      <c r="E124">
        <v>4.0000000000000001E-3</v>
      </c>
      <c r="F124">
        <v>0.5</v>
      </c>
      <c r="G124">
        <v>1</v>
      </c>
      <c r="H124" s="30">
        <v>1.0011601414765801</v>
      </c>
      <c r="I124" s="31">
        <v>1527.9737037976699</v>
      </c>
      <c r="J124" s="29">
        <v>4.12</v>
      </c>
      <c r="K124" s="29">
        <v>13.486196933972201</v>
      </c>
      <c r="L124" s="29">
        <v>13.486196933972201</v>
      </c>
      <c r="M124" s="57">
        <v>30</v>
      </c>
      <c r="N124" s="22">
        <v>1.0699999999999999E-2</v>
      </c>
      <c r="O124" s="31">
        <v>3</v>
      </c>
      <c r="P124" s="40" t="s">
        <v>28</v>
      </c>
      <c r="Q124" s="40" t="s">
        <v>28</v>
      </c>
      <c r="R124" s="31">
        <v>3.0034804244297399</v>
      </c>
      <c r="S124" s="40" t="s">
        <v>28</v>
      </c>
      <c r="T124" s="34" t="s">
        <v>28</v>
      </c>
      <c r="U124" s="30">
        <v>18.837837468628599</v>
      </c>
      <c r="V124" s="22">
        <v>1.0699999999999999E-2</v>
      </c>
      <c r="W124" s="40" t="s">
        <v>28</v>
      </c>
      <c r="X124" s="40" t="s">
        <v>28</v>
      </c>
      <c r="Y124" s="29">
        <v>1.1264966047815701</v>
      </c>
      <c r="Z124" s="35">
        <v>0.74372457269445402</v>
      </c>
      <c r="AB124" s="30"/>
    </row>
    <row r="125" spans="2:28" x14ac:dyDescent="0.3">
      <c r="B125" s="49">
        <v>94</v>
      </c>
      <c r="C125" s="5" t="s">
        <v>62</v>
      </c>
      <c r="D125">
        <v>0.5</v>
      </c>
      <c r="E125">
        <v>4.0000000000000001E-3</v>
      </c>
      <c r="F125">
        <v>0.5</v>
      </c>
      <c r="G125">
        <v>1</v>
      </c>
      <c r="H125" s="30">
        <v>0.25406036240597202</v>
      </c>
      <c r="I125" s="31">
        <v>1504.82573526839</v>
      </c>
      <c r="J125" s="29">
        <v>4.12</v>
      </c>
      <c r="K125" s="29">
        <v>13.5830902328767</v>
      </c>
      <c r="L125" s="29">
        <v>13.5830902328767</v>
      </c>
      <c r="M125" s="57">
        <v>30</v>
      </c>
      <c r="N125" s="22">
        <v>1.0699999999999999E-2</v>
      </c>
      <c r="O125" s="31">
        <v>3</v>
      </c>
      <c r="P125" s="40" t="s">
        <v>28</v>
      </c>
      <c r="Q125" s="40" t="s">
        <v>28</v>
      </c>
      <c r="R125" s="30">
        <v>0.762181087217916</v>
      </c>
      <c r="S125" s="40" t="s">
        <v>28</v>
      </c>
      <c r="T125" s="34" t="s">
        <v>28</v>
      </c>
      <c r="U125" s="30">
        <v>23.986486933630101</v>
      </c>
      <c r="V125" s="22">
        <v>1.0699999999999999E-2</v>
      </c>
      <c r="W125" s="40" t="s">
        <v>28</v>
      </c>
      <c r="X125" s="40" t="s">
        <v>28</v>
      </c>
      <c r="Y125" s="29">
        <v>0.60348032399012796</v>
      </c>
      <c r="Z125" s="35">
        <v>0.39842387822917202</v>
      </c>
      <c r="AB125" s="30"/>
    </row>
    <row r="126" spans="2:28" x14ac:dyDescent="0.3">
      <c r="B126" s="49">
        <v>95</v>
      </c>
      <c r="C126" s="5" t="s">
        <v>62</v>
      </c>
      <c r="D126">
        <v>0.5</v>
      </c>
      <c r="E126">
        <v>4.0000000000000001E-3</v>
      </c>
      <c r="F126">
        <v>0.5</v>
      </c>
      <c r="G126">
        <v>1</v>
      </c>
      <c r="H126" s="30">
        <v>0.50464043314426599</v>
      </c>
      <c r="I126" s="31">
        <v>1510.18200649492</v>
      </c>
      <c r="J126" s="29">
        <v>4.12</v>
      </c>
      <c r="K126" s="29">
        <v>13.560481716304</v>
      </c>
      <c r="L126" s="29">
        <v>13.560481716304</v>
      </c>
      <c r="M126" s="57">
        <v>30</v>
      </c>
      <c r="N126" s="22">
        <v>1.0699999999999999E-2</v>
      </c>
      <c r="O126" s="31">
        <v>3</v>
      </c>
      <c r="P126" s="40" t="s">
        <v>28</v>
      </c>
      <c r="Q126" s="40" t="s">
        <v>28</v>
      </c>
      <c r="R126" s="30">
        <v>1.513921299432798</v>
      </c>
      <c r="S126" s="40" t="s">
        <v>28</v>
      </c>
      <c r="T126" s="34" t="s">
        <v>28</v>
      </c>
      <c r="U126" s="30">
        <v>22.7837839627283</v>
      </c>
      <c r="V126" s="22">
        <v>1.0699999999999999E-2</v>
      </c>
      <c r="W126" s="40" t="s">
        <v>28</v>
      </c>
      <c r="X126" s="40" t="s">
        <v>28</v>
      </c>
      <c r="Y126" s="29">
        <v>0.72417638878815405</v>
      </c>
      <c r="Z126" s="35">
        <v>0.47810865387500601</v>
      </c>
      <c r="AB126" s="30"/>
    </row>
    <row r="127" spans="2:28" x14ac:dyDescent="0.3">
      <c r="B127" s="49">
        <v>96</v>
      </c>
      <c r="C127" s="5" t="s">
        <v>62</v>
      </c>
      <c r="D127">
        <v>0.5</v>
      </c>
      <c r="E127">
        <v>4.0000000000000001E-3</v>
      </c>
      <c r="F127">
        <v>0.5</v>
      </c>
      <c r="G127">
        <v>1</v>
      </c>
      <c r="H127" s="30">
        <v>0.90603252325892103</v>
      </c>
      <c r="I127" s="31">
        <v>1512.5388608695901</v>
      </c>
      <c r="J127" s="29">
        <v>4.12</v>
      </c>
      <c r="K127" s="29">
        <v>13.550569746767399</v>
      </c>
      <c r="L127" s="29">
        <v>13.550569746767399</v>
      </c>
      <c r="M127" s="57">
        <v>30</v>
      </c>
      <c r="N127" s="22">
        <v>1.0699999999999999E-2</v>
      </c>
      <c r="O127" s="31">
        <v>3</v>
      </c>
      <c r="P127" s="40" t="s">
        <v>28</v>
      </c>
      <c r="Q127" s="40" t="s">
        <v>28</v>
      </c>
      <c r="R127" s="30">
        <v>2.7180975697767629</v>
      </c>
      <c r="S127" s="40" t="s">
        <v>28</v>
      </c>
      <c r="T127" s="34" t="s">
        <v>28</v>
      </c>
      <c r="U127" s="30">
        <v>22.256756444583399</v>
      </c>
      <c r="V127" s="22">
        <v>1.0699999999999999E-2</v>
      </c>
      <c r="W127" s="40" t="s">
        <v>28</v>
      </c>
      <c r="X127" s="40" t="s">
        <v>28</v>
      </c>
      <c r="Y127" s="29">
        <v>0.774466415787331</v>
      </c>
      <c r="Z127" s="35">
        <v>0.51131064372743695</v>
      </c>
      <c r="AB127" s="30"/>
    </row>
    <row r="128" spans="2:28" x14ac:dyDescent="0.3">
      <c r="B128" s="49">
        <v>97</v>
      </c>
      <c r="C128" s="5" t="s">
        <v>62</v>
      </c>
      <c r="D128">
        <v>0.5</v>
      </c>
      <c r="E128">
        <v>4.0000000000000001E-3</v>
      </c>
      <c r="F128">
        <v>0.5</v>
      </c>
      <c r="G128">
        <v>1</v>
      </c>
      <c r="H128" s="30">
        <v>1.0011601414765801</v>
      </c>
      <c r="I128" s="31">
        <v>1512.7809288472399</v>
      </c>
      <c r="J128" s="29">
        <v>4.12</v>
      </c>
      <c r="K128" s="29">
        <v>13.549552954200299</v>
      </c>
      <c r="L128" s="29">
        <v>13.549552954200299</v>
      </c>
      <c r="M128" s="57">
        <v>30</v>
      </c>
      <c r="N128" s="22">
        <v>1.0699999999999999E-2</v>
      </c>
      <c r="O128" s="31">
        <v>3</v>
      </c>
      <c r="P128" s="40" t="s">
        <v>28</v>
      </c>
      <c r="Q128" s="40" t="s">
        <v>28</v>
      </c>
      <c r="R128" s="31">
        <v>3.0034804244297399</v>
      </c>
      <c r="S128" s="40" t="s">
        <v>28</v>
      </c>
      <c r="T128" s="34" t="s">
        <v>28</v>
      </c>
      <c r="U128" s="30">
        <v>22.2027016660433</v>
      </c>
      <c r="V128" s="22">
        <v>1.0699999999999999E-2</v>
      </c>
      <c r="W128" s="40" t="s">
        <v>28</v>
      </c>
      <c r="X128" s="40" t="s">
        <v>28</v>
      </c>
      <c r="Y128" s="29">
        <v>0.78452442118716703</v>
      </c>
      <c r="Z128" s="35">
        <v>0.51795104169792305</v>
      </c>
      <c r="AB128" s="30"/>
    </row>
    <row r="129" spans="2:28" x14ac:dyDescent="0.3">
      <c r="B129" s="49">
        <v>98</v>
      </c>
      <c r="C129" s="5" t="s">
        <v>62</v>
      </c>
      <c r="D129">
        <v>0.5</v>
      </c>
      <c r="E129">
        <v>4.0000000000000001E-3</v>
      </c>
      <c r="F129">
        <v>0.5</v>
      </c>
      <c r="G129">
        <v>1</v>
      </c>
      <c r="H129" s="30">
        <v>1.9988402568096599</v>
      </c>
      <c r="I129" s="31">
        <v>1513.2046899279801</v>
      </c>
      <c r="J129" s="29">
        <v>4.12</v>
      </c>
      <c r="K129" s="29">
        <v>13.547773528498301</v>
      </c>
      <c r="L129" s="29">
        <v>62.8687800057779</v>
      </c>
      <c r="M129" s="57">
        <v>30</v>
      </c>
      <c r="N129" s="22">
        <v>1.0699999999999999E-2</v>
      </c>
      <c r="O129" s="31">
        <v>3</v>
      </c>
      <c r="P129" s="40" t="s">
        <v>28</v>
      </c>
      <c r="Q129" s="40" t="s">
        <v>28</v>
      </c>
      <c r="R129" s="31">
        <v>5.9965207704289796</v>
      </c>
      <c r="S129" s="40" t="s">
        <v>28</v>
      </c>
      <c r="T129" s="34" t="s">
        <v>28</v>
      </c>
      <c r="U129" s="30">
        <v>22.108107736721902</v>
      </c>
      <c r="V129" s="22">
        <v>1.0699999999999999E-2</v>
      </c>
      <c r="W129" s="40" t="s">
        <v>28</v>
      </c>
      <c r="X129" s="40" t="s">
        <v>28</v>
      </c>
      <c r="Y129" s="29">
        <v>0.79458242658700196</v>
      </c>
      <c r="Z129" s="35">
        <v>0.52459143966840904</v>
      </c>
      <c r="AB129" s="30"/>
    </row>
    <row r="130" spans="2:28" x14ac:dyDescent="0.3">
      <c r="B130" s="49">
        <v>99</v>
      </c>
      <c r="C130" s="5" t="s">
        <v>63</v>
      </c>
      <c r="D130">
        <v>0.5</v>
      </c>
      <c r="E130">
        <v>4.0000000000000001E-3</v>
      </c>
      <c r="F130">
        <v>0.5</v>
      </c>
      <c r="G130">
        <v>1</v>
      </c>
      <c r="H130" s="30">
        <v>0.258700795550239</v>
      </c>
      <c r="I130" s="31">
        <v>1502.24887498929</v>
      </c>
      <c r="J130" s="29">
        <v>4.12</v>
      </c>
      <c r="K130" s="29">
        <v>13.594007922296999</v>
      </c>
      <c r="L130" s="29">
        <v>13.594007922296999</v>
      </c>
      <c r="M130" s="57">
        <v>30</v>
      </c>
      <c r="N130" s="22">
        <v>1.0699999999999999E-2</v>
      </c>
      <c r="O130" s="31">
        <v>3</v>
      </c>
      <c r="P130" s="40" t="s">
        <v>28</v>
      </c>
      <c r="Q130" s="40" t="s">
        <v>28</v>
      </c>
      <c r="R130" s="30">
        <v>0.77610238665071707</v>
      </c>
      <c r="S130" s="40" t="s">
        <v>28</v>
      </c>
      <c r="T130" s="34" t="s">
        <v>28</v>
      </c>
      <c r="U130" s="30">
        <v>24.5675676838162</v>
      </c>
      <c r="V130" s="22">
        <v>1.0699999999999999E-2</v>
      </c>
      <c r="W130" s="40" t="s">
        <v>28</v>
      </c>
      <c r="X130" s="40" t="s">
        <v>28</v>
      </c>
      <c r="Y130" s="29">
        <v>0.54313229159111498</v>
      </c>
      <c r="Z130" s="35">
        <v>0.35858149040625398</v>
      </c>
      <c r="AB130" s="30"/>
    </row>
    <row r="131" spans="2:28" x14ac:dyDescent="0.3">
      <c r="B131" s="49">
        <v>100</v>
      </c>
      <c r="C131" s="5" t="s">
        <v>63</v>
      </c>
      <c r="D131">
        <v>0.5</v>
      </c>
      <c r="E131">
        <v>4.0000000000000001E-3</v>
      </c>
      <c r="F131">
        <v>0.5</v>
      </c>
      <c r="G131">
        <v>1</v>
      </c>
      <c r="H131" s="30">
        <v>0.50232028295317499</v>
      </c>
      <c r="I131" s="31">
        <v>1506.8081796342999</v>
      </c>
      <c r="J131" s="29">
        <v>4.12</v>
      </c>
      <c r="K131" s="29">
        <v>13.574709095919699</v>
      </c>
      <c r="L131" s="29">
        <v>13.574709095919699</v>
      </c>
      <c r="M131" s="57">
        <v>30</v>
      </c>
      <c r="N131" s="22">
        <v>1.0699999999999999E-2</v>
      </c>
      <c r="O131" s="31">
        <v>3</v>
      </c>
      <c r="P131" s="40" t="s">
        <v>28</v>
      </c>
      <c r="Q131" s="40" t="s">
        <v>28</v>
      </c>
      <c r="R131" s="30">
        <v>1.506960848859525</v>
      </c>
      <c r="S131" s="40" t="s">
        <v>28</v>
      </c>
      <c r="T131" s="34" t="s">
        <v>28</v>
      </c>
      <c r="U131" s="30">
        <v>23.540540810045801</v>
      </c>
      <c r="V131" s="22">
        <v>1.0699999999999999E-2</v>
      </c>
      <c r="W131" s="40" t="s">
        <v>28</v>
      </c>
      <c r="X131" s="40" t="s">
        <v>28</v>
      </c>
      <c r="Y131" s="29">
        <v>0.65377035098930503</v>
      </c>
      <c r="Z131" s="35">
        <v>0.43162586808160203</v>
      </c>
      <c r="AB131" s="30"/>
    </row>
    <row r="132" spans="2:28" x14ac:dyDescent="0.3">
      <c r="B132" s="49">
        <v>101</v>
      </c>
      <c r="C132" s="5" t="s">
        <v>63</v>
      </c>
      <c r="D132">
        <v>0.5</v>
      </c>
      <c r="E132">
        <v>4.0000000000000001E-3</v>
      </c>
      <c r="F132">
        <v>0.5</v>
      </c>
      <c r="G132">
        <v>1</v>
      </c>
      <c r="H132" s="30">
        <v>0.90371250582991502</v>
      </c>
      <c r="I132" s="31">
        <v>1509.75961682858</v>
      </c>
      <c r="J132" s="29">
        <v>4.12</v>
      </c>
      <c r="K132" s="29">
        <v>13.562260445370301</v>
      </c>
      <c r="L132" s="29">
        <v>13.562260445370301</v>
      </c>
      <c r="M132" s="57">
        <v>30</v>
      </c>
      <c r="N132" s="22">
        <v>1.0699999999999999E-2</v>
      </c>
      <c r="O132" s="31">
        <v>3</v>
      </c>
      <c r="P132" s="40" t="s">
        <v>28</v>
      </c>
      <c r="Q132" s="40" t="s">
        <v>28</v>
      </c>
      <c r="R132" s="30">
        <v>2.7111375174897452</v>
      </c>
      <c r="S132" s="40" t="s">
        <v>28</v>
      </c>
      <c r="T132" s="34" t="s">
        <v>28</v>
      </c>
      <c r="U132" s="30">
        <v>22.878377118800199</v>
      </c>
      <c r="V132" s="22">
        <v>1.0699999999999999E-2</v>
      </c>
      <c r="W132" s="40" t="s">
        <v>28</v>
      </c>
      <c r="X132" s="40" t="s">
        <v>28</v>
      </c>
      <c r="Y132" s="29">
        <v>0.71411838338831801</v>
      </c>
      <c r="Z132" s="35">
        <v>0.47146825590452002</v>
      </c>
      <c r="AB132" s="30"/>
    </row>
    <row r="133" spans="2:28" x14ac:dyDescent="0.3">
      <c r="B133" s="49">
        <v>102</v>
      </c>
      <c r="C133" s="5" t="s">
        <v>63</v>
      </c>
      <c r="D133">
        <v>0.5</v>
      </c>
      <c r="E133">
        <v>4.0000000000000001E-3</v>
      </c>
      <c r="F133">
        <v>0.5</v>
      </c>
      <c r="G133">
        <v>1</v>
      </c>
      <c r="H133" s="30">
        <v>1.00580057462085</v>
      </c>
      <c r="I133" s="31">
        <v>1509.9406141207501</v>
      </c>
      <c r="J133" s="29">
        <v>4.12</v>
      </c>
      <c r="K133" s="29">
        <v>13.5614981591389</v>
      </c>
      <c r="L133" s="29">
        <v>13.5614981591389</v>
      </c>
      <c r="M133" s="57">
        <v>30</v>
      </c>
      <c r="N133" s="22">
        <v>1.0699999999999999E-2</v>
      </c>
      <c r="O133" s="31">
        <v>3</v>
      </c>
      <c r="P133" s="40" t="s">
        <v>28</v>
      </c>
      <c r="Q133" s="40" t="s">
        <v>28</v>
      </c>
      <c r="R133" s="31">
        <v>3.0174017238625499</v>
      </c>
      <c r="S133" s="40" t="s">
        <v>28</v>
      </c>
      <c r="T133" s="34" t="s">
        <v>28</v>
      </c>
      <c r="U133" s="30">
        <v>22.837837968018899</v>
      </c>
      <c r="V133" s="22">
        <v>1.0699999999999999E-2</v>
      </c>
      <c r="W133" s="40" t="s">
        <v>28</v>
      </c>
      <c r="X133" s="40" t="s">
        <v>28</v>
      </c>
      <c r="Y133" s="29">
        <v>0.72417638878815405</v>
      </c>
      <c r="Z133" s="35">
        <v>0.47810865387500601</v>
      </c>
      <c r="AB133" s="30"/>
    </row>
    <row r="134" spans="2:28" ht="15" thickBot="1" x14ac:dyDescent="0.35">
      <c r="B134" s="50">
        <v>103</v>
      </c>
      <c r="C134" s="7" t="s">
        <v>63</v>
      </c>
      <c r="D134" s="8">
        <v>0.5</v>
      </c>
      <c r="E134" s="8">
        <v>4.0000000000000001E-3</v>
      </c>
      <c r="F134" s="8">
        <v>0.5</v>
      </c>
      <c r="G134" s="8">
        <v>1</v>
      </c>
      <c r="H134" s="55">
        <v>2.0011601414765798</v>
      </c>
      <c r="I134" s="41">
        <v>1510.3630960528999</v>
      </c>
      <c r="J134" s="44">
        <v>4.12</v>
      </c>
      <c r="K134" s="44">
        <v>13.5597193455498</v>
      </c>
      <c r="L134" s="44">
        <v>62.906854249513898</v>
      </c>
      <c r="M134" s="58">
        <v>30</v>
      </c>
      <c r="N134" s="23">
        <v>1.0699999999999999E-2</v>
      </c>
      <c r="O134" s="41">
        <v>3</v>
      </c>
      <c r="P134" s="42" t="s">
        <v>28</v>
      </c>
      <c r="Q134" s="42" t="s">
        <v>28</v>
      </c>
      <c r="R134" s="41">
        <v>6.0034804244297391</v>
      </c>
      <c r="S134" s="42" t="s">
        <v>28</v>
      </c>
      <c r="T134" s="43" t="s">
        <v>28</v>
      </c>
      <c r="U134" s="55">
        <v>22.743242492198501</v>
      </c>
      <c r="V134" s="23">
        <v>1.0699999999999999E-2</v>
      </c>
      <c r="W134" s="42" t="s">
        <v>28</v>
      </c>
      <c r="X134" s="42" t="s">
        <v>28</v>
      </c>
      <c r="Y134" s="44">
        <v>0.73423439418798897</v>
      </c>
      <c r="Z134" s="36">
        <v>0.484749051845492</v>
      </c>
      <c r="AB134" s="30"/>
    </row>
  </sheetData>
  <mergeCells count="1">
    <mergeCell ref="C7:N7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17A86-B0AF-4F7B-BAC5-84FF1326045A}">
  <dimension ref="B1:AB142"/>
  <sheetViews>
    <sheetView tabSelected="1" zoomScale="104" workbookViewId="0">
      <selection activeCell="L19" sqref="L19"/>
    </sheetView>
  </sheetViews>
  <sheetFormatPr defaultColWidth="8.88671875" defaultRowHeight="14.4" x14ac:dyDescent="0.3"/>
  <cols>
    <col min="1" max="1" width="2.6640625" customWidth="1"/>
    <col min="2" max="2" width="22.33203125" bestFit="1" customWidth="1"/>
    <col min="3" max="3" width="14.109375" customWidth="1"/>
    <col min="6" max="6" width="12.44140625" customWidth="1"/>
    <col min="7" max="13" width="9.33203125" customWidth="1"/>
    <col min="14" max="14" width="9.44140625" customWidth="1"/>
    <col min="15" max="15" width="10.44140625" customWidth="1"/>
    <col min="16" max="17" width="9.44140625" customWidth="1"/>
    <col min="18" max="18" width="9.6640625" customWidth="1"/>
    <col min="19" max="19" width="9.33203125" customWidth="1"/>
    <col min="20" max="21" width="10.5546875" customWidth="1"/>
  </cols>
  <sheetData>
    <row r="1" spans="2:14" ht="15" thickBot="1" x14ac:dyDescent="0.35"/>
    <row r="2" spans="2:14" ht="15" thickBot="1" x14ac:dyDescent="0.35">
      <c r="B2" s="10" t="s">
        <v>20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</row>
    <row r="3" spans="2:14" x14ac:dyDescent="0.3">
      <c r="B3" s="20" t="s">
        <v>0</v>
      </c>
      <c r="C3" s="13" t="s">
        <v>56</v>
      </c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2:14" x14ac:dyDescent="0.3">
      <c r="B4" s="21" t="s">
        <v>1</v>
      </c>
      <c r="C4" s="5" t="s">
        <v>57</v>
      </c>
      <c r="N4" s="6"/>
    </row>
    <row r="5" spans="2:14" x14ac:dyDescent="0.3">
      <c r="B5" s="21" t="s">
        <v>2</v>
      </c>
      <c r="C5" s="28">
        <v>2014</v>
      </c>
      <c r="N5" s="6"/>
    </row>
    <row r="6" spans="2:14" x14ac:dyDescent="0.3">
      <c r="B6" s="21" t="s">
        <v>4</v>
      </c>
      <c r="C6" s="5" t="s">
        <v>72</v>
      </c>
      <c r="N6" s="6"/>
    </row>
    <row r="7" spans="2:14" ht="60.6" customHeight="1" thickBot="1" x14ac:dyDescent="0.35">
      <c r="B7" s="69" t="s">
        <v>87</v>
      </c>
      <c r="C7" s="66" t="s">
        <v>88</v>
      </c>
      <c r="D7" s="67"/>
      <c r="E7" s="67"/>
      <c r="F7" s="67"/>
      <c r="G7" s="67"/>
      <c r="H7" s="67"/>
      <c r="I7" s="67"/>
      <c r="J7" s="67"/>
      <c r="K7" s="67"/>
      <c r="L7" s="67"/>
      <c r="M7" s="67"/>
      <c r="N7" s="68"/>
    </row>
    <row r="8" spans="2:14" ht="15" thickBot="1" x14ac:dyDescent="0.35"/>
    <row r="9" spans="2:14" ht="15" thickBot="1" x14ac:dyDescent="0.35">
      <c r="B9" s="10" t="s">
        <v>3</v>
      </c>
      <c r="C9" s="18"/>
      <c r="E9" s="1"/>
    </row>
    <row r="10" spans="2:14" x14ac:dyDescent="0.3">
      <c r="B10" s="20" t="s">
        <v>15</v>
      </c>
      <c r="C10" s="6" t="s">
        <v>53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x14ac:dyDescent="0.3">
      <c r="B11" s="21" t="s">
        <v>16</v>
      </c>
      <c r="C11" s="6" t="s">
        <v>54</v>
      </c>
    </row>
    <row r="12" spans="2:14" x14ac:dyDescent="0.3">
      <c r="B12" s="21" t="s">
        <v>10</v>
      </c>
      <c r="C12" s="6" t="s">
        <v>55</v>
      </c>
    </row>
    <row r="13" spans="2:14" x14ac:dyDescent="0.3">
      <c r="B13" s="21" t="s">
        <v>35</v>
      </c>
      <c r="C13" s="6" t="s">
        <v>28</v>
      </c>
    </row>
    <row r="14" spans="2:14" ht="15" thickBot="1" x14ac:dyDescent="0.35">
      <c r="B14" s="15" t="s">
        <v>9</v>
      </c>
      <c r="C14" s="9" t="s">
        <v>58</v>
      </c>
    </row>
    <row r="15" spans="2:14" ht="15" thickBot="1" x14ac:dyDescent="0.35">
      <c r="B15" s="1"/>
    </row>
    <row r="16" spans="2:14" ht="15" thickBot="1" x14ac:dyDescent="0.35">
      <c r="B16" s="10" t="s">
        <v>17</v>
      </c>
      <c r="C16" s="17"/>
      <c r="D16" s="18"/>
      <c r="F16" s="1"/>
    </row>
    <row r="17" spans="2:25" x14ac:dyDescent="0.3">
      <c r="B17" s="20" t="s">
        <v>18</v>
      </c>
      <c r="C17" s="3">
        <v>0.5</v>
      </c>
      <c r="D17" s="4" t="s">
        <v>8</v>
      </c>
      <c r="F17" s="1"/>
      <c r="G17" s="25"/>
    </row>
    <row r="18" spans="2:25" x14ac:dyDescent="0.3">
      <c r="B18" s="21" t="s">
        <v>36</v>
      </c>
      <c r="C18">
        <v>0.5</v>
      </c>
      <c r="D18" s="6" t="s">
        <v>8</v>
      </c>
      <c r="F18" s="1"/>
    </row>
    <row r="19" spans="2:25" x14ac:dyDescent="0.3">
      <c r="B19" s="21" t="s">
        <v>19</v>
      </c>
      <c r="C19">
        <v>0.5</v>
      </c>
      <c r="D19" s="6" t="s">
        <v>8</v>
      </c>
      <c r="F19" s="1"/>
    </row>
    <row r="20" spans="2:25" x14ac:dyDescent="0.3">
      <c r="B20" s="21" t="s">
        <v>32</v>
      </c>
      <c r="C20">
        <v>4.0000000000000001E-3</v>
      </c>
      <c r="D20" s="6" t="s">
        <v>8</v>
      </c>
    </row>
    <row r="21" spans="2:25" x14ac:dyDescent="0.3">
      <c r="B21" s="21" t="s">
        <v>23</v>
      </c>
      <c r="C21">
        <v>5.0000000000000001E-4</v>
      </c>
      <c r="D21" s="6" t="s">
        <v>8</v>
      </c>
    </row>
    <row r="22" spans="2:25" ht="15" thickBot="1" x14ac:dyDescent="0.35">
      <c r="B22" s="15" t="s">
        <v>33</v>
      </c>
      <c r="C22" s="8">
        <v>125</v>
      </c>
      <c r="D22" s="9" t="s">
        <v>7</v>
      </c>
    </row>
    <row r="23" spans="2:25" ht="15" thickBot="1" x14ac:dyDescent="0.35">
      <c r="B23" s="1"/>
    </row>
    <row r="24" spans="2:25" ht="15" thickBot="1" x14ac:dyDescent="0.35">
      <c r="B24" s="2" t="s">
        <v>21</v>
      </c>
      <c r="C24" s="3"/>
      <c r="D24" s="4"/>
      <c r="F24" s="10" t="s">
        <v>39</v>
      </c>
      <c r="G24" s="17"/>
      <c r="H24" s="17"/>
      <c r="I24" s="17"/>
      <c r="J24" s="17"/>
      <c r="K24" s="17"/>
      <c r="L24" s="18"/>
    </row>
    <row r="25" spans="2:25" x14ac:dyDescent="0.3">
      <c r="B25" s="2" t="s">
        <v>24</v>
      </c>
      <c r="C25" s="59" t="s">
        <v>64</v>
      </c>
      <c r="D25" s="4" t="s">
        <v>6</v>
      </c>
      <c r="F25" s="19" t="s">
        <v>59</v>
      </c>
      <c r="G25" t="s">
        <v>68</v>
      </c>
      <c r="I25" s="1" t="s">
        <v>62</v>
      </c>
      <c r="J25" t="s">
        <v>70</v>
      </c>
      <c r="L25" s="6"/>
    </row>
    <row r="26" spans="2:25" x14ac:dyDescent="0.3">
      <c r="B26" s="19" t="s">
        <v>25</v>
      </c>
      <c r="C26" s="45" t="s">
        <v>65</v>
      </c>
      <c r="D26" s="6" t="s">
        <v>6</v>
      </c>
      <c r="F26" s="19" t="s">
        <v>60</v>
      </c>
      <c r="G26" t="s">
        <v>67</v>
      </c>
      <c r="I26" s="1" t="s">
        <v>63</v>
      </c>
      <c r="J26" t="s">
        <v>71</v>
      </c>
      <c r="L26" s="6"/>
    </row>
    <row r="27" spans="2:25" ht="29.4" thickBot="1" x14ac:dyDescent="0.35">
      <c r="B27" s="26" t="s">
        <v>37</v>
      </c>
      <c r="C27" s="46" t="s">
        <v>66</v>
      </c>
      <c r="D27" s="27" t="s">
        <v>27</v>
      </c>
      <c r="F27" s="14" t="s">
        <v>61</v>
      </c>
      <c r="G27" s="8" t="s">
        <v>69</v>
      </c>
      <c r="H27" s="8"/>
      <c r="I27" s="8"/>
      <c r="J27" s="8"/>
      <c r="K27" s="8"/>
      <c r="L27" s="9"/>
    </row>
    <row r="28" spans="2:25" ht="15" thickBot="1" x14ac:dyDescent="0.35">
      <c r="B28" s="14" t="s">
        <v>22</v>
      </c>
      <c r="C28" s="47" t="s">
        <v>28</v>
      </c>
      <c r="D28" s="9" t="s">
        <v>38</v>
      </c>
      <c r="I28" s="22"/>
    </row>
    <row r="29" spans="2:25" ht="15" thickBot="1" x14ac:dyDescent="0.35"/>
    <row r="30" spans="2:25" ht="15" thickBot="1" x14ac:dyDescent="0.35">
      <c r="B30" s="2"/>
      <c r="C30" s="10" t="s">
        <v>29</v>
      </c>
      <c r="D30" s="11"/>
      <c r="E30" s="11"/>
      <c r="F30" s="11"/>
      <c r="G30" s="12"/>
      <c r="H30" s="10" t="s">
        <v>13</v>
      </c>
      <c r="I30" s="11"/>
      <c r="J30" s="11"/>
      <c r="K30" s="11"/>
      <c r="L30" s="11"/>
      <c r="M30" s="11"/>
      <c r="N30" s="11"/>
      <c r="O30" s="12"/>
      <c r="P30" s="16" t="s">
        <v>73</v>
      </c>
      <c r="Q30" s="3"/>
      <c r="R30" s="3"/>
      <c r="S30" s="3"/>
      <c r="T30" s="4"/>
    </row>
    <row r="31" spans="2:25" ht="15" thickBot="1" x14ac:dyDescent="0.35">
      <c r="B31" s="14" t="s">
        <v>11</v>
      </c>
      <c r="C31" s="19" t="s">
        <v>39</v>
      </c>
      <c r="D31" s="1" t="s">
        <v>5</v>
      </c>
      <c r="E31" s="1" t="s">
        <v>30</v>
      </c>
      <c r="F31" s="1" t="s">
        <v>31</v>
      </c>
      <c r="G31" s="51" t="s">
        <v>34</v>
      </c>
      <c r="H31" s="2" t="s">
        <v>40</v>
      </c>
      <c r="I31" s="52" t="s">
        <v>41</v>
      </c>
      <c r="J31" s="52" t="s">
        <v>42</v>
      </c>
      <c r="K31" s="52" t="s">
        <v>79</v>
      </c>
      <c r="L31" s="52" t="s">
        <v>80</v>
      </c>
      <c r="M31" s="1" t="s">
        <v>81</v>
      </c>
      <c r="N31" s="1" t="s">
        <v>43</v>
      </c>
      <c r="O31" s="51" t="s">
        <v>44</v>
      </c>
      <c r="P31" s="10" t="s">
        <v>74</v>
      </c>
      <c r="Q31" s="11" t="s">
        <v>76</v>
      </c>
      <c r="R31" s="11" t="s">
        <v>77</v>
      </c>
      <c r="S31" s="11" t="s">
        <v>78</v>
      </c>
      <c r="T31" s="12" t="s">
        <v>75</v>
      </c>
      <c r="U31" s="1"/>
      <c r="V31" s="60"/>
      <c r="W31" s="1"/>
      <c r="X31" s="1"/>
      <c r="Y31" s="1"/>
    </row>
    <row r="32" spans="2:25" x14ac:dyDescent="0.3">
      <c r="B32" s="48">
        <v>1</v>
      </c>
      <c r="C32" s="13" t="s">
        <v>59</v>
      </c>
      <c r="D32" s="3">
        <v>0.5</v>
      </c>
      <c r="E32" s="3">
        <v>0.5</v>
      </c>
      <c r="F32" s="3">
        <v>4.0000000000000001E-3</v>
      </c>
      <c r="G32" s="3">
        <v>1</v>
      </c>
      <c r="H32" s="56">
        <v>30</v>
      </c>
      <c r="I32" s="3">
        <v>1.2E-2</v>
      </c>
      <c r="J32" s="3">
        <v>3</v>
      </c>
      <c r="K32" s="61">
        <v>19.3</v>
      </c>
      <c r="L32" s="3">
        <v>1.2E-2</v>
      </c>
      <c r="M32" s="3">
        <f>G32*J32</f>
        <v>3</v>
      </c>
      <c r="N32" s="61">
        <v>18.8</v>
      </c>
      <c r="O32" s="33" t="s">
        <v>28</v>
      </c>
      <c r="P32" s="29">
        <v>6.2117960151106201E-4</v>
      </c>
      <c r="Q32" s="30">
        <v>29.978260582246001</v>
      </c>
      <c r="R32" s="30">
        <v>23.847826252587499</v>
      </c>
      <c r="S32" s="40">
        <v>1.3296732601286559E-2</v>
      </c>
      <c r="T32" s="64">
        <v>24.586956504838</v>
      </c>
      <c r="U32" s="31"/>
      <c r="V32" s="31"/>
      <c r="W32" s="31"/>
      <c r="Y32" s="22"/>
    </row>
    <row r="33" spans="2:25" x14ac:dyDescent="0.3">
      <c r="B33" s="49">
        <v>2</v>
      </c>
      <c r="C33" s="5" t="s">
        <v>59</v>
      </c>
      <c r="D33">
        <v>0.5</v>
      </c>
      <c r="E33">
        <v>0.5</v>
      </c>
      <c r="F33">
        <v>4.0000000000000001E-3</v>
      </c>
      <c r="G33">
        <v>1</v>
      </c>
      <c r="H33" s="57">
        <v>30</v>
      </c>
      <c r="I33">
        <v>1.2E-2</v>
      </c>
      <c r="J33">
        <v>3</v>
      </c>
      <c r="K33" s="63">
        <v>19.3</v>
      </c>
      <c r="L33">
        <v>1.2E-2</v>
      </c>
      <c r="M33">
        <f t="shared" ref="M33:M96" si="0">G33*J33</f>
        <v>3</v>
      </c>
      <c r="N33" s="63">
        <v>18.8</v>
      </c>
      <c r="O33" s="34" t="s">
        <v>28</v>
      </c>
      <c r="P33" s="29">
        <v>5.0931662780295803E-2</v>
      </c>
      <c r="Q33" s="30">
        <v>29.413043184181198</v>
      </c>
      <c r="R33" s="30">
        <v>23.782608621287199</v>
      </c>
      <c r="S33" s="40">
        <v>1.3094991778581581E-2</v>
      </c>
      <c r="T33" s="64">
        <v>24.2826090100131</v>
      </c>
      <c r="U33" s="31"/>
      <c r="V33" s="31"/>
      <c r="W33" s="31"/>
      <c r="Y33" s="22"/>
    </row>
    <row r="34" spans="2:25" x14ac:dyDescent="0.3">
      <c r="B34" s="49">
        <v>3</v>
      </c>
      <c r="C34" s="5" t="s">
        <v>59</v>
      </c>
      <c r="D34">
        <v>0.5</v>
      </c>
      <c r="E34">
        <v>0.5</v>
      </c>
      <c r="F34">
        <v>4.0000000000000001E-3</v>
      </c>
      <c r="G34">
        <v>1</v>
      </c>
      <c r="H34" s="57">
        <v>30</v>
      </c>
      <c r="I34">
        <v>1.2E-2</v>
      </c>
      <c r="J34">
        <v>3</v>
      </c>
      <c r="K34" s="63">
        <v>19.3</v>
      </c>
      <c r="L34">
        <v>1.2E-2</v>
      </c>
      <c r="M34">
        <f t="shared" si="0"/>
        <v>3</v>
      </c>
      <c r="N34" s="63">
        <v>18.8</v>
      </c>
      <c r="O34" s="34" t="s">
        <v>28</v>
      </c>
      <c r="P34" s="29">
        <v>9.9378873709474305E-2</v>
      </c>
      <c r="Q34" s="30">
        <v>28.847825786116399</v>
      </c>
      <c r="R34" s="30">
        <v>23.7391310297022</v>
      </c>
      <c r="S34" s="40">
        <v>1.2884443624694578E-2</v>
      </c>
      <c r="T34" s="64">
        <v>23.956522097434299</v>
      </c>
      <c r="U34" s="31"/>
      <c r="V34" s="31"/>
      <c r="W34" s="31"/>
      <c r="Y34" s="22"/>
    </row>
    <row r="35" spans="2:25" x14ac:dyDescent="0.3">
      <c r="B35" s="49">
        <v>4</v>
      </c>
      <c r="C35" s="5" t="s">
        <v>59</v>
      </c>
      <c r="D35">
        <v>0.5</v>
      </c>
      <c r="E35">
        <v>0.5</v>
      </c>
      <c r="F35">
        <v>4.0000000000000001E-3</v>
      </c>
      <c r="G35">
        <v>1</v>
      </c>
      <c r="H35" s="57">
        <v>30</v>
      </c>
      <c r="I35">
        <v>1.2E-2</v>
      </c>
      <c r="J35">
        <v>3</v>
      </c>
      <c r="K35" s="63">
        <v>19.3</v>
      </c>
      <c r="L35">
        <v>1.2E-2</v>
      </c>
      <c r="M35">
        <f t="shared" si="0"/>
        <v>3</v>
      </c>
      <c r="N35" s="63">
        <v>18.8</v>
      </c>
      <c r="O35" s="34" t="s">
        <v>28</v>
      </c>
      <c r="P35" s="29">
        <v>0.14782608463865199</v>
      </c>
      <c r="Q35" s="30">
        <v>28.369565437105901</v>
      </c>
      <c r="R35" s="30">
        <v>23.782608621287199</v>
      </c>
      <c r="S35" s="40">
        <v>1.2673841207955934E-2</v>
      </c>
      <c r="T35" s="64">
        <v>23.630435184855401</v>
      </c>
      <c r="U35" s="31"/>
      <c r="V35" s="31"/>
      <c r="W35" s="31"/>
      <c r="Y35" s="22"/>
    </row>
    <row r="36" spans="2:25" x14ac:dyDescent="0.3">
      <c r="B36" s="49">
        <v>5</v>
      </c>
      <c r="C36" s="5" t="s">
        <v>59</v>
      </c>
      <c r="D36">
        <v>0.5</v>
      </c>
      <c r="E36">
        <v>0.5</v>
      </c>
      <c r="F36">
        <v>4.0000000000000001E-3</v>
      </c>
      <c r="G36">
        <v>1</v>
      </c>
      <c r="H36" s="57">
        <v>30</v>
      </c>
      <c r="I36">
        <v>1.2E-2</v>
      </c>
      <c r="J36">
        <v>3</v>
      </c>
      <c r="K36" s="63">
        <v>19.3</v>
      </c>
      <c r="L36">
        <v>1.2E-2</v>
      </c>
      <c r="M36">
        <f t="shared" si="0"/>
        <v>3</v>
      </c>
      <c r="N36" s="63">
        <v>18.8</v>
      </c>
      <c r="O36" s="34" t="s">
        <v>28</v>
      </c>
      <c r="P36" s="29">
        <v>0.2</v>
      </c>
      <c r="Q36" s="30">
        <v>27.847826252587499</v>
      </c>
      <c r="R36" s="30">
        <v>23.9782608932267</v>
      </c>
      <c r="S36" s="40">
        <v>1.2384246207126304E-2</v>
      </c>
      <c r="T36" s="64">
        <v>23.282608854522699</v>
      </c>
      <c r="U36" s="31"/>
      <c r="V36" s="31"/>
      <c r="W36" s="31"/>
      <c r="Y36" s="22"/>
    </row>
    <row r="37" spans="2:25" x14ac:dyDescent="0.3">
      <c r="B37" s="49">
        <v>6</v>
      </c>
      <c r="C37" s="5" t="s">
        <v>59</v>
      </c>
      <c r="D37">
        <v>0.5</v>
      </c>
      <c r="E37">
        <v>0.5</v>
      </c>
      <c r="F37">
        <v>4.0000000000000001E-3</v>
      </c>
      <c r="G37">
        <v>1</v>
      </c>
      <c r="H37" s="57">
        <v>30</v>
      </c>
      <c r="I37">
        <v>1.2E-2</v>
      </c>
      <c r="J37">
        <v>3</v>
      </c>
      <c r="K37" s="63">
        <v>19.3</v>
      </c>
      <c r="L37">
        <v>1.2E-2</v>
      </c>
      <c r="M37">
        <f t="shared" si="0"/>
        <v>3</v>
      </c>
      <c r="N37" s="63">
        <v>18.8</v>
      </c>
      <c r="O37" s="34" t="s">
        <v>28</v>
      </c>
      <c r="P37" s="29">
        <v>0.19813662112842201</v>
      </c>
      <c r="Q37" s="30">
        <v>27.8</v>
      </c>
      <c r="R37" s="30">
        <v>22.847826719058599</v>
      </c>
      <c r="S37" s="40">
        <v>1.2821793141775799E-2</v>
      </c>
      <c r="T37" s="64">
        <v>23.586956971309</v>
      </c>
      <c r="U37" s="31"/>
      <c r="V37" s="31"/>
      <c r="W37" s="31"/>
      <c r="Y37" s="22"/>
    </row>
    <row r="38" spans="2:25" x14ac:dyDescent="0.3">
      <c r="B38" s="49">
        <v>7</v>
      </c>
      <c r="C38" s="5" t="s">
        <v>59</v>
      </c>
      <c r="D38">
        <v>0.5</v>
      </c>
      <c r="E38">
        <v>0.5</v>
      </c>
      <c r="F38">
        <v>4.0000000000000001E-3</v>
      </c>
      <c r="G38">
        <v>1</v>
      </c>
      <c r="H38" s="57">
        <v>30</v>
      </c>
      <c r="I38">
        <v>1.2E-2</v>
      </c>
      <c r="J38">
        <v>3</v>
      </c>
      <c r="K38" s="63">
        <v>19.3</v>
      </c>
      <c r="L38">
        <v>1.2E-2</v>
      </c>
      <c r="M38">
        <f t="shared" si="0"/>
        <v>3</v>
      </c>
      <c r="N38" s="63">
        <v>18.8</v>
      </c>
      <c r="O38" s="34" t="s">
        <v>28</v>
      </c>
      <c r="P38" s="29">
        <v>0.25031053648976997</v>
      </c>
      <c r="Q38" s="30">
        <v>27.391304077408002</v>
      </c>
      <c r="R38" s="30">
        <v>22.760870291965698</v>
      </c>
      <c r="S38" s="40">
        <v>1.2691894346747749E-2</v>
      </c>
      <c r="T38" s="64">
        <v>23.304347650315201</v>
      </c>
      <c r="U38" s="31"/>
      <c r="V38" s="31"/>
      <c r="W38" s="31"/>
      <c r="Y38" s="22"/>
    </row>
    <row r="39" spans="2:25" x14ac:dyDescent="0.3">
      <c r="B39" s="49">
        <v>8</v>
      </c>
      <c r="C39" s="5" t="s">
        <v>59</v>
      </c>
      <c r="D39">
        <v>0.5</v>
      </c>
      <c r="E39">
        <v>0.5</v>
      </c>
      <c r="F39">
        <v>4.0000000000000001E-3</v>
      </c>
      <c r="G39">
        <v>1</v>
      </c>
      <c r="H39" s="57">
        <v>30</v>
      </c>
      <c r="I39">
        <v>1.2E-2</v>
      </c>
      <c r="J39">
        <v>3</v>
      </c>
      <c r="K39" s="63">
        <v>19.3</v>
      </c>
      <c r="L39">
        <v>1.2E-2</v>
      </c>
      <c r="M39">
        <f t="shared" si="0"/>
        <v>3</v>
      </c>
      <c r="N39" s="63">
        <v>18.8</v>
      </c>
      <c r="O39" s="34" t="s">
        <v>28</v>
      </c>
      <c r="P39" s="29">
        <v>0.30248450516210201</v>
      </c>
      <c r="Q39" s="30">
        <v>26.978260737736399</v>
      </c>
      <c r="R39" s="30">
        <v>22.7173914564579</v>
      </c>
      <c r="S39" s="40">
        <v>1.2542644857633392E-2</v>
      </c>
      <c r="T39" s="64">
        <v>22.978260737736399</v>
      </c>
      <c r="U39" s="31"/>
      <c r="V39" s="31"/>
      <c r="W39" s="31"/>
      <c r="Y39" s="22"/>
    </row>
    <row r="40" spans="2:25" x14ac:dyDescent="0.3">
      <c r="B40" s="49">
        <v>9</v>
      </c>
      <c r="C40" s="5" t="s">
        <v>59</v>
      </c>
      <c r="D40">
        <v>0.5</v>
      </c>
      <c r="E40">
        <v>0.5</v>
      </c>
      <c r="F40">
        <v>4.0000000000000001E-3</v>
      </c>
      <c r="G40">
        <v>1</v>
      </c>
      <c r="H40" s="57">
        <v>30</v>
      </c>
      <c r="I40">
        <v>1.2E-2</v>
      </c>
      <c r="J40">
        <v>3</v>
      </c>
      <c r="K40" s="63">
        <v>19.3</v>
      </c>
      <c r="L40">
        <v>1.2E-2</v>
      </c>
      <c r="M40">
        <f t="shared" si="0"/>
        <v>3</v>
      </c>
      <c r="N40" s="63">
        <v>18.8</v>
      </c>
      <c r="O40" s="34" t="s">
        <v>28</v>
      </c>
      <c r="P40" s="29">
        <v>0.35279504165187198</v>
      </c>
      <c r="Q40" s="30">
        <v>26.586956815818699</v>
      </c>
      <c r="R40" s="30">
        <v>22.7826090877582</v>
      </c>
      <c r="S40" s="40">
        <v>1.2358234231438937E-2</v>
      </c>
      <c r="T40" s="64">
        <v>22.608696233572601</v>
      </c>
      <c r="U40" s="31"/>
      <c r="V40" s="31"/>
      <c r="W40" s="31"/>
      <c r="Y40" s="22"/>
    </row>
    <row r="41" spans="2:25" x14ac:dyDescent="0.3">
      <c r="B41" s="49">
        <v>10</v>
      </c>
      <c r="C41" s="5" t="s">
        <v>59</v>
      </c>
      <c r="D41">
        <v>0.5</v>
      </c>
      <c r="E41">
        <v>0.5</v>
      </c>
      <c r="F41">
        <v>4.0000000000000001E-3</v>
      </c>
      <c r="G41">
        <v>1</v>
      </c>
      <c r="H41" s="57">
        <v>30</v>
      </c>
      <c r="I41">
        <v>1.2E-2</v>
      </c>
      <c r="J41">
        <v>3</v>
      </c>
      <c r="K41" s="63">
        <v>19.3</v>
      </c>
      <c r="L41">
        <v>1.2E-2</v>
      </c>
      <c r="M41">
        <f t="shared" si="0"/>
        <v>3</v>
      </c>
      <c r="N41" s="63">
        <v>18.8</v>
      </c>
      <c r="O41" s="34" t="s">
        <v>28</v>
      </c>
      <c r="P41" s="29">
        <v>0.40124225258105101</v>
      </c>
      <c r="Q41" s="30">
        <v>26.152174058393101</v>
      </c>
      <c r="R41" s="30">
        <v>22.978260737736399</v>
      </c>
      <c r="S41" s="40">
        <v>1.2103592462608156E-2</v>
      </c>
      <c r="T41" s="64">
        <v>22.304348116786301</v>
      </c>
      <c r="U41" s="31"/>
      <c r="V41" s="31"/>
      <c r="W41" s="31"/>
      <c r="Y41" s="22"/>
    </row>
    <row r="42" spans="2:25" x14ac:dyDescent="0.3">
      <c r="B42" s="49">
        <v>11</v>
      </c>
      <c r="C42" s="5" t="s">
        <v>59</v>
      </c>
      <c r="D42">
        <v>0.5</v>
      </c>
      <c r="E42">
        <v>0.5</v>
      </c>
      <c r="F42">
        <v>4.0000000000000001E-3</v>
      </c>
      <c r="G42">
        <v>1</v>
      </c>
      <c r="H42" s="57">
        <v>30</v>
      </c>
      <c r="I42">
        <v>1.2E-2</v>
      </c>
      <c r="J42">
        <v>3</v>
      </c>
      <c r="K42" s="63">
        <v>19.3</v>
      </c>
      <c r="L42">
        <v>1.2E-2</v>
      </c>
      <c r="M42">
        <f t="shared" si="0"/>
        <v>3</v>
      </c>
      <c r="N42" s="63">
        <v>18.8</v>
      </c>
      <c r="O42" s="34" t="s">
        <v>28</v>
      </c>
      <c r="P42" s="29">
        <v>0.40124225258105101</v>
      </c>
      <c r="Q42" s="30">
        <v>26.2</v>
      </c>
      <c r="R42" s="30">
        <v>21.9347836126225</v>
      </c>
      <c r="S42" s="40">
        <v>1.2544705882781447E-2</v>
      </c>
      <c r="T42" s="64">
        <v>22.673913864872901</v>
      </c>
      <c r="U42" s="31"/>
      <c r="V42" s="31"/>
      <c r="W42" s="31"/>
      <c r="Y42" s="22"/>
    </row>
    <row r="43" spans="2:25" x14ac:dyDescent="0.3">
      <c r="B43" s="49">
        <v>12</v>
      </c>
      <c r="C43" s="5" t="s">
        <v>59</v>
      </c>
      <c r="D43">
        <v>0.5</v>
      </c>
      <c r="E43">
        <v>0.5</v>
      </c>
      <c r="F43">
        <v>4.0000000000000001E-3</v>
      </c>
      <c r="G43">
        <v>1</v>
      </c>
      <c r="H43" s="57">
        <v>30</v>
      </c>
      <c r="I43">
        <v>1.2E-2</v>
      </c>
      <c r="J43">
        <v>3</v>
      </c>
      <c r="K43" s="63">
        <v>19.3</v>
      </c>
      <c r="L43">
        <v>1.2E-2</v>
      </c>
      <c r="M43">
        <f t="shared" si="0"/>
        <v>3</v>
      </c>
      <c r="N43" s="63">
        <v>18.8</v>
      </c>
      <c r="O43" s="34" t="s">
        <v>28</v>
      </c>
      <c r="P43" s="29">
        <v>0.44968946351022898</v>
      </c>
      <c r="Q43" s="30">
        <v>25.782608932267902</v>
      </c>
      <c r="R43" s="30">
        <v>21.7826095542293</v>
      </c>
      <c r="S43" s="40">
        <v>1.2437569562195553E-2</v>
      </c>
      <c r="T43" s="64">
        <v>22.347826952294099</v>
      </c>
      <c r="U43" s="31"/>
      <c r="V43" s="31"/>
      <c r="W43" s="31"/>
      <c r="Y43" s="22"/>
    </row>
    <row r="44" spans="2:25" x14ac:dyDescent="0.3">
      <c r="B44" s="49">
        <v>13</v>
      </c>
      <c r="C44" s="5" t="s">
        <v>59</v>
      </c>
      <c r="D44">
        <v>0.5</v>
      </c>
      <c r="E44">
        <v>0.5</v>
      </c>
      <c r="F44">
        <v>4.0000000000000001E-3</v>
      </c>
      <c r="G44">
        <v>1</v>
      </c>
      <c r="H44" s="57">
        <v>30</v>
      </c>
      <c r="I44">
        <v>1.2E-2</v>
      </c>
      <c r="J44">
        <v>3</v>
      </c>
      <c r="K44" s="63">
        <v>19.3</v>
      </c>
      <c r="L44">
        <v>1.2E-2</v>
      </c>
      <c r="M44">
        <f t="shared" si="0"/>
        <v>3</v>
      </c>
      <c r="N44" s="63">
        <v>18.8</v>
      </c>
      <c r="O44" s="34" t="s">
        <v>28</v>
      </c>
      <c r="P44" s="29">
        <v>0.50186332556059099</v>
      </c>
      <c r="Q44" s="30">
        <v>25.434782601935201</v>
      </c>
      <c r="R44" s="30">
        <v>21.739130718721501</v>
      </c>
      <c r="S44" s="40">
        <v>1.2314567856108041E-2</v>
      </c>
      <c r="T44" s="64">
        <v>22.043478835507798</v>
      </c>
      <c r="U44" s="31"/>
      <c r="V44" s="31"/>
      <c r="W44" s="31"/>
      <c r="Y44" s="22"/>
    </row>
    <row r="45" spans="2:25" x14ac:dyDescent="0.3">
      <c r="B45" s="49">
        <v>14</v>
      </c>
      <c r="C45" s="5" t="s">
        <v>59</v>
      </c>
      <c r="D45">
        <v>0.5</v>
      </c>
      <c r="E45">
        <v>0.5</v>
      </c>
      <c r="F45">
        <v>4.0000000000000001E-3</v>
      </c>
      <c r="G45">
        <v>1</v>
      </c>
      <c r="H45" s="57">
        <v>30</v>
      </c>
      <c r="I45">
        <v>1.2E-2</v>
      </c>
      <c r="J45">
        <v>3</v>
      </c>
      <c r="K45" s="63">
        <v>19.3</v>
      </c>
      <c r="L45">
        <v>1.2E-2</v>
      </c>
      <c r="M45">
        <f t="shared" si="0"/>
        <v>3</v>
      </c>
      <c r="N45" s="63">
        <v>18.8</v>
      </c>
      <c r="O45" s="34" t="s">
        <v>28</v>
      </c>
      <c r="P45" s="29">
        <v>0.55031053648977002</v>
      </c>
      <c r="Q45" s="30">
        <v>25.065217475809899</v>
      </c>
      <c r="R45" s="30">
        <v>21.826087145814299</v>
      </c>
      <c r="S45" s="40">
        <v>1.2130036626123471E-2</v>
      </c>
      <c r="T45" s="64">
        <v>21.6956518832136</v>
      </c>
      <c r="U45" s="31"/>
      <c r="V45" s="31"/>
      <c r="W45" s="31"/>
      <c r="Y45" s="22"/>
    </row>
    <row r="46" spans="2:25" x14ac:dyDescent="0.3">
      <c r="B46" s="49">
        <v>15</v>
      </c>
      <c r="C46" s="5" t="s">
        <v>59</v>
      </c>
      <c r="D46">
        <v>0.5</v>
      </c>
      <c r="E46">
        <v>0.5</v>
      </c>
      <c r="F46">
        <v>4.0000000000000001E-3</v>
      </c>
      <c r="G46">
        <v>1</v>
      </c>
      <c r="H46" s="57">
        <v>30</v>
      </c>
      <c r="I46">
        <v>1.2E-2</v>
      </c>
      <c r="J46">
        <v>3</v>
      </c>
      <c r="K46" s="63">
        <v>19.3</v>
      </c>
      <c r="L46">
        <v>1.2E-2</v>
      </c>
      <c r="M46">
        <f t="shared" si="0"/>
        <v>3</v>
      </c>
      <c r="N46" s="63">
        <v>18.8</v>
      </c>
      <c r="O46" s="34" t="s">
        <v>28</v>
      </c>
      <c r="P46" s="29">
        <v>0.60062107297954004</v>
      </c>
      <c r="Q46" s="30">
        <v>24.717391767438599</v>
      </c>
      <c r="R46" s="30">
        <v>22.043478835507798</v>
      </c>
      <c r="S46" s="40">
        <v>1.190160887632701E-2</v>
      </c>
      <c r="T46" s="64">
        <v>21.369564970634801</v>
      </c>
      <c r="U46" s="31"/>
      <c r="V46" s="31"/>
      <c r="W46" s="31"/>
      <c r="Y46" s="22"/>
    </row>
    <row r="47" spans="2:25" x14ac:dyDescent="0.3">
      <c r="B47" s="49">
        <v>16</v>
      </c>
      <c r="C47" s="5" t="s">
        <v>59</v>
      </c>
      <c r="D47">
        <v>0.5</v>
      </c>
      <c r="E47">
        <v>0.5</v>
      </c>
      <c r="F47">
        <v>4.0000000000000001E-3</v>
      </c>
      <c r="G47">
        <v>1</v>
      </c>
      <c r="H47" s="57">
        <v>30</v>
      </c>
      <c r="I47">
        <v>1.2E-2</v>
      </c>
      <c r="J47">
        <v>3</v>
      </c>
      <c r="K47" s="63">
        <v>19.3</v>
      </c>
      <c r="L47">
        <v>1.2E-2</v>
      </c>
      <c r="M47">
        <f t="shared" si="0"/>
        <v>3</v>
      </c>
      <c r="N47" s="63">
        <v>18.8</v>
      </c>
      <c r="O47" s="34" t="s">
        <v>28</v>
      </c>
      <c r="P47" s="29">
        <v>0.60248450516210195</v>
      </c>
      <c r="Q47" s="30">
        <v>24.7</v>
      </c>
      <c r="R47" s="30">
        <v>21.043478058055999</v>
      </c>
      <c r="S47" s="40">
        <v>1.2298900743637773E-2</v>
      </c>
      <c r="T47" s="64">
        <v>21.826087145814299</v>
      </c>
      <c r="U47" s="31"/>
      <c r="V47" s="31"/>
      <c r="W47" s="31"/>
      <c r="Y47" s="22"/>
    </row>
    <row r="48" spans="2:25" x14ac:dyDescent="0.3">
      <c r="B48" s="49">
        <v>17</v>
      </c>
      <c r="C48" s="5" t="s">
        <v>59</v>
      </c>
      <c r="D48">
        <v>0.5</v>
      </c>
      <c r="E48">
        <v>0.5</v>
      </c>
      <c r="F48">
        <v>4.0000000000000001E-3</v>
      </c>
      <c r="G48">
        <v>1</v>
      </c>
      <c r="H48" s="57">
        <v>30</v>
      </c>
      <c r="I48">
        <v>1.2E-2</v>
      </c>
      <c r="J48">
        <v>3</v>
      </c>
      <c r="K48" s="63">
        <v>19.3</v>
      </c>
      <c r="L48">
        <v>1.2E-2</v>
      </c>
      <c r="M48">
        <f t="shared" si="0"/>
        <v>3</v>
      </c>
      <c r="N48" s="63">
        <v>18.8</v>
      </c>
      <c r="O48" s="34" t="s">
        <v>28</v>
      </c>
      <c r="P48" s="29">
        <v>0.64906828390871796</v>
      </c>
      <c r="Q48" s="30">
        <v>24.391304854859801</v>
      </c>
      <c r="R48" s="30">
        <v>20.8260863683625</v>
      </c>
      <c r="S48" s="40">
        <v>1.2262018889609481E-2</v>
      </c>
      <c r="T48" s="64">
        <v>21.4782601935201</v>
      </c>
      <c r="U48" s="31"/>
      <c r="V48" s="31"/>
      <c r="W48" s="31"/>
      <c r="Y48" s="22"/>
    </row>
    <row r="49" spans="2:28" x14ac:dyDescent="0.3">
      <c r="B49" s="49">
        <v>18</v>
      </c>
      <c r="C49" s="5" t="s">
        <v>59</v>
      </c>
      <c r="D49">
        <v>0.5</v>
      </c>
      <c r="E49">
        <v>0.5</v>
      </c>
      <c r="F49">
        <v>4.0000000000000001E-3</v>
      </c>
      <c r="G49">
        <v>1</v>
      </c>
      <c r="H49" s="57">
        <v>30</v>
      </c>
      <c r="I49">
        <v>1.2E-2</v>
      </c>
      <c r="J49">
        <v>3</v>
      </c>
      <c r="K49" s="63">
        <v>19.3</v>
      </c>
      <c r="L49">
        <v>1.2E-2</v>
      </c>
      <c r="M49">
        <f t="shared" si="0"/>
        <v>3</v>
      </c>
      <c r="N49" s="63">
        <v>18.8</v>
      </c>
      <c r="O49" s="34" t="s">
        <v>28</v>
      </c>
      <c r="P49" s="29">
        <v>0.70124235920302203</v>
      </c>
      <c r="Q49" s="30">
        <v>24.108695533866001</v>
      </c>
      <c r="R49" s="30">
        <v>20.6956523496847</v>
      </c>
      <c r="S49" s="40">
        <v>1.2200489080489534E-2</v>
      </c>
      <c r="T49" s="64">
        <v>21.086956893563801</v>
      </c>
      <c r="U49" s="31"/>
      <c r="V49" s="31"/>
      <c r="W49" s="31"/>
      <c r="Y49" s="22"/>
    </row>
    <row r="50" spans="2:28" x14ac:dyDescent="0.3">
      <c r="B50" s="49">
        <v>19</v>
      </c>
      <c r="C50" s="5" t="s">
        <v>59</v>
      </c>
      <c r="D50">
        <v>0.5</v>
      </c>
      <c r="E50">
        <v>0.5</v>
      </c>
      <c r="F50">
        <v>4.0000000000000001E-3</v>
      </c>
      <c r="G50">
        <v>1</v>
      </c>
      <c r="H50" s="57">
        <v>30</v>
      </c>
      <c r="I50">
        <v>1.2E-2</v>
      </c>
      <c r="J50">
        <v>3</v>
      </c>
      <c r="K50" s="63">
        <v>19.3</v>
      </c>
      <c r="L50">
        <v>1.2E-2</v>
      </c>
      <c r="M50">
        <f t="shared" si="0"/>
        <v>3</v>
      </c>
      <c r="N50" s="63">
        <v>18.8</v>
      </c>
      <c r="O50" s="34" t="s">
        <v>28</v>
      </c>
      <c r="P50" s="29">
        <v>0.74968946351023003</v>
      </c>
      <c r="Q50" s="30">
        <v>23.760869825494702</v>
      </c>
      <c r="R50" s="30">
        <v>20.782608776777501</v>
      </c>
      <c r="S50" s="40">
        <v>1.202461988150462E-2</v>
      </c>
      <c r="T50" s="64">
        <v>20.782608776777501</v>
      </c>
      <c r="U50" s="31"/>
      <c r="V50" s="31"/>
      <c r="W50" s="31"/>
      <c r="Y50" s="22"/>
    </row>
    <row r="51" spans="2:28" x14ac:dyDescent="0.3">
      <c r="B51" s="49">
        <v>20</v>
      </c>
      <c r="C51" s="5" t="s">
        <v>59</v>
      </c>
      <c r="D51">
        <v>0.5</v>
      </c>
      <c r="E51">
        <v>0.5</v>
      </c>
      <c r="F51">
        <v>4.0000000000000001E-3</v>
      </c>
      <c r="G51">
        <v>1</v>
      </c>
      <c r="H51" s="57">
        <v>30</v>
      </c>
      <c r="I51">
        <v>1.2E-2</v>
      </c>
      <c r="J51">
        <v>3</v>
      </c>
      <c r="K51" s="63">
        <v>19.3</v>
      </c>
      <c r="L51">
        <v>1.2E-2</v>
      </c>
      <c r="M51">
        <f t="shared" si="0"/>
        <v>3</v>
      </c>
      <c r="N51" s="63">
        <v>18.8</v>
      </c>
      <c r="O51" s="34" t="s">
        <v>28</v>
      </c>
      <c r="P51" s="29">
        <v>0.8</v>
      </c>
      <c r="Q51" s="30">
        <v>23.456521708708401</v>
      </c>
      <c r="R51" s="30">
        <v>21.0652180977714</v>
      </c>
      <c r="S51" s="40">
        <v>1.1787255808821106E-2</v>
      </c>
      <c r="T51" s="64">
        <v>20.391304232898399</v>
      </c>
      <c r="U51" s="31"/>
      <c r="V51" s="31"/>
      <c r="W51" s="31"/>
      <c r="Y51" s="22"/>
    </row>
    <row r="52" spans="2:28" x14ac:dyDescent="0.3">
      <c r="B52" s="49">
        <v>21</v>
      </c>
      <c r="C52" s="5" t="s">
        <v>59</v>
      </c>
      <c r="D52">
        <v>0.5</v>
      </c>
      <c r="E52">
        <v>0.5</v>
      </c>
      <c r="F52">
        <v>4.0000000000000001E-3</v>
      </c>
      <c r="G52">
        <v>1</v>
      </c>
      <c r="H52" s="57">
        <v>30</v>
      </c>
      <c r="I52">
        <v>1.2E-2</v>
      </c>
      <c r="J52">
        <v>3</v>
      </c>
      <c r="K52" s="63">
        <v>19.3</v>
      </c>
      <c r="L52">
        <v>1.2E-2</v>
      </c>
      <c r="M52">
        <f t="shared" si="0"/>
        <v>3</v>
      </c>
      <c r="N52" s="63">
        <v>18.8</v>
      </c>
      <c r="O52" s="34" t="s">
        <v>28</v>
      </c>
      <c r="P52" s="29">
        <v>0.79627334887881596</v>
      </c>
      <c r="Q52" s="30">
        <v>23.5</v>
      </c>
      <c r="R52" s="30">
        <v>20.239131418428101</v>
      </c>
      <c r="S52" s="40">
        <v>1.2138980540203983E-2</v>
      </c>
      <c r="T52" s="64">
        <v>21.0652180977714</v>
      </c>
      <c r="U52" s="31"/>
      <c r="V52" s="31"/>
      <c r="W52" s="31"/>
      <c r="Y52" s="22"/>
    </row>
    <row r="53" spans="2:28" x14ac:dyDescent="0.3">
      <c r="B53" s="49">
        <v>22</v>
      </c>
      <c r="C53" s="5" t="s">
        <v>59</v>
      </c>
      <c r="D53">
        <v>0.5</v>
      </c>
      <c r="E53">
        <v>0.5</v>
      </c>
      <c r="F53">
        <v>4.0000000000000001E-3</v>
      </c>
      <c r="G53">
        <v>1</v>
      </c>
      <c r="H53" s="57">
        <v>30</v>
      </c>
      <c r="I53">
        <v>1.2E-2</v>
      </c>
      <c r="J53">
        <v>3</v>
      </c>
      <c r="K53" s="63">
        <v>19.3</v>
      </c>
      <c r="L53">
        <v>1.2E-2</v>
      </c>
      <c r="M53">
        <f t="shared" si="0"/>
        <v>3</v>
      </c>
      <c r="N53" s="63">
        <v>18.8</v>
      </c>
      <c r="O53" s="34" t="s">
        <v>28</v>
      </c>
      <c r="P53" s="29">
        <v>0.84844721092917796</v>
      </c>
      <c r="Q53" s="30">
        <v>23.195652427429899</v>
      </c>
      <c r="R53" s="30">
        <v>19.6956528161558</v>
      </c>
      <c r="S53" s="40">
        <v>1.2235831690446413E-2</v>
      </c>
      <c r="T53" s="64">
        <v>20.5434782912915</v>
      </c>
      <c r="U53" s="31"/>
      <c r="V53" s="31"/>
      <c r="W53" s="31"/>
      <c r="Y53" s="22"/>
    </row>
    <row r="54" spans="2:28" x14ac:dyDescent="0.3">
      <c r="B54" s="49">
        <v>23</v>
      </c>
      <c r="C54" s="5" t="s">
        <v>59</v>
      </c>
      <c r="D54">
        <v>0.5</v>
      </c>
      <c r="E54">
        <v>0.5</v>
      </c>
      <c r="F54">
        <v>4.0000000000000001E-3</v>
      </c>
      <c r="G54">
        <v>1</v>
      </c>
      <c r="H54" s="57">
        <v>30</v>
      </c>
      <c r="I54">
        <v>1.2E-2</v>
      </c>
      <c r="J54">
        <v>3</v>
      </c>
      <c r="K54" s="63">
        <v>19.3</v>
      </c>
      <c r="L54">
        <v>1.2E-2</v>
      </c>
      <c r="M54">
        <f t="shared" si="0"/>
        <v>3</v>
      </c>
      <c r="N54" s="63">
        <v>18.8</v>
      </c>
      <c r="O54" s="34" t="s">
        <v>28</v>
      </c>
      <c r="P54" s="29">
        <v>0.90062107297953997</v>
      </c>
      <c r="Q54" s="30">
        <v>22.891304310643601</v>
      </c>
      <c r="R54" s="30">
        <v>19.2608706806916</v>
      </c>
      <c r="S54" s="40">
        <v>1.2288719653193426E-2</v>
      </c>
      <c r="T54" s="64">
        <v>20.065216076396698</v>
      </c>
      <c r="U54" s="31"/>
      <c r="V54" s="31"/>
      <c r="W54" s="31"/>
      <c r="Y54" s="22"/>
    </row>
    <row r="55" spans="2:28" x14ac:dyDescent="0.3">
      <c r="B55" s="49">
        <v>24</v>
      </c>
      <c r="C55" s="5" t="s">
        <v>59</v>
      </c>
      <c r="D55">
        <v>0.5</v>
      </c>
      <c r="E55">
        <v>0.5</v>
      </c>
      <c r="F55">
        <v>4.0000000000000001E-3</v>
      </c>
      <c r="G55">
        <v>1</v>
      </c>
      <c r="H55" s="57">
        <v>30</v>
      </c>
      <c r="I55">
        <v>1.2E-2</v>
      </c>
      <c r="J55">
        <v>3</v>
      </c>
      <c r="K55" s="63">
        <v>19.3</v>
      </c>
      <c r="L55">
        <v>1.2E-2</v>
      </c>
      <c r="M55">
        <f t="shared" si="0"/>
        <v>3</v>
      </c>
      <c r="N55" s="63">
        <v>18.8</v>
      </c>
      <c r="O55" s="34" t="s">
        <v>28</v>
      </c>
      <c r="P55" s="29">
        <v>0.949068283908718</v>
      </c>
      <c r="Q55" s="30">
        <v>22.5217398064798</v>
      </c>
      <c r="R55" s="30">
        <v>18.978260115775001</v>
      </c>
      <c r="S55" s="40">
        <v>1.225356233752797E-2</v>
      </c>
      <c r="T55" s="64">
        <v>19.4782611264623</v>
      </c>
      <c r="U55" s="31"/>
      <c r="V55" s="31"/>
      <c r="W55" s="31"/>
      <c r="Y55" s="22"/>
    </row>
    <row r="56" spans="2:28" x14ac:dyDescent="0.3">
      <c r="B56" s="49">
        <v>25</v>
      </c>
      <c r="C56" s="5" t="s">
        <v>59</v>
      </c>
      <c r="D56">
        <v>0.5</v>
      </c>
      <c r="E56">
        <v>0.5</v>
      </c>
      <c r="F56">
        <v>4.0000000000000001E-3</v>
      </c>
      <c r="G56">
        <v>1</v>
      </c>
      <c r="H56" s="57">
        <v>30</v>
      </c>
      <c r="I56">
        <v>1.2E-2</v>
      </c>
      <c r="J56">
        <v>3</v>
      </c>
      <c r="K56" s="63">
        <v>19.3</v>
      </c>
      <c r="L56">
        <v>1.2E-2</v>
      </c>
      <c r="M56">
        <f t="shared" si="0"/>
        <v>3</v>
      </c>
      <c r="N56" s="63">
        <v>18.8</v>
      </c>
      <c r="O56" s="34" t="s">
        <v>28</v>
      </c>
      <c r="P56" s="29">
        <v>1.00124225258105</v>
      </c>
      <c r="Q56" s="30">
        <v>22.2173916896934</v>
      </c>
      <c r="R56" s="30">
        <v>19.3478271077845</v>
      </c>
      <c r="S56" s="40">
        <v>1.1980635410772504E-2</v>
      </c>
      <c r="T56" s="64">
        <v>18.84782734102</v>
      </c>
      <c r="U56" s="31"/>
      <c r="V56" s="31"/>
      <c r="W56" s="31"/>
      <c r="Y56" s="22"/>
    </row>
    <row r="57" spans="2:28" x14ac:dyDescent="0.3">
      <c r="B57" s="49">
        <v>26</v>
      </c>
      <c r="C57" s="5" t="s">
        <v>60</v>
      </c>
      <c r="D57">
        <v>0.5</v>
      </c>
      <c r="E57">
        <v>0.5</v>
      </c>
      <c r="F57">
        <v>4.0000000000000001E-3</v>
      </c>
      <c r="G57">
        <v>0.3</v>
      </c>
      <c r="H57" s="57">
        <v>30</v>
      </c>
      <c r="I57">
        <v>1.2E-2</v>
      </c>
      <c r="J57">
        <v>3</v>
      </c>
      <c r="K57" s="63">
        <v>19.8</v>
      </c>
      <c r="L57">
        <v>1.2E-2</v>
      </c>
      <c r="M57">
        <f t="shared" si="0"/>
        <v>0.89999999999999991</v>
      </c>
      <c r="N57" s="63">
        <v>17.5</v>
      </c>
      <c r="O57" s="34" t="s">
        <v>28</v>
      </c>
      <c r="P57" s="29">
        <v>-3.6363775079901999E-3</v>
      </c>
      <c r="Q57" s="30">
        <v>29.965957843129399</v>
      </c>
      <c r="R57" s="30">
        <v>25.268084313740999</v>
      </c>
      <c r="S57" s="40">
        <v>2.3451869627511026E-2</v>
      </c>
      <c r="T57" s="64">
        <v>26.340425951548799</v>
      </c>
      <c r="U57" s="31"/>
      <c r="V57" s="31"/>
      <c r="W57" s="31"/>
      <c r="Y57" s="22"/>
      <c r="AA57" s="29"/>
      <c r="AB57" s="29"/>
    </row>
    <row r="58" spans="2:28" x14ac:dyDescent="0.3">
      <c r="B58" s="49">
        <v>27</v>
      </c>
      <c r="C58" s="5" t="s">
        <v>60</v>
      </c>
      <c r="D58">
        <v>0.5</v>
      </c>
      <c r="E58">
        <v>0.5</v>
      </c>
      <c r="F58">
        <v>4.0000000000000001E-3</v>
      </c>
      <c r="G58">
        <v>0.3</v>
      </c>
      <c r="H58" s="57">
        <v>30</v>
      </c>
      <c r="I58">
        <v>1.2E-2</v>
      </c>
      <c r="J58">
        <v>3</v>
      </c>
      <c r="K58" s="63">
        <v>19.8</v>
      </c>
      <c r="L58">
        <v>1.2E-2</v>
      </c>
      <c r="M58">
        <f t="shared" si="0"/>
        <v>0.89999999999999991</v>
      </c>
      <c r="N58" s="63">
        <v>17.5</v>
      </c>
      <c r="O58" s="34" t="s">
        <v>28</v>
      </c>
      <c r="P58" s="29">
        <v>9.8181707208806895E-2</v>
      </c>
      <c r="Q58" s="30">
        <v>28.663829911570001</v>
      </c>
      <c r="R58" s="30">
        <v>24.3234039600211</v>
      </c>
      <c r="S58" s="40">
        <v>2.208960289678014E-2</v>
      </c>
      <c r="T58" s="64">
        <v>25.344681084193802</v>
      </c>
      <c r="U58" s="31"/>
      <c r="V58" s="31"/>
      <c r="W58" s="31"/>
      <c r="Y58" s="22"/>
      <c r="AA58" s="29"/>
      <c r="AB58" s="29"/>
    </row>
    <row r="59" spans="2:28" x14ac:dyDescent="0.3">
      <c r="B59" s="49">
        <v>28</v>
      </c>
      <c r="C59" s="5" t="s">
        <v>60</v>
      </c>
      <c r="D59">
        <v>0.5</v>
      </c>
      <c r="E59">
        <v>0.5</v>
      </c>
      <c r="F59">
        <v>4.0000000000000001E-3</v>
      </c>
      <c r="G59">
        <v>0.3</v>
      </c>
      <c r="H59" s="57">
        <v>30</v>
      </c>
      <c r="I59">
        <v>1.2E-2</v>
      </c>
      <c r="J59">
        <v>3</v>
      </c>
      <c r="K59" s="63">
        <v>19.8</v>
      </c>
      <c r="L59">
        <v>1.2E-2</v>
      </c>
      <c r="M59">
        <f t="shared" si="0"/>
        <v>0.89999999999999991</v>
      </c>
      <c r="N59" s="63">
        <v>17.5</v>
      </c>
      <c r="O59" s="34" t="s">
        <v>28</v>
      </c>
      <c r="P59" s="29">
        <v>0.198181637850674</v>
      </c>
      <c r="Q59" s="30">
        <v>27.5148936947312</v>
      </c>
      <c r="R59" s="30">
        <v>23.3787236063013</v>
      </c>
      <c r="S59" s="40">
        <v>2.0931649366145728E-2</v>
      </c>
      <c r="T59" s="64">
        <v>24.425531526343601</v>
      </c>
      <c r="U59" s="31"/>
      <c r="V59" s="31"/>
      <c r="W59" s="31"/>
      <c r="Y59" s="22"/>
      <c r="AA59" s="29"/>
      <c r="AB59" s="29"/>
    </row>
    <row r="60" spans="2:28" x14ac:dyDescent="0.3">
      <c r="B60" s="49">
        <v>29</v>
      </c>
      <c r="C60" s="5" t="s">
        <v>60</v>
      </c>
      <c r="D60">
        <v>0.5</v>
      </c>
      <c r="E60">
        <v>0.5</v>
      </c>
      <c r="F60">
        <v>4.0000000000000001E-3</v>
      </c>
      <c r="G60">
        <v>0.3</v>
      </c>
      <c r="H60" s="57">
        <v>30</v>
      </c>
      <c r="I60">
        <v>1.2E-2</v>
      </c>
      <c r="J60">
        <v>3</v>
      </c>
      <c r="K60" s="63">
        <v>19.8</v>
      </c>
      <c r="L60">
        <v>1.2E-2</v>
      </c>
      <c r="M60">
        <f t="shared" si="0"/>
        <v>0.89999999999999991</v>
      </c>
      <c r="N60" s="63">
        <v>17.5</v>
      </c>
      <c r="O60" s="34" t="s">
        <v>28</v>
      </c>
      <c r="P60" s="29">
        <v>0.29999993064186797</v>
      </c>
      <c r="Q60" s="30">
        <v>26.3148936947312</v>
      </c>
      <c r="R60" s="30">
        <v>22.5106378316123</v>
      </c>
      <c r="S60" s="40">
        <v>1.967200022929106E-2</v>
      </c>
      <c r="T60" s="64">
        <v>23.480850442149801</v>
      </c>
      <c r="U60" s="31"/>
      <c r="V60" s="31"/>
      <c r="W60" s="31"/>
      <c r="Y60" s="22"/>
      <c r="AA60" s="29"/>
      <c r="AB60" s="29"/>
    </row>
    <row r="61" spans="2:28" x14ac:dyDescent="0.3">
      <c r="B61" s="49">
        <v>30</v>
      </c>
      <c r="C61" s="5" t="s">
        <v>60</v>
      </c>
      <c r="D61">
        <v>0.5</v>
      </c>
      <c r="E61">
        <v>0.5</v>
      </c>
      <c r="F61">
        <v>4.0000000000000001E-3</v>
      </c>
      <c r="G61">
        <v>0.3</v>
      </c>
      <c r="H61" s="57">
        <v>30</v>
      </c>
      <c r="I61">
        <v>1.2E-2</v>
      </c>
      <c r="J61">
        <v>3</v>
      </c>
      <c r="K61" s="63">
        <v>19.8</v>
      </c>
      <c r="L61">
        <v>1.2E-2</v>
      </c>
      <c r="M61">
        <f t="shared" si="0"/>
        <v>0.89999999999999991</v>
      </c>
      <c r="N61" s="63">
        <v>17.5</v>
      </c>
      <c r="O61" s="34" t="s">
        <v>28</v>
      </c>
      <c r="P61" s="29">
        <v>0.39818191528320301</v>
      </c>
      <c r="Q61" s="30">
        <v>25.293617301032501</v>
      </c>
      <c r="R61" s="30">
        <v>21.719148827376198</v>
      </c>
      <c r="S61" s="40">
        <v>1.8620272023096466E-2</v>
      </c>
      <c r="T61" s="64">
        <v>22.561701614773501</v>
      </c>
      <c r="U61" s="31"/>
      <c r="V61" s="31"/>
      <c r="W61" s="31"/>
      <c r="Y61" s="22"/>
      <c r="AA61" s="29"/>
      <c r="AB61" s="29"/>
    </row>
    <row r="62" spans="2:28" x14ac:dyDescent="0.3">
      <c r="B62" s="49">
        <v>31</v>
      </c>
      <c r="C62" s="5" t="s">
        <v>60</v>
      </c>
      <c r="D62">
        <v>0.5</v>
      </c>
      <c r="E62">
        <v>0.5</v>
      </c>
      <c r="F62">
        <v>4.0000000000000001E-3</v>
      </c>
      <c r="G62">
        <v>0.3</v>
      </c>
      <c r="H62" s="57">
        <v>30</v>
      </c>
      <c r="I62">
        <v>1.2E-2</v>
      </c>
      <c r="J62">
        <v>3</v>
      </c>
      <c r="K62" s="63">
        <v>19.8</v>
      </c>
      <c r="L62">
        <v>1.2E-2</v>
      </c>
      <c r="M62">
        <f t="shared" si="0"/>
        <v>0.89999999999999991</v>
      </c>
      <c r="N62" s="63">
        <v>17.5</v>
      </c>
      <c r="O62" s="34" t="s">
        <v>28</v>
      </c>
      <c r="P62" s="29">
        <v>0.49818205399946702</v>
      </c>
      <c r="Q62" s="30">
        <v>24.374467012708401</v>
      </c>
      <c r="R62" s="30">
        <v>20.799999269526001</v>
      </c>
      <c r="S62" s="40">
        <v>1.7757182644104134E-2</v>
      </c>
      <c r="T62" s="64">
        <v>21.6936158400846</v>
      </c>
      <c r="U62" s="31"/>
      <c r="V62" s="31"/>
      <c r="W62" s="31"/>
      <c r="Y62" s="22"/>
      <c r="AA62" s="29"/>
      <c r="AB62" s="29"/>
    </row>
    <row r="63" spans="2:28" x14ac:dyDescent="0.3">
      <c r="B63" s="49">
        <v>32</v>
      </c>
      <c r="C63" s="5" t="s">
        <v>60</v>
      </c>
      <c r="D63">
        <v>0.5</v>
      </c>
      <c r="E63">
        <v>0.5</v>
      </c>
      <c r="F63">
        <v>4.0000000000000001E-3</v>
      </c>
      <c r="G63">
        <v>0.3</v>
      </c>
      <c r="H63" s="57">
        <v>30</v>
      </c>
      <c r="I63">
        <v>1.2E-2</v>
      </c>
      <c r="J63">
        <v>3</v>
      </c>
      <c r="K63" s="63">
        <v>19.8</v>
      </c>
      <c r="L63">
        <v>1.2E-2</v>
      </c>
      <c r="M63">
        <f t="shared" si="0"/>
        <v>0.89999999999999991</v>
      </c>
      <c r="N63" s="63">
        <v>17.5</v>
      </c>
      <c r="O63" s="34" t="s">
        <v>28</v>
      </c>
      <c r="P63" s="29">
        <v>0.59818198464133499</v>
      </c>
      <c r="Q63" s="30">
        <v>23.404255132644899</v>
      </c>
      <c r="R63" s="30">
        <v>20.034041791633499</v>
      </c>
      <c r="S63" s="40">
        <v>1.6761542395565768E-2</v>
      </c>
      <c r="T63" s="64">
        <v>20.902126835848399</v>
      </c>
      <c r="U63" s="31"/>
      <c r="V63" s="31"/>
      <c r="W63" s="31"/>
      <c r="Y63" s="22"/>
      <c r="AA63" s="29"/>
      <c r="AB63" s="29"/>
    </row>
    <row r="64" spans="2:28" x14ac:dyDescent="0.3">
      <c r="B64" s="49">
        <v>33</v>
      </c>
      <c r="C64" s="5" t="s">
        <v>60</v>
      </c>
      <c r="D64">
        <v>0.5</v>
      </c>
      <c r="E64">
        <v>0.5</v>
      </c>
      <c r="F64">
        <v>4.0000000000000001E-3</v>
      </c>
      <c r="G64">
        <v>0.3</v>
      </c>
      <c r="H64" s="57">
        <v>30</v>
      </c>
      <c r="I64">
        <v>1.2E-2</v>
      </c>
      <c r="J64">
        <v>3</v>
      </c>
      <c r="K64" s="63">
        <v>19.8</v>
      </c>
      <c r="L64">
        <v>1.2E-2</v>
      </c>
      <c r="M64">
        <f t="shared" si="0"/>
        <v>0.89999999999999991</v>
      </c>
      <c r="N64" s="63">
        <v>17.5</v>
      </c>
      <c r="O64" s="34" t="s">
        <v>28</v>
      </c>
      <c r="P64" s="29">
        <v>0.69454539905894896</v>
      </c>
      <c r="Q64" s="30">
        <v>22.485106305268701</v>
      </c>
      <c r="R64" s="30">
        <v>19.242551326449401</v>
      </c>
      <c r="S64" s="40">
        <v>1.5844136424226551E-2</v>
      </c>
      <c r="T64" s="64">
        <v>20.059573317977101</v>
      </c>
      <c r="U64" s="31"/>
      <c r="V64" s="31"/>
      <c r="W64" s="31"/>
      <c r="Y64" s="22"/>
      <c r="AA64" s="29"/>
      <c r="AB64" s="29"/>
    </row>
    <row r="65" spans="2:28" x14ac:dyDescent="0.3">
      <c r="B65" s="49">
        <v>34</v>
      </c>
      <c r="C65" s="5" t="s">
        <v>60</v>
      </c>
      <c r="D65">
        <v>0.5</v>
      </c>
      <c r="E65">
        <v>0.5</v>
      </c>
      <c r="F65">
        <v>4.0000000000000001E-3</v>
      </c>
      <c r="G65">
        <v>0.3</v>
      </c>
      <c r="H65" s="57">
        <v>30</v>
      </c>
      <c r="I65">
        <v>1.2E-2</v>
      </c>
      <c r="J65">
        <v>3</v>
      </c>
      <c r="K65" s="63">
        <v>19.8</v>
      </c>
      <c r="L65">
        <v>1.2E-2</v>
      </c>
      <c r="M65">
        <f t="shared" si="0"/>
        <v>0.89999999999999991</v>
      </c>
      <c r="N65" s="63">
        <v>17.5</v>
      </c>
      <c r="O65" s="34" t="s">
        <v>28</v>
      </c>
      <c r="P65" s="29">
        <v>0.79454532970081604</v>
      </c>
      <c r="Q65" s="30">
        <v>21.540425221074901</v>
      </c>
      <c r="R65" s="30">
        <v>18.5787228758273</v>
      </c>
      <c r="S65" s="40">
        <v>1.4839224163949515E-2</v>
      </c>
      <c r="T65" s="64">
        <v>19.140425221074899</v>
      </c>
      <c r="U65" s="31"/>
      <c r="V65" s="31"/>
      <c r="W65" s="31"/>
      <c r="Y65" s="22"/>
      <c r="AA65" s="29"/>
      <c r="AB65" s="29"/>
    </row>
    <row r="66" spans="2:28" x14ac:dyDescent="0.3">
      <c r="B66" s="49">
        <v>35</v>
      </c>
      <c r="C66" s="5" t="s">
        <v>60</v>
      </c>
      <c r="D66">
        <v>0.5</v>
      </c>
      <c r="E66">
        <v>0.5</v>
      </c>
      <c r="F66">
        <v>4.0000000000000001E-3</v>
      </c>
      <c r="G66">
        <v>0.3</v>
      </c>
      <c r="H66" s="57">
        <v>30</v>
      </c>
      <c r="I66">
        <v>1.2E-2</v>
      </c>
      <c r="J66">
        <v>3</v>
      </c>
      <c r="K66" s="63">
        <v>19.8</v>
      </c>
      <c r="L66">
        <v>1.2E-2</v>
      </c>
      <c r="M66">
        <f t="shared" si="0"/>
        <v>0.89999999999999991</v>
      </c>
      <c r="N66" s="63">
        <v>17.5</v>
      </c>
      <c r="O66" s="34" t="s">
        <v>28</v>
      </c>
      <c r="P66" s="29">
        <v>0.89454546841708105</v>
      </c>
      <c r="Q66" s="30">
        <v>20.672340176859901</v>
      </c>
      <c r="R66" s="30">
        <v>18.119148096902201</v>
      </c>
      <c r="S66" s="40">
        <v>1.3853778907359109E-2</v>
      </c>
      <c r="T66" s="64">
        <v>18.399999269525999</v>
      </c>
      <c r="U66" s="31"/>
      <c r="V66" s="31"/>
      <c r="W66" s="31"/>
      <c r="Y66" s="22"/>
      <c r="AA66" s="29"/>
      <c r="AB66" s="29"/>
    </row>
    <row r="67" spans="2:28" x14ac:dyDescent="0.3">
      <c r="B67" s="49">
        <v>36</v>
      </c>
      <c r="C67" s="5" t="s">
        <v>60</v>
      </c>
      <c r="D67">
        <v>0.5</v>
      </c>
      <c r="E67">
        <v>0.5</v>
      </c>
      <c r="F67">
        <v>4.0000000000000001E-3</v>
      </c>
      <c r="G67">
        <v>0.3</v>
      </c>
      <c r="H67" s="57">
        <v>30</v>
      </c>
      <c r="I67">
        <v>1.2E-2</v>
      </c>
      <c r="J67">
        <v>3</v>
      </c>
      <c r="K67" s="63">
        <v>19.8</v>
      </c>
      <c r="L67">
        <v>1.2E-2</v>
      </c>
      <c r="M67">
        <f t="shared" si="0"/>
        <v>0.89999999999999991</v>
      </c>
      <c r="N67" s="63">
        <v>17.5</v>
      </c>
      <c r="O67" s="34" t="s">
        <v>28</v>
      </c>
      <c r="P67" s="29">
        <v>0.99636355313387703</v>
      </c>
      <c r="Q67" s="30">
        <v>19.804255132644901</v>
      </c>
      <c r="R67" s="30">
        <v>19.855318185332202</v>
      </c>
      <c r="S67" s="40">
        <v>1.1977610522585459E-2</v>
      </c>
      <c r="T67" s="64">
        <v>17.531914225310999</v>
      </c>
      <c r="U67" s="31"/>
      <c r="V67" s="31"/>
      <c r="W67" s="31"/>
      <c r="Y67" s="22"/>
      <c r="AA67" s="29"/>
      <c r="AB67" s="29"/>
    </row>
    <row r="68" spans="2:28" x14ac:dyDescent="0.3">
      <c r="B68" s="49">
        <v>37</v>
      </c>
      <c r="C68" s="5" t="s">
        <v>61</v>
      </c>
      <c r="D68">
        <v>0.5</v>
      </c>
      <c r="E68">
        <v>0.5</v>
      </c>
      <c r="F68">
        <v>4.0000000000000001E-3</v>
      </c>
      <c r="G68">
        <v>0.3</v>
      </c>
      <c r="H68" s="57">
        <v>30</v>
      </c>
      <c r="I68">
        <v>1.2E-2</v>
      </c>
      <c r="J68">
        <v>3</v>
      </c>
      <c r="K68" s="63">
        <v>22.2</v>
      </c>
      <c r="L68">
        <v>1.2E-2</v>
      </c>
      <c r="M68">
        <f t="shared" si="0"/>
        <v>0.89999999999999991</v>
      </c>
      <c r="N68" s="63">
        <v>19.8</v>
      </c>
      <c r="O68" s="34" t="s">
        <v>28</v>
      </c>
      <c r="P68" s="29">
        <v>-4.2552323728078604E-3</v>
      </c>
      <c r="Q68" s="30">
        <v>29.953019511790401</v>
      </c>
      <c r="R68" s="30">
        <v>25.704698106425401</v>
      </c>
      <c r="S68" s="40">
        <v>2.1003582874314187E-2</v>
      </c>
      <c r="T68" s="64">
        <v>26.812080351341201</v>
      </c>
      <c r="U68" s="31"/>
      <c r="V68" s="31"/>
      <c r="W68" s="31"/>
      <c r="Y68" s="22"/>
      <c r="AA68" s="29"/>
      <c r="AB68" s="30"/>
    </row>
    <row r="69" spans="2:28" x14ac:dyDescent="0.3">
      <c r="B69" s="49">
        <v>38</v>
      </c>
      <c r="C69" s="5" t="s">
        <v>61</v>
      </c>
      <c r="D69">
        <v>0.5</v>
      </c>
      <c r="E69">
        <v>0.5</v>
      </c>
      <c r="F69">
        <v>4.0000000000000001E-3</v>
      </c>
      <c r="G69">
        <v>0.3</v>
      </c>
      <c r="H69" s="57">
        <v>30</v>
      </c>
      <c r="I69">
        <v>1.2E-2</v>
      </c>
      <c r="J69">
        <v>3</v>
      </c>
      <c r="K69" s="63">
        <v>22.2</v>
      </c>
      <c r="L69">
        <v>1.2E-2</v>
      </c>
      <c r="M69">
        <f t="shared" si="0"/>
        <v>0.89999999999999991</v>
      </c>
      <c r="N69" s="63">
        <v>19.8</v>
      </c>
      <c r="O69" s="34" t="s">
        <v>28</v>
      </c>
      <c r="P69" s="29">
        <v>4.8936217270467298E-2</v>
      </c>
      <c r="Q69" s="30">
        <v>29.3892614298815</v>
      </c>
      <c r="R69" s="30">
        <v>25.342281805739201</v>
      </c>
      <c r="S69" s="40">
        <v>2.0394421160815662E-2</v>
      </c>
      <c r="T69" s="64">
        <v>26.3691266469121</v>
      </c>
      <c r="U69" s="31"/>
      <c r="V69" s="31"/>
      <c r="W69" s="31"/>
      <c r="Y69" s="22"/>
      <c r="AA69" s="29"/>
      <c r="AB69" s="30"/>
    </row>
    <row r="70" spans="2:28" x14ac:dyDescent="0.3">
      <c r="B70" s="49">
        <v>39</v>
      </c>
      <c r="C70" s="5" t="s">
        <v>61</v>
      </c>
      <c r="D70">
        <v>0.5</v>
      </c>
      <c r="E70">
        <v>0.5</v>
      </c>
      <c r="F70">
        <v>4.0000000000000001E-3</v>
      </c>
      <c r="G70">
        <v>0.3</v>
      </c>
      <c r="H70" s="57">
        <v>30</v>
      </c>
      <c r="I70">
        <v>1.2E-2</v>
      </c>
      <c r="J70">
        <v>3</v>
      </c>
      <c r="K70" s="63">
        <v>22.2</v>
      </c>
      <c r="L70">
        <v>1.2E-2</v>
      </c>
      <c r="M70">
        <f t="shared" si="0"/>
        <v>0.89999999999999991</v>
      </c>
      <c r="N70" s="63">
        <v>19.8</v>
      </c>
      <c r="O70" s="34" t="s">
        <v>28</v>
      </c>
      <c r="P70" s="29">
        <v>9.57447879181276E-2</v>
      </c>
      <c r="Q70" s="30">
        <v>28.825503059950101</v>
      </c>
      <c r="R70" s="30">
        <v>25.100670746600098</v>
      </c>
      <c r="S70" s="40">
        <v>1.973555993127472E-2</v>
      </c>
      <c r="T70" s="64">
        <v>25.885905680723699</v>
      </c>
      <c r="U70" s="31"/>
      <c r="V70" s="31"/>
      <c r="W70" s="31"/>
      <c r="Y70" s="22"/>
      <c r="AA70" s="29"/>
      <c r="AB70" s="30"/>
    </row>
    <row r="71" spans="2:28" x14ac:dyDescent="0.3">
      <c r="B71" s="49">
        <v>40</v>
      </c>
      <c r="C71" s="5" t="s">
        <v>61</v>
      </c>
      <c r="D71">
        <v>0.5</v>
      </c>
      <c r="E71">
        <v>0.5</v>
      </c>
      <c r="F71">
        <v>4.0000000000000001E-3</v>
      </c>
      <c r="G71">
        <v>0.3</v>
      </c>
      <c r="H71" s="57">
        <v>30</v>
      </c>
      <c r="I71">
        <v>1.2E-2</v>
      </c>
      <c r="J71">
        <v>3</v>
      </c>
      <c r="K71" s="63">
        <v>22.2</v>
      </c>
      <c r="L71">
        <v>1.2E-2</v>
      </c>
      <c r="M71">
        <f t="shared" si="0"/>
        <v>0.89999999999999991</v>
      </c>
      <c r="N71" s="63">
        <v>19.8</v>
      </c>
      <c r="O71" s="34" t="s">
        <v>28</v>
      </c>
      <c r="P71" s="29">
        <v>0.14468086315204601</v>
      </c>
      <c r="Q71" s="30">
        <v>28.342281517716799</v>
      </c>
      <c r="R71" s="30">
        <v>25.020133918902101</v>
      </c>
      <c r="S71" s="40">
        <v>1.9118957744412916E-2</v>
      </c>
      <c r="T71" s="64">
        <v>25.422818633437299</v>
      </c>
      <c r="U71" s="31"/>
      <c r="V71" s="31"/>
      <c r="W71" s="31"/>
      <c r="Y71" s="22"/>
      <c r="AA71" s="29"/>
      <c r="AB71" s="30"/>
    </row>
    <row r="72" spans="2:28" x14ac:dyDescent="0.3">
      <c r="B72" s="49">
        <v>41</v>
      </c>
      <c r="C72" s="5" t="s">
        <v>61</v>
      </c>
      <c r="D72">
        <v>0.5</v>
      </c>
      <c r="E72">
        <v>0.5</v>
      </c>
      <c r="F72">
        <v>4.0000000000000001E-3</v>
      </c>
      <c r="G72">
        <v>0.3</v>
      </c>
      <c r="H72" s="57">
        <v>30</v>
      </c>
      <c r="I72">
        <v>1.2E-2</v>
      </c>
      <c r="J72">
        <v>3</v>
      </c>
      <c r="K72" s="63">
        <v>22.2</v>
      </c>
      <c r="L72">
        <v>1.2E-2</v>
      </c>
      <c r="M72">
        <f t="shared" si="0"/>
        <v>0.89999999999999991</v>
      </c>
      <c r="N72" s="63">
        <v>19.8</v>
      </c>
      <c r="O72" s="34" t="s">
        <v>28</v>
      </c>
      <c r="P72" s="29">
        <v>0.19574468646345</v>
      </c>
      <c r="Q72" s="30">
        <v>27.778522859763001</v>
      </c>
      <c r="R72" s="30">
        <v>25.302013391890199</v>
      </c>
      <c r="S72" s="40">
        <v>1.8246254818303668E-2</v>
      </c>
      <c r="T72" s="64">
        <v>24.979865505052999</v>
      </c>
      <c r="U72" s="31"/>
      <c r="V72" s="31"/>
      <c r="W72" s="31"/>
      <c r="Y72" s="22"/>
      <c r="AA72" s="29"/>
      <c r="AB72" s="30"/>
    </row>
    <row r="73" spans="2:28" x14ac:dyDescent="0.3">
      <c r="B73" s="49">
        <v>42</v>
      </c>
      <c r="C73" s="5" t="s">
        <v>61</v>
      </c>
      <c r="D73">
        <v>0.5</v>
      </c>
      <c r="E73">
        <v>0.5</v>
      </c>
      <c r="F73">
        <v>4.0000000000000001E-3</v>
      </c>
      <c r="G73">
        <v>0.3</v>
      </c>
      <c r="H73" s="57">
        <v>30</v>
      </c>
      <c r="I73">
        <v>1.2E-2</v>
      </c>
      <c r="J73">
        <v>3</v>
      </c>
      <c r="K73" s="63">
        <v>22.2</v>
      </c>
      <c r="L73">
        <v>1.2E-2</v>
      </c>
      <c r="M73">
        <f t="shared" si="0"/>
        <v>0.89999999999999991</v>
      </c>
      <c r="N73" s="63">
        <v>19.8</v>
      </c>
      <c r="O73" s="34" t="s">
        <v>28</v>
      </c>
      <c r="P73" s="29">
        <v>0.19574468646345</v>
      </c>
      <c r="Q73" s="30">
        <v>27.778522859763001</v>
      </c>
      <c r="R73" s="30">
        <v>24.6778521131628</v>
      </c>
      <c r="S73" s="40">
        <v>1.8500794005478587E-2</v>
      </c>
      <c r="T73" s="64">
        <v>25.523489956082301</v>
      </c>
      <c r="U73" s="31"/>
      <c r="V73" s="31"/>
      <c r="W73" s="31"/>
      <c r="Y73" s="22"/>
      <c r="AA73" s="29"/>
      <c r="AB73" s="30"/>
    </row>
    <row r="74" spans="2:28" x14ac:dyDescent="0.3">
      <c r="B74" s="49">
        <v>43</v>
      </c>
      <c r="C74" s="5" t="s">
        <v>61</v>
      </c>
      <c r="D74">
        <v>0.5</v>
      </c>
      <c r="E74">
        <v>0.5</v>
      </c>
      <c r="F74">
        <v>4.0000000000000001E-3</v>
      </c>
      <c r="G74">
        <v>0.3</v>
      </c>
      <c r="H74" s="57">
        <v>30</v>
      </c>
      <c r="I74">
        <v>1.2E-2</v>
      </c>
      <c r="J74">
        <v>3</v>
      </c>
      <c r="K74" s="63">
        <v>22.2</v>
      </c>
      <c r="L74">
        <v>1.2E-2</v>
      </c>
      <c r="M74">
        <f t="shared" si="0"/>
        <v>0.89999999999999991</v>
      </c>
      <c r="N74" s="63">
        <v>19.8</v>
      </c>
      <c r="O74" s="34" t="s">
        <v>28</v>
      </c>
      <c r="P74" s="29">
        <v>0.24893613610672499</v>
      </c>
      <c r="Q74" s="30">
        <v>27.335570307423598</v>
      </c>
      <c r="R74" s="30">
        <v>24.2953018935745</v>
      </c>
      <c r="S74" s="40">
        <v>1.8061209574122997E-2</v>
      </c>
      <c r="T74" s="64">
        <v>25.100670746600098</v>
      </c>
      <c r="U74" s="31"/>
      <c r="V74" s="31"/>
      <c r="W74" s="31"/>
      <c r="Y74" s="22"/>
      <c r="AA74" s="29"/>
      <c r="AB74" s="30"/>
    </row>
    <row r="75" spans="2:28" x14ac:dyDescent="0.3">
      <c r="B75" s="49">
        <v>44</v>
      </c>
      <c r="C75" s="5" t="s">
        <v>61</v>
      </c>
      <c r="D75">
        <v>0.5</v>
      </c>
      <c r="E75">
        <v>0.5</v>
      </c>
      <c r="F75">
        <v>4.0000000000000001E-3</v>
      </c>
      <c r="G75">
        <v>0.3</v>
      </c>
      <c r="H75" s="57">
        <v>30</v>
      </c>
      <c r="I75">
        <v>1.2E-2</v>
      </c>
      <c r="J75">
        <v>3</v>
      </c>
      <c r="K75" s="63">
        <v>22.2</v>
      </c>
      <c r="L75">
        <v>1.2E-2</v>
      </c>
      <c r="M75">
        <f t="shared" si="0"/>
        <v>0.89999999999999991</v>
      </c>
      <c r="N75" s="63">
        <v>19.8</v>
      </c>
      <c r="O75" s="34" t="s">
        <v>28</v>
      </c>
      <c r="P75" s="29">
        <v>0.295744645881579</v>
      </c>
      <c r="Q75" s="30">
        <v>26.9127516739862</v>
      </c>
      <c r="R75" s="30">
        <v>24.073825329382402</v>
      </c>
      <c r="S75" s="40">
        <v>1.7582822119483751E-2</v>
      </c>
      <c r="T75" s="64">
        <v>24.6778521131628</v>
      </c>
      <c r="U75" s="31"/>
      <c r="V75" s="31"/>
      <c r="W75" s="31"/>
      <c r="Y75" s="22"/>
      <c r="AA75" s="29"/>
      <c r="AB75" s="30"/>
    </row>
    <row r="76" spans="2:28" x14ac:dyDescent="0.3">
      <c r="B76" s="49">
        <v>45</v>
      </c>
      <c r="C76" s="5" t="s">
        <v>61</v>
      </c>
      <c r="D76">
        <v>0.5</v>
      </c>
      <c r="E76">
        <v>0.5</v>
      </c>
      <c r="F76">
        <v>4.0000000000000001E-3</v>
      </c>
      <c r="G76">
        <v>0.3</v>
      </c>
      <c r="H76" s="57">
        <v>30</v>
      </c>
      <c r="I76">
        <v>1.2E-2</v>
      </c>
      <c r="J76">
        <v>3</v>
      </c>
      <c r="K76" s="63">
        <v>22.2</v>
      </c>
      <c r="L76">
        <v>1.2E-2</v>
      </c>
      <c r="M76">
        <f t="shared" si="0"/>
        <v>0.89999999999999991</v>
      </c>
      <c r="N76" s="63">
        <v>19.8</v>
      </c>
      <c r="O76" s="34" t="s">
        <v>28</v>
      </c>
      <c r="P76" s="29">
        <v>0.34468078198830399</v>
      </c>
      <c r="Q76" s="30">
        <v>26.510066959450999</v>
      </c>
      <c r="R76" s="30">
        <v>23.9731545827822</v>
      </c>
      <c r="S76" s="40">
        <v>1.7082174443426665E-2</v>
      </c>
      <c r="T76" s="64">
        <v>24.2348989847785</v>
      </c>
      <c r="U76" s="31"/>
      <c r="V76" s="31"/>
      <c r="W76" s="31"/>
      <c r="Y76" s="22"/>
      <c r="AA76" s="29"/>
      <c r="AB76" s="30"/>
    </row>
    <row r="77" spans="2:28" x14ac:dyDescent="0.3">
      <c r="B77" s="49">
        <v>46</v>
      </c>
      <c r="C77" s="5" t="s">
        <v>61</v>
      </c>
      <c r="D77">
        <v>0.5</v>
      </c>
      <c r="E77">
        <v>0.5</v>
      </c>
      <c r="F77">
        <v>4.0000000000000001E-3</v>
      </c>
      <c r="G77">
        <v>0.3</v>
      </c>
      <c r="H77" s="57">
        <v>30</v>
      </c>
      <c r="I77">
        <v>1.2E-2</v>
      </c>
      <c r="J77">
        <v>3</v>
      </c>
      <c r="K77" s="63">
        <v>22.2</v>
      </c>
      <c r="L77">
        <v>1.2E-2</v>
      </c>
      <c r="M77">
        <f t="shared" si="0"/>
        <v>0.89999999999999991</v>
      </c>
      <c r="N77" s="63">
        <v>19.8</v>
      </c>
      <c r="O77" s="34" t="s">
        <v>28</v>
      </c>
      <c r="P77" s="29">
        <v>0.39787229250438599</v>
      </c>
      <c r="Q77" s="30">
        <v>26.0268454172177</v>
      </c>
      <c r="R77" s="30">
        <v>24.315436388521501</v>
      </c>
      <c r="S77" s="40">
        <v>1.6292986353025254E-2</v>
      </c>
      <c r="T77" s="64">
        <v>23.812080351341201</v>
      </c>
      <c r="U77" s="31"/>
      <c r="V77" s="31"/>
      <c r="W77" s="31"/>
      <c r="Y77" s="22"/>
      <c r="AA77" s="29"/>
      <c r="AB77" s="30"/>
    </row>
    <row r="78" spans="2:28" x14ac:dyDescent="0.3">
      <c r="B78" s="49">
        <v>47</v>
      </c>
      <c r="C78" s="5" t="s">
        <v>61</v>
      </c>
      <c r="D78">
        <v>0.5</v>
      </c>
      <c r="E78">
        <v>0.5</v>
      </c>
      <c r="F78">
        <v>4.0000000000000001E-3</v>
      </c>
      <c r="G78">
        <v>0.3</v>
      </c>
      <c r="H78" s="57">
        <v>30</v>
      </c>
      <c r="I78">
        <v>1.2E-2</v>
      </c>
      <c r="J78">
        <v>3</v>
      </c>
      <c r="K78" s="63">
        <v>22.2</v>
      </c>
      <c r="L78">
        <v>1.2E-2</v>
      </c>
      <c r="M78">
        <f t="shared" si="0"/>
        <v>0.89999999999999991</v>
      </c>
      <c r="N78" s="63">
        <v>19.8</v>
      </c>
      <c r="O78" s="34" t="s">
        <v>28</v>
      </c>
      <c r="P78" s="29">
        <v>0.39787229250438599</v>
      </c>
      <c r="Q78" s="30">
        <v>26.0268454172177</v>
      </c>
      <c r="R78" s="30">
        <v>23.771811937492199</v>
      </c>
      <c r="S78" s="40">
        <v>1.6514065907141221E-2</v>
      </c>
      <c r="T78" s="64">
        <v>24.456374972925801</v>
      </c>
      <c r="U78" s="31"/>
      <c r="V78" s="31"/>
      <c r="W78" s="31"/>
      <c r="Y78" s="22"/>
      <c r="AA78" s="29"/>
      <c r="AB78" s="30"/>
    </row>
    <row r="79" spans="2:28" x14ac:dyDescent="0.3">
      <c r="B79" s="49">
        <v>48</v>
      </c>
      <c r="C79" s="5" t="s">
        <v>61</v>
      </c>
      <c r="D79">
        <v>0.5</v>
      </c>
      <c r="E79">
        <v>0.5</v>
      </c>
      <c r="F79">
        <v>4.0000000000000001E-3</v>
      </c>
      <c r="G79">
        <v>0.3</v>
      </c>
      <c r="H79" s="57">
        <v>30</v>
      </c>
      <c r="I79">
        <v>1.2E-2</v>
      </c>
      <c r="J79">
        <v>3</v>
      </c>
      <c r="K79" s="63">
        <v>22.2</v>
      </c>
      <c r="L79">
        <v>1.2E-2</v>
      </c>
      <c r="M79">
        <f t="shared" si="0"/>
        <v>0.89999999999999991</v>
      </c>
      <c r="N79" s="63">
        <v>19.8</v>
      </c>
      <c r="O79" s="34" t="s">
        <v>28</v>
      </c>
      <c r="P79" s="29">
        <v>0.448936054942983</v>
      </c>
      <c r="Q79" s="30">
        <v>25.684563611478499</v>
      </c>
      <c r="R79" s="30">
        <v>23.409396212850801</v>
      </c>
      <c r="S79" s="40">
        <v>1.6200938271172655E-2</v>
      </c>
      <c r="T79" s="64">
        <v>24.0536908344355</v>
      </c>
      <c r="U79" s="31"/>
      <c r="V79" s="31"/>
      <c r="W79" s="31"/>
      <c r="Y79" s="22"/>
      <c r="AA79" s="29"/>
      <c r="AB79" s="30"/>
    </row>
    <row r="80" spans="2:28" x14ac:dyDescent="0.3">
      <c r="B80" s="49">
        <v>49</v>
      </c>
      <c r="C80" s="5" t="s">
        <v>61</v>
      </c>
      <c r="D80">
        <v>0.5</v>
      </c>
      <c r="E80">
        <v>0.5</v>
      </c>
      <c r="F80">
        <v>4.0000000000000001E-3</v>
      </c>
      <c r="G80">
        <v>0.3</v>
      </c>
      <c r="H80" s="57">
        <v>30</v>
      </c>
      <c r="I80">
        <v>1.2E-2</v>
      </c>
      <c r="J80">
        <v>3</v>
      </c>
      <c r="K80" s="63">
        <v>22.2</v>
      </c>
      <c r="L80">
        <v>1.2E-2</v>
      </c>
      <c r="M80">
        <f t="shared" si="0"/>
        <v>0.89999999999999991</v>
      </c>
      <c r="N80" s="63">
        <v>19.8</v>
      </c>
      <c r="O80" s="34" t="s">
        <v>28</v>
      </c>
      <c r="P80" s="29">
        <v>0.49574456471783701</v>
      </c>
      <c r="Q80" s="30">
        <v>25.3221473107923</v>
      </c>
      <c r="R80" s="30">
        <v>23.107382820960598</v>
      </c>
      <c r="S80" s="40">
        <v>1.5835988904324836E-2</v>
      </c>
      <c r="T80" s="64">
        <v>23.651006119900199</v>
      </c>
      <c r="U80" s="31"/>
      <c r="V80" s="31"/>
      <c r="W80" s="31"/>
      <c r="Y80" s="22"/>
      <c r="AA80" s="29"/>
      <c r="AB80" s="30"/>
    </row>
    <row r="81" spans="2:28" x14ac:dyDescent="0.3">
      <c r="B81" s="49">
        <v>50</v>
      </c>
      <c r="C81" s="5" t="s">
        <v>61</v>
      </c>
      <c r="D81">
        <v>0.5</v>
      </c>
      <c r="E81">
        <v>0.5</v>
      </c>
      <c r="F81">
        <v>4.0000000000000001E-3</v>
      </c>
      <c r="G81">
        <v>0.3</v>
      </c>
      <c r="H81" s="57">
        <v>30</v>
      </c>
      <c r="I81">
        <v>1.2E-2</v>
      </c>
      <c r="J81">
        <v>3</v>
      </c>
      <c r="K81" s="63">
        <v>22.2</v>
      </c>
      <c r="L81">
        <v>1.2E-2</v>
      </c>
      <c r="M81">
        <f t="shared" si="0"/>
        <v>0.89999999999999991</v>
      </c>
      <c r="N81" s="63">
        <v>19.8</v>
      </c>
      <c r="O81" s="34" t="s">
        <v>28</v>
      </c>
      <c r="P81" s="29">
        <v>0.54893607523391896</v>
      </c>
      <c r="Q81" s="30">
        <v>25</v>
      </c>
      <c r="R81" s="30">
        <v>22.986577003368701</v>
      </c>
      <c r="S81" s="40">
        <v>1.5451460455778551E-2</v>
      </c>
      <c r="T81" s="64">
        <v>23.187919648658699</v>
      </c>
      <c r="U81" s="31"/>
      <c r="V81" s="31"/>
      <c r="W81" s="31"/>
      <c r="Y81" s="22"/>
      <c r="AA81" s="29"/>
      <c r="AB81" s="30"/>
    </row>
    <row r="82" spans="2:28" x14ac:dyDescent="0.3">
      <c r="B82" s="49">
        <v>51</v>
      </c>
      <c r="C82" s="5" t="s">
        <v>61</v>
      </c>
      <c r="D82">
        <v>0.5</v>
      </c>
      <c r="E82">
        <v>0.5</v>
      </c>
      <c r="F82">
        <v>4.0000000000000001E-3</v>
      </c>
      <c r="G82">
        <v>0.3</v>
      </c>
      <c r="H82" s="57">
        <v>30</v>
      </c>
      <c r="I82">
        <v>1.2E-2</v>
      </c>
      <c r="J82">
        <v>3</v>
      </c>
      <c r="K82" s="63">
        <v>22.2</v>
      </c>
      <c r="L82">
        <v>1.2E-2</v>
      </c>
      <c r="M82">
        <f t="shared" si="0"/>
        <v>0.89999999999999991</v>
      </c>
      <c r="N82" s="63">
        <v>19.8</v>
      </c>
      <c r="O82" s="34" t="s">
        <v>28</v>
      </c>
      <c r="P82" s="29">
        <v>0.59574458500877203</v>
      </c>
      <c r="Q82" s="30">
        <v>24.577181366562598</v>
      </c>
      <c r="R82" s="30">
        <v>23.570469868246999</v>
      </c>
      <c r="S82" s="40">
        <v>1.4645399684628647E-2</v>
      </c>
      <c r="T82" s="64">
        <v>22.744965368184801</v>
      </c>
      <c r="U82" s="31"/>
      <c r="V82" s="31"/>
      <c r="W82" s="31"/>
      <c r="Y82" s="22"/>
      <c r="AA82" s="29"/>
      <c r="AB82" s="30"/>
    </row>
    <row r="83" spans="2:28" x14ac:dyDescent="0.3">
      <c r="B83" s="49">
        <v>52</v>
      </c>
      <c r="C83" s="5" t="s">
        <v>61</v>
      </c>
      <c r="D83">
        <v>0.5</v>
      </c>
      <c r="E83">
        <v>0.5</v>
      </c>
      <c r="F83">
        <v>4.0000000000000001E-3</v>
      </c>
      <c r="G83">
        <v>0.3</v>
      </c>
      <c r="H83" s="57">
        <v>30</v>
      </c>
      <c r="I83">
        <v>1.2E-2</v>
      </c>
      <c r="J83">
        <v>3</v>
      </c>
      <c r="K83" s="63">
        <v>22.2</v>
      </c>
      <c r="L83">
        <v>1.2E-2</v>
      </c>
      <c r="M83">
        <f t="shared" si="0"/>
        <v>0.89999999999999991</v>
      </c>
      <c r="N83" s="63">
        <v>19.8</v>
      </c>
      <c r="O83" s="34" t="s">
        <v>28</v>
      </c>
      <c r="P83" s="29">
        <v>0.59787221134064406</v>
      </c>
      <c r="Q83" s="30">
        <v>24.577181366562598</v>
      </c>
      <c r="R83" s="30">
        <v>23.107382820960598</v>
      </c>
      <c r="S83" s="40">
        <v>1.4833270021769759E-2</v>
      </c>
      <c r="T83" s="64">
        <v>23.570469868246999</v>
      </c>
      <c r="U83" s="31"/>
      <c r="V83" s="31"/>
      <c r="W83" s="31"/>
      <c r="Y83" s="22"/>
      <c r="AA83" s="29"/>
      <c r="AB83" s="30"/>
    </row>
    <row r="84" spans="2:28" x14ac:dyDescent="0.3">
      <c r="B84" s="49">
        <v>53</v>
      </c>
      <c r="C84" s="5" t="s">
        <v>61</v>
      </c>
      <c r="D84">
        <v>0.5</v>
      </c>
      <c r="E84">
        <v>0.5</v>
      </c>
      <c r="F84">
        <v>4.0000000000000001E-3</v>
      </c>
      <c r="G84">
        <v>0.3</v>
      </c>
      <c r="H84" s="57">
        <v>30</v>
      </c>
      <c r="I84">
        <v>1.2E-2</v>
      </c>
      <c r="J84">
        <v>3</v>
      </c>
      <c r="K84" s="63">
        <v>22.2</v>
      </c>
      <c r="L84">
        <v>1.2E-2</v>
      </c>
      <c r="M84">
        <f t="shared" si="0"/>
        <v>0.89999999999999991</v>
      </c>
      <c r="N84" s="63">
        <v>19.8</v>
      </c>
      <c r="O84" s="34" t="s">
        <v>28</v>
      </c>
      <c r="P84" s="29">
        <v>0.64893609552485398</v>
      </c>
      <c r="Q84" s="30">
        <v>24.335570307423598</v>
      </c>
      <c r="R84" s="30">
        <v>22.7651004391765</v>
      </c>
      <c r="S84" s="40">
        <v>1.4646924569785592E-2</v>
      </c>
      <c r="T84" s="64">
        <v>23.167785729756599</v>
      </c>
      <c r="U84" s="31"/>
      <c r="V84" s="31"/>
      <c r="W84" s="31"/>
      <c r="Y84" s="22"/>
      <c r="AA84" s="29"/>
      <c r="AB84" s="30"/>
    </row>
    <row r="85" spans="2:28" x14ac:dyDescent="0.3">
      <c r="B85" s="49">
        <v>54</v>
      </c>
      <c r="C85" s="5" t="s">
        <v>61</v>
      </c>
      <c r="D85">
        <v>0.5</v>
      </c>
      <c r="E85">
        <v>0.5</v>
      </c>
      <c r="F85">
        <v>4.0000000000000001E-3</v>
      </c>
      <c r="G85">
        <v>0.3</v>
      </c>
      <c r="H85" s="57">
        <v>30</v>
      </c>
      <c r="I85">
        <v>1.2E-2</v>
      </c>
      <c r="J85">
        <v>3</v>
      </c>
      <c r="K85" s="63">
        <v>22.2</v>
      </c>
      <c r="L85">
        <v>1.2E-2</v>
      </c>
      <c r="M85">
        <f t="shared" si="0"/>
        <v>0.89999999999999991</v>
      </c>
      <c r="N85" s="63">
        <v>19.8</v>
      </c>
      <c r="O85" s="34" t="s">
        <v>28</v>
      </c>
      <c r="P85" s="29">
        <v>0.69787223163157996</v>
      </c>
      <c r="Q85" s="30">
        <v>24.0536908344355</v>
      </c>
      <c r="R85" s="30">
        <v>22.261745554086001</v>
      </c>
      <c r="S85" s="40">
        <v>1.4471617890095342E-2</v>
      </c>
      <c r="T85" s="64">
        <v>22.805369429070399</v>
      </c>
      <c r="U85" s="31"/>
      <c r="V85" s="31"/>
      <c r="W85" s="31"/>
      <c r="Y85" s="22"/>
      <c r="AA85" s="29"/>
      <c r="AB85" s="30"/>
    </row>
    <row r="86" spans="2:28" x14ac:dyDescent="0.3">
      <c r="B86" s="49">
        <v>55</v>
      </c>
      <c r="C86" s="5" t="s">
        <v>61</v>
      </c>
      <c r="D86">
        <v>0.5</v>
      </c>
      <c r="E86">
        <v>0.5</v>
      </c>
      <c r="F86">
        <v>4.0000000000000001E-3</v>
      </c>
      <c r="G86">
        <v>0.3</v>
      </c>
      <c r="H86" s="57">
        <v>30</v>
      </c>
      <c r="I86">
        <v>1.2E-2</v>
      </c>
      <c r="J86">
        <v>3</v>
      </c>
      <c r="K86" s="63">
        <v>22.2</v>
      </c>
      <c r="L86">
        <v>1.2E-2</v>
      </c>
      <c r="M86" s="30">
        <f t="shared" si="0"/>
        <v>0.89999999999999991</v>
      </c>
      <c r="N86" s="63">
        <v>19.8</v>
      </c>
      <c r="O86" s="34" t="s">
        <v>28</v>
      </c>
      <c r="P86" s="29">
        <v>0.74680848948391798</v>
      </c>
      <c r="Q86" s="30">
        <v>23.751677442545201</v>
      </c>
      <c r="R86" s="30">
        <v>22.0402689898938</v>
      </c>
      <c r="S86" s="40">
        <v>1.4154691501714167E-2</v>
      </c>
      <c r="T86" s="64">
        <v>22.261745554086001</v>
      </c>
      <c r="U86" s="31"/>
      <c r="V86" s="31"/>
      <c r="W86" s="31"/>
      <c r="Y86" s="22"/>
      <c r="AA86" s="29"/>
      <c r="AB86" s="30"/>
    </row>
    <row r="87" spans="2:28" x14ac:dyDescent="0.3">
      <c r="B87" s="49">
        <v>56</v>
      </c>
      <c r="C87" s="5" t="s">
        <v>61</v>
      </c>
      <c r="D87">
        <v>0.5</v>
      </c>
      <c r="E87">
        <v>0.5</v>
      </c>
      <c r="F87">
        <v>4.0000000000000001E-3</v>
      </c>
      <c r="G87">
        <v>0.3</v>
      </c>
      <c r="H87" s="57">
        <v>30</v>
      </c>
      <c r="I87">
        <v>1.2E-2</v>
      </c>
      <c r="J87">
        <v>3</v>
      </c>
      <c r="K87" s="63">
        <v>22.2</v>
      </c>
      <c r="L87">
        <v>1.2E-2</v>
      </c>
      <c r="M87" s="30">
        <f t="shared" si="0"/>
        <v>0.89999999999999991</v>
      </c>
      <c r="N87" s="63">
        <v>19.8</v>
      </c>
      <c r="O87" s="34" t="s">
        <v>28</v>
      </c>
      <c r="P87" s="29">
        <v>0.79574450384503104</v>
      </c>
      <c r="Q87" s="30">
        <v>23.369127222957001</v>
      </c>
      <c r="R87" s="30">
        <v>23.067113831066699</v>
      </c>
      <c r="S87" s="40">
        <v>1.3223533499538769E-2</v>
      </c>
      <c r="T87" s="64">
        <v>21.657717618215901</v>
      </c>
      <c r="U87" s="31"/>
      <c r="V87" s="31"/>
      <c r="W87" s="31"/>
      <c r="Y87" s="22"/>
      <c r="AA87" s="29"/>
      <c r="AB87" s="30"/>
    </row>
    <row r="88" spans="2:28" x14ac:dyDescent="0.3">
      <c r="B88" s="49">
        <v>57</v>
      </c>
      <c r="C88" s="5" t="s">
        <v>61</v>
      </c>
      <c r="D88">
        <v>0.5</v>
      </c>
      <c r="E88">
        <v>0.5</v>
      </c>
      <c r="F88">
        <v>4.0000000000000001E-3</v>
      </c>
      <c r="G88">
        <v>0.3</v>
      </c>
      <c r="H88" s="57">
        <v>30</v>
      </c>
      <c r="I88">
        <v>1.2E-2</v>
      </c>
      <c r="J88">
        <v>3</v>
      </c>
      <c r="K88" s="63">
        <v>22.2</v>
      </c>
      <c r="L88">
        <v>1.2E-2</v>
      </c>
      <c r="M88" s="30">
        <f t="shared" si="0"/>
        <v>0.89999999999999991</v>
      </c>
      <c r="N88" s="63">
        <v>19.8</v>
      </c>
      <c r="O88" s="34" t="s">
        <v>28</v>
      </c>
      <c r="P88" s="29">
        <v>0.79574450384503104</v>
      </c>
      <c r="Q88" s="30">
        <v>23.369127222957001</v>
      </c>
      <c r="R88" s="30">
        <v>22.744965368184801</v>
      </c>
      <c r="S88" s="40">
        <v>1.3353932288294431E-2</v>
      </c>
      <c r="T88" s="64">
        <v>22.906040175670601</v>
      </c>
      <c r="U88" s="31"/>
      <c r="V88" s="31"/>
      <c r="W88" s="31"/>
      <c r="Y88" s="22"/>
      <c r="AA88" s="29"/>
      <c r="AB88" s="30"/>
    </row>
    <row r="89" spans="2:28" x14ac:dyDescent="0.3">
      <c r="B89" s="49">
        <v>58</v>
      </c>
      <c r="C89" s="5" t="s">
        <v>61</v>
      </c>
      <c r="D89">
        <v>0.5</v>
      </c>
      <c r="E89">
        <v>0.5</v>
      </c>
      <c r="F89">
        <v>4.0000000000000001E-3</v>
      </c>
      <c r="G89">
        <v>0.3</v>
      </c>
      <c r="H89" s="57">
        <v>30</v>
      </c>
      <c r="I89">
        <v>1.2E-2</v>
      </c>
      <c r="J89">
        <v>3</v>
      </c>
      <c r="K89" s="63">
        <v>22.2</v>
      </c>
      <c r="L89">
        <v>1.2E-2</v>
      </c>
      <c r="M89" s="30">
        <f t="shared" si="0"/>
        <v>0.89999999999999991</v>
      </c>
      <c r="N89" s="63">
        <v>19.8</v>
      </c>
      <c r="O89" s="34" t="s">
        <v>28</v>
      </c>
      <c r="P89" s="29">
        <v>0.84468063995175602</v>
      </c>
      <c r="Q89" s="30">
        <v>23.2684564763568</v>
      </c>
      <c r="R89" s="30">
        <v>22.261745554086001</v>
      </c>
      <c r="S89" s="40">
        <v>1.3414057946257524E-2</v>
      </c>
      <c r="T89" s="64">
        <v>22.583892864878301</v>
      </c>
      <c r="U89" s="31"/>
      <c r="V89" s="31"/>
      <c r="W89" s="31"/>
      <c r="Y89" s="22"/>
      <c r="AA89" s="29"/>
      <c r="AB89" s="30"/>
    </row>
    <row r="90" spans="2:28" x14ac:dyDescent="0.3">
      <c r="B90" s="49">
        <v>59</v>
      </c>
      <c r="C90" s="5" t="s">
        <v>61</v>
      </c>
      <c r="D90">
        <v>0.5</v>
      </c>
      <c r="E90">
        <v>0.5</v>
      </c>
      <c r="F90">
        <v>4.0000000000000001E-3</v>
      </c>
      <c r="G90">
        <v>0.3</v>
      </c>
      <c r="H90" s="57">
        <v>30</v>
      </c>
      <c r="I90">
        <v>1.2E-2</v>
      </c>
      <c r="J90">
        <v>3</v>
      </c>
      <c r="K90" s="63">
        <v>22.2</v>
      </c>
      <c r="L90">
        <v>1.2E-2</v>
      </c>
      <c r="M90" s="30">
        <f t="shared" si="0"/>
        <v>0.89999999999999991</v>
      </c>
      <c r="N90" s="63">
        <v>19.8</v>
      </c>
      <c r="O90" s="34" t="s">
        <v>28</v>
      </c>
      <c r="P90" s="29">
        <v>0.90212740313158102</v>
      </c>
      <c r="Q90" s="30">
        <v>23.006710922270798</v>
      </c>
      <c r="R90" s="30">
        <v>21.5570468716157</v>
      </c>
      <c r="S90" s="40">
        <v>1.334694483456437E-2</v>
      </c>
      <c r="T90" s="64">
        <v>22</v>
      </c>
      <c r="U90" s="31"/>
      <c r="V90" s="31"/>
      <c r="W90" s="31"/>
      <c r="Y90" s="22"/>
      <c r="AA90" s="29"/>
      <c r="AB90" s="30"/>
    </row>
    <row r="91" spans="2:28" x14ac:dyDescent="0.3">
      <c r="B91" s="49">
        <v>60</v>
      </c>
      <c r="C91" s="5" t="s">
        <v>61</v>
      </c>
      <c r="D91">
        <v>0.5</v>
      </c>
      <c r="E91">
        <v>0.5</v>
      </c>
      <c r="F91">
        <v>4.0000000000000001E-3</v>
      </c>
      <c r="G91">
        <v>0.3</v>
      </c>
      <c r="H91" s="57">
        <v>30</v>
      </c>
      <c r="I91">
        <v>1.2E-2</v>
      </c>
      <c r="J91">
        <v>3</v>
      </c>
      <c r="K91" s="63">
        <v>22.2</v>
      </c>
      <c r="L91">
        <v>1.2E-2</v>
      </c>
      <c r="M91" s="30">
        <f t="shared" si="0"/>
        <v>0.89999999999999991</v>
      </c>
      <c r="N91" s="63">
        <v>19.8</v>
      </c>
      <c r="O91" s="34" t="s">
        <v>28</v>
      </c>
      <c r="P91" s="29">
        <v>0.94680828657456295</v>
      </c>
      <c r="Q91" s="30">
        <v>22.704697530380599</v>
      </c>
      <c r="R91" s="30">
        <v>20.6107377060512</v>
      </c>
      <c r="S91" s="40">
        <v>1.332342480503816E-2</v>
      </c>
      <c r="T91" s="64">
        <v>21.114092591141802</v>
      </c>
      <c r="U91" s="31"/>
      <c r="V91" s="31"/>
      <c r="W91" s="31"/>
      <c r="Y91" s="22"/>
      <c r="AA91" s="29"/>
      <c r="AB91" s="30"/>
    </row>
    <row r="92" spans="2:28" x14ac:dyDescent="0.3">
      <c r="B92" s="49">
        <v>61</v>
      </c>
      <c r="C92" s="5" t="s">
        <v>61</v>
      </c>
      <c r="D92">
        <v>0.5</v>
      </c>
      <c r="E92">
        <v>0.5</v>
      </c>
      <c r="F92">
        <v>4.0000000000000001E-3</v>
      </c>
      <c r="G92">
        <v>0.3</v>
      </c>
      <c r="H92" s="57">
        <v>30</v>
      </c>
      <c r="I92">
        <v>1.2E-2</v>
      </c>
      <c r="J92">
        <v>3</v>
      </c>
      <c r="K92" s="63">
        <v>22.2</v>
      </c>
      <c r="L92">
        <v>1.2E-2</v>
      </c>
      <c r="M92" s="30">
        <f t="shared" si="0"/>
        <v>0.89999999999999991</v>
      </c>
      <c r="N92" s="63">
        <v>19.8</v>
      </c>
      <c r="O92" s="34" t="s">
        <v>28</v>
      </c>
      <c r="P92" s="29">
        <v>0.99787204901315996</v>
      </c>
      <c r="Q92" s="30">
        <v>22.2</v>
      </c>
      <c r="R92" s="30">
        <v>22.2</v>
      </c>
      <c r="S92" s="40">
        <v>1.2E-2</v>
      </c>
      <c r="T92" s="64">
        <v>19.7651004391765</v>
      </c>
      <c r="U92" s="31"/>
      <c r="V92" s="31"/>
      <c r="W92" s="31"/>
      <c r="Y92" s="22"/>
      <c r="AA92" s="29"/>
      <c r="AB92" s="30"/>
    </row>
    <row r="93" spans="2:28" x14ac:dyDescent="0.3">
      <c r="B93" s="49">
        <v>62</v>
      </c>
      <c r="C93" s="5" t="s">
        <v>62</v>
      </c>
      <c r="D93">
        <v>0.5</v>
      </c>
      <c r="E93">
        <v>0.5</v>
      </c>
      <c r="F93">
        <v>4.0000000000000001E-3</v>
      </c>
      <c r="G93">
        <v>1</v>
      </c>
      <c r="H93" s="57">
        <v>30</v>
      </c>
      <c r="I93">
        <v>1.2E-2</v>
      </c>
      <c r="J93">
        <v>3</v>
      </c>
      <c r="K93" s="63">
        <v>18.899999999999999</v>
      </c>
      <c r="L93">
        <v>1.2E-2</v>
      </c>
      <c r="M93" s="30">
        <f t="shared" si="0"/>
        <v>3</v>
      </c>
      <c r="N93" s="63">
        <v>19.100000000000001</v>
      </c>
      <c r="O93" s="34" t="s">
        <v>28</v>
      </c>
      <c r="P93" s="29">
        <v>-1.76981650298371E-3</v>
      </c>
      <c r="Q93" s="30">
        <v>30.020201516168498</v>
      </c>
      <c r="R93" s="30">
        <v>25.434343675656699</v>
      </c>
      <c r="S93" s="22">
        <v>1.2696716203382056E-2</v>
      </c>
      <c r="T93" s="64">
        <v>25.757575062826898</v>
      </c>
      <c r="U93" s="31"/>
      <c r="V93" s="31"/>
      <c r="W93" s="31"/>
      <c r="Y93" s="22"/>
      <c r="AA93" s="29"/>
      <c r="AB93" s="30"/>
    </row>
    <row r="94" spans="2:28" x14ac:dyDescent="0.3">
      <c r="B94" s="49">
        <v>63</v>
      </c>
      <c r="C94" s="5" t="s">
        <v>62</v>
      </c>
      <c r="D94">
        <v>0.5</v>
      </c>
      <c r="E94">
        <v>0.5</v>
      </c>
      <c r="F94">
        <v>4.0000000000000001E-3</v>
      </c>
      <c r="G94">
        <v>1</v>
      </c>
      <c r="H94" s="57">
        <v>30</v>
      </c>
      <c r="I94">
        <v>1.2E-2</v>
      </c>
      <c r="J94">
        <v>3</v>
      </c>
      <c r="K94" s="63">
        <v>18.899999999999999</v>
      </c>
      <c r="L94">
        <v>1.2E-2</v>
      </c>
      <c r="M94" s="30">
        <f t="shared" si="0"/>
        <v>3</v>
      </c>
      <c r="N94" s="63">
        <v>19.100000000000001</v>
      </c>
      <c r="O94" s="34" t="s">
        <v>28</v>
      </c>
      <c r="P94" s="29">
        <v>0.10088507704336</v>
      </c>
      <c r="Q94" s="30">
        <v>28.6262622214789</v>
      </c>
      <c r="R94" s="30">
        <v>24.666666602446099</v>
      </c>
      <c r="S94" s="22">
        <v>1.2444497117659744E-2</v>
      </c>
      <c r="T94" s="64">
        <v>24.888888867481999</v>
      </c>
      <c r="U94" s="31"/>
      <c r="V94" s="31"/>
      <c r="W94" s="31"/>
      <c r="Y94" s="22"/>
      <c r="AA94" s="29"/>
      <c r="AB94" s="30"/>
    </row>
    <row r="95" spans="2:28" x14ac:dyDescent="0.3">
      <c r="B95" s="49">
        <v>64</v>
      </c>
      <c r="C95" s="5" t="s">
        <v>62</v>
      </c>
      <c r="D95">
        <v>0.5</v>
      </c>
      <c r="E95">
        <v>0.5</v>
      </c>
      <c r="F95">
        <v>4.0000000000000001E-3</v>
      </c>
      <c r="G95">
        <v>1</v>
      </c>
      <c r="H95" s="57">
        <v>30</v>
      </c>
      <c r="I95">
        <v>1.2E-2</v>
      </c>
      <c r="J95">
        <v>3</v>
      </c>
      <c r="K95" s="63">
        <v>18.899999999999999</v>
      </c>
      <c r="L95">
        <v>1.2E-2</v>
      </c>
      <c r="M95" s="30">
        <f t="shared" si="0"/>
        <v>3</v>
      </c>
      <c r="N95" s="63">
        <v>19.100000000000001</v>
      </c>
      <c r="O95" s="34" t="s">
        <v>28</v>
      </c>
      <c r="P95" s="29">
        <v>0.2</v>
      </c>
      <c r="Q95" s="30">
        <v>27.494949187469601</v>
      </c>
      <c r="R95" s="30">
        <v>23.919191816049899</v>
      </c>
      <c r="S95" s="22">
        <v>1.2289831704407474E-2</v>
      </c>
      <c r="T95" s="64">
        <v>24.121212372255801</v>
      </c>
      <c r="U95" s="31"/>
      <c r="V95" s="31"/>
      <c r="W95" s="31"/>
      <c r="Y95" s="22"/>
      <c r="AA95" s="29"/>
      <c r="AB95" s="30"/>
    </row>
    <row r="96" spans="2:28" x14ac:dyDescent="0.3">
      <c r="B96" s="49">
        <v>65</v>
      </c>
      <c r="C96" s="5" t="s">
        <v>62</v>
      </c>
      <c r="D96">
        <v>0.5</v>
      </c>
      <c r="E96">
        <v>0.5</v>
      </c>
      <c r="F96">
        <v>4.0000000000000001E-3</v>
      </c>
      <c r="G96">
        <v>1</v>
      </c>
      <c r="H96" s="57">
        <v>30</v>
      </c>
      <c r="I96">
        <v>1.2E-2</v>
      </c>
      <c r="J96">
        <v>3</v>
      </c>
      <c r="K96" s="63">
        <v>18.899999999999999</v>
      </c>
      <c r="L96">
        <v>1.2E-2</v>
      </c>
      <c r="M96" s="30">
        <f t="shared" si="0"/>
        <v>3</v>
      </c>
      <c r="N96" s="63">
        <v>19.100000000000001</v>
      </c>
      <c r="O96" s="34" t="s">
        <v>28</v>
      </c>
      <c r="P96" s="29">
        <v>0.29734524148715002</v>
      </c>
      <c r="Q96" s="30">
        <v>26.525252136037398</v>
      </c>
      <c r="R96" s="30">
        <v>23.313131303400901</v>
      </c>
      <c r="S96" s="22">
        <v>1.2143143360700494E-2</v>
      </c>
      <c r="T96" s="64">
        <v>23.4545455771481</v>
      </c>
      <c r="U96" s="31"/>
      <c r="V96" s="31"/>
      <c r="W96" s="31"/>
      <c r="Y96" s="22"/>
      <c r="AA96" s="29"/>
      <c r="AB96" s="30"/>
    </row>
    <row r="97" spans="2:28" x14ac:dyDescent="0.3">
      <c r="B97" s="49">
        <v>66</v>
      </c>
      <c r="C97" s="5" t="s">
        <v>62</v>
      </c>
      <c r="D97">
        <v>0.5</v>
      </c>
      <c r="E97">
        <v>0.5</v>
      </c>
      <c r="F97">
        <v>4.0000000000000001E-3</v>
      </c>
      <c r="G97">
        <v>1</v>
      </c>
      <c r="H97" s="57">
        <v>30</v>
      </c>
      <c r="I97">
        <v>1.2E-2</v>
      </c>
      <c r="J97">
        <v>3</v>
      </c>
      <c r="K97" s="63">
        <v>18.899999999999999</v>
      </c>
      <c r="L97">
        <v>1.2E-2</v>
      </c>
      <c r="M97" s="30">
        <f t="shared" ref="M97:M114" si="1">G97*J97</f>
        <v>3</v>
      </c>
      <c r="N97" s="63">
        <v>19.100000000000001</v>
      </c>
      <c r="O97" s="34" t="s">
        <v>28</v>
      </c>
      <c r="P97" s="29">
        <v>0.399999932483252</v>
      </c>
      <c r="Q97" s="30">
        <v>25.575757371419598</v>
      </c>
      <c r="R97" s="30">
        <v>22.6868685039376</v>
      </c>
      <c r="S97" s="22">
        <v>1.2012647865319401E-2</v>
      </c>
      <c r="T97" s="64">
        <v>22.808081068854801</v>
      </c>
      <c r="U97" s="31"/>
      <c r="V97" s="31"/>
      <c r="W97" s="31"/>
      <c r="Y97" s="22"/>
      <c r="AA97" s="29"/>
      <c r="AB97" s="30"/>
    </row>
    <row r="98" spans="2:28" x14ac:dyDescent="0.3">
      <c r="B98" s="49">
        <v>67</v>
      </c>
      <c r="C98" s="5" t="s">
        <v>62</v>
      </c>
      <c r="D98">
        <v>0.5</v>
      </c>
      <c r="E98">
        <v>0.5</v>
      </c>
      <c r="F98">
        <v>4.0000000000000001E-3</v>
      </c>
      <c r="G98">
        <v>1</v>
      </c>
      <c r="H98" s="57">
        <v>30</v>
      </c>
      <c r="I98">
        <v>1.2E-2</v>
      </c>
      <c r="J98">
        <v>3</v>
      </c>
      <c r="K98" s="63">
        <v>18.899999999999999</v>
      </c>
      <c r="L98">
        <v>1.2E-2</v>
      </c>
      <c r="M98" s="30">
        <f t="shared" si="1"/>
        <v>3</v>
      </c>
      <c r="N98" s="63">
        <v>19.100000000000001</v>
      </c>
      <c r="O98" s="34" t="s">
        <v>28</v>
      </c>
      <c r="P98" s="29">
        <v>0.500884942009865</v>
      </c>
      <c r="Q98" s="30">
        <v>24.868687158652001</v>
      </c>
      <c r="R98" s="30">
        <v>22.202020556205799</v>
      </c>
      <c r="S98" s="22">
        <v>1.1922861196870388E-2</v>
      </c>
      <c r="T98" s="64">
        <v>22.202020556205799</v>
      </c>
      <c r="U98" s="31"/>
      <c r="V98" s="31"/>
      <c r="W98" s="31"/>
      <c r="Y98" s="22"/>
      <c r="AA98" s="29"/>
      <c r="AB98" s="30"/>
    </row>
    <row r="99" spans="2:28" x14ac:dyDescent="0.3">
      <c r="B99" s="49">
        <v>68</v>
      </c>
      <c r="C99" s="5" t="s">
        <v>62</v>
      </c>
      <c r="D99">
        <v>0.5</v>
      </c>
      <c r="E99">
        <v>0.5</v>
      </c>
      <c r="F99">
        <v>4.0000000000000001E-3</v>
      </c>
      <c r="G99">
        <v>1</v>
      </c>
      <c r="H99" s="57">
        <v>30</v>
      </c>
      <c r="I99">
        <v>1.2E-2</v>
      </c>
      <c r="J99">
        <v>3</v>
      </c>
      <c r="K99" s="63">
        <v>18.899999999999999</v>
      </c>
      <c r="L99">
        <v>1.2E-2</v>
      </c>
      <c r="M99" s="30">
        <f t="shared" si="1"/>
        <v>3</v>
      </c>
      <c r="N99" s="63">
        <v>19.100000000000001</v>
      </c>
      <c r="O99" s="34" t="s">
        <v>28</v>
      </c>
      <c r="P99" s="29">
        <v>0.60000027006698897</v>
      </c>
      <c r="Q99" s="30">
        <v>24.141413503101401</v>
      </c>
      <c r="R99" s="30">
        <v>21.636363461216799</v>
      </c>
      <c r="S99" s="22">
        <v>1.1857500731887131E-2</v>
      </c>
      <c r="T99" s="64">
        <v>21.636363461216799</v>
      </c>
      <c r="U99" s="31"/>
      <c r="V99" s="31"/>
      <c r="W99" s="31"/>
      <c r="Y99" s="22"/>
      <c r="AA99" s="29"/>
      <c r="AB99" s="30"/>
    </row>
    <row r="100" spans="2:28" x14ac:dyDescent="0.3">
      <c r="B100" s="49">
        <v>69</v>
      </c>
      <c r="C100" s="5" t="s">
        <v>62</v>
      </c>
      <c r="D100">
        <v>0.5</v>
      </c>
      <c r="E100">
        <v>0.5</v>
      </c>
      <c r="F100">
        <v>4.0000000000000001E-3</v>
      </c>
      <c r="G100">
        <v>1</v>
      </c>
      <c r="H100" s="57">
        <v>30</v>
      </c>
      <c r="I100">
        <v>1.2E-2</v>
      </c>
      <c r="J100">
        <v>3</v>
      </c>
      <c r="K100" s="63">
        <v>18.899999999999999</v>
      </c>
      <c r="L100">
        <v>1.2E-2</v>
      </c>
      <c r="M100" s="30">
        <f t="shared" si="1"/>
        <v>3</v>
      </c>
      <c r="N100" s="63">
        <v>19.100000000000001</v>
      </c>
      <c r="O100" s="34" t="s">
        <v>28</v>
      </c>
      <c r="P100" s="29">
        <v>0.70265475851284898</v>
      </c>
      <c r="Q100" s="30">
        <v>23.515151859606799</v>
      </c>
      <c r="R100" s="30">
        <v>20.929293248449198</v>
      </c>
      <c r="S100" s="22">
        <v>1.1890109781436575E-2</v>
      </c>
      <c r="T100" s="64">
        <v>21.090908075057801</v>
      </c>
      <c r="U100" s="31"/>
      <c r="V100" s="31"/>
      <c r="W100" s="31"/>
      <c r="Y100" s="22"/>
      <c r="AA100" s="29"/>
      <c r="AB100" s="30"/>
    </row>
    <row r="101" spans="2:28" x14ac:dyDescent="0.3">
      <c r="B101" s="49">
        <v>70</v>
      </c>
      <c r="C101" s="5" t="s">
        <v>62</v>
      </c>
      <c r="D101">
        <v>0.5</v>
      </c>
      <c r="E101">
        <v>0.5</v>
      </c>
      <c r="F101">
        <v>4.0000000000000001E-3</v>
      </c>
      <c r="G101">
        <v>1</v>
      </c>
      <c r="H101" s="57">
        <v>30</v>
      </c>
      <c r="I101">
        <v>1.2E-2</v>
      </c>
      <c r="J101">
        <v>3</v>
      </c>
      <c r="K101" s="63">
        <v>18.899999999999999</v>
      </c>
      <c r="L101">
        <v>1.2E-2</v>
      </c>
      <c r="M101" s="30">
        <f t="shared" si="1"/>
        <v>3</v>
      </c>
      <c r="N101" s="63">
        <v>19.100000000000001</v>
      </c>
      <c r="O101" s="34" t="s">
        <v>28</v>
      </c>
      <c r="P101" s="29">
        <v>0.8</v>
      </c>
      <c r="Q101" s="30">
        <v>22.929292477803401</v>
      </c>
      <c r="R101" s="30">
        <v>20.242424744511599</v>
      </c>
      <c r="S101" s="22">
        <v>1.1930926722345915E-2</v>
      </c>
      <c r="T101" s="64">
        <v>20.464647009547502</v>
      </c>
      <c r="U101" s="31"/>
      <c r="V101" s="31"/>
      <c r="W101" s="31"/>
      <c r="Y101" s="22"/>
      <c r="AA101" s="29"/>
      <c r="AB101" s="30"/>
    </row>
    <row r="102" spans="2:28" x14ac:dyDescent="0.3">
      <c r="B102" s="49">
        <v>71</v>
      </c>
      <c r="C102" s="5" t="s">
        <v>62</v>
      </c>
      <c r="D102">
        <v>0.5</v>
      </c>
      <c r="E102">
        <v>0.5</v>
      </c>
      <c r="F102">
        <v>4.0000000000000001E-3</v>
      </c>
      <c r="G102">
        <v>1</v>
      </c>
      <c r="H102" s="57">
        <v>30</v>
      </c>
      <c r="I102">
        <v>1.2E-2</v>
      </c>
      <c r="J102">
        <v>3</v>
      </c>
      <c r="K102" s="63">
        <v>18.899999999999999</v>
      </c>
      <c r="L102">
        <v>1.2E-2</v>
      </c>
      <c r="M102" s="30">
        <f t="shared" si="1"/>
        <v>3</v>
      </c>
      <c r="N102" s="63">
        <v>19.100000000000001</v>
      </c>
      <c r="O102" s="34" t="s">
        <v>28</v>
      </c>
      <c r="P102" s="29">
        <v>0.90088500952661299</v>
      </c>
      <c r="Q102" s="30">
        <v>22.3434348299531</v>
      </c>
      <c r="R102" s="30">
        <v>19.7373739319812</v>
      </c>
      <c r="S102" s="22">
        <v>1.1898193175512783E-2</v>
      </c>
      <c r="T102" s="64">
        <v>19.7373739319812</v>
      </c>
      <c r="U102" s="31"/>
      <c r="V102" s="31"/>
      <c r="W102" s="31"/>
      <c r="Y102" s="22"/>
      <c r="AA102" s="29"/>
      <c r="AB102" s="30"/>
    </row>
    <row r="103" spans="2:28" x14ac:dyDescent="0.3">
      <c r="B103" s="49">
        <v>72</v>
      </c>
      <c r="C103" s="5" t="s">
        <v>62</v>
      </c>
      <c r="D103">
        <v>0.5</v>
      </c>
      <c r="E103">
        <v>0.5</v>
      </c>
      <c r="F103">
        <v>4.0000000000000001E-3</v>
      </c>
      <c r="G103">
        <v>1</v>
      </c>
      <c r="H103" s="57">
        <v>30</v>
      </c>
      <c r="I103">
        <v>1.2E-2</v>
      </c>
      <c r="J103">
        <v>3</v>
      </c>
      <c r="K103" s="63">
        <v>18.899999999999999</v>
      </c>
      <c r="L103">
        <v>1.2E-2</v>
      </c>
      <c r="M103" s="30">
        <f t="shared" si="1"/>
        <v>3</v>
      </c>
      <c r="N103" s="63">
        <v>19.100000000000001</v>
      </c>
      <c r="O103" s="34" t="s">
        <v>28</v>
      </c>
      <c r="P103" s="29">
        <v>0.99823025101376395</v>
      </c>
      <c r="Q103" s="30">
        <v>21.7575760261341</v>
      </c>
      <c r="R103" s="30">
        <v>18.868686580667699</v>
      </c>
      <c r="S103" s="22">
        <v>1.2012682767194803E-2</v>
      </c>
      <c r="T103" s="64">
        <v>19.070705980904901</v>
      </c>
      <c r="U103" s="31"/>
      <c r="V103" s="31"/>
      <c r="W103" s="31"/>
      <c r="Y103" s="22"/>
      <c r="AA103" s="29"/>
      <c r="AB103" s="30"/>
    </row>
    <row r="104" spans="2:28" x14ac:dyDescent="0.3">
      <c r="B104" s="49">
        <v>73</v>
      </c>
      <c r="C104" s="5" t="s">
        <v>63</v>
      </c>
      <c r="D104">
        <v>0.5</v>
      </c>
      <c r="E104">
        <v>0.5</v>
      </c>
      <c r="F104">
        <v>4.0000000000000001E-3</v>
      </c>
      <c r="G104">
        <v>1</v>
      </c>
      <c r="H104" s="57">
        <v>30</v>
      </c>
      <c r="I104">
        <v>1.2E-2</v>
      </c>
      <c r="J104">
        <v>3</v>
      </c>
      <c r="K104" s="63">
        <v>22.5</v>
      </c>
      <c r="L104">
        <v>1.2E-2</v>
      </c>
      <c r="M104" s="30">
        <f t="shared" si="1"/>
        <v>3</v>
      </c>
      <c r="N104" s="63">
        <v>21.7</v>
      </c>
      <c r="O104" s="34" t="s">
        <v>28</v>
      </c>
      <c r="P104" s="29">
        <v>-1.76981650298371E-3</v>
      </c>
      <c r="Q104" s="30">
        <v>29.974683209654401</v>
      </c>
      <c r="R104" s="30">
        <v>21.704640946798001</v>
      </c>
      <c r="S104" s="22">
        <v>1.5534650107318302E-2</v>
      </c>
      <c r="T104" s="64">
        <v>23.594937148947501</v>
      </c>
      <c r="U104" s="31"/>
      <c r="V104" s="31"/>
      <c r="W104" s="31"/>
      <c r="Y104" s="22"/>
      <c r="AA104" s="29"/>
      <c r="AB104" s="30"/>
    </row>
    <row r="105" spans="2:28" x14ac:dyDescent="0.3">
      <c r="B105" s="49">
        <v>74</v>
      </c>
      <c r="C105" s="5" t="s">
        <v>63</v>
      </c>
      <c r="D105">
        <v>0.5</v>
      </c>
      <c r="E105">
        <v>0.5</v>
      </c>
      <c r="F105">
        <v>4.0000000000000001E-3</v>
      </c>
      <c r="G105">
        <v>1</v>
      </c>
      <c r="H105" s="57">
        <v>30</v>
      </c>
      <c r="I105">
        <v>1.2E-2</v>
      </c>
      <c r="J105">
        <v>3</v>
      </c>
      <c r="K105" s="63">
        <v>22.5</v>
      </c>
      <c r="L105">
        <v>1.2E-2</v>
      </c>
      <c r="M105" s="30">
        <f t="shared" si="1"/>
        <v>3</v>
      </c>
      <c r="N105" s="63">
        <v>21.7</v>
      </c>
      <c r="O105" s="34" t="s">
        <v>28</v>
      </c>
      <c r="P105" s="29">
        <v>0.10088507704336</v>
      </c>
      <c r="Q105" s="30">
        <v>28.101265471326599</v>
      </c>
      <c r="R105" s="30">
        <v>21.907173338070301</v>
      </c>
      <c r="S105" s="22">
        <v>1.4695152376834386E-2</v>
      </c>
      <c r="T105" s="64">
        <v>23.054852381798199</v>
      </c>
      <c r="U105" s="31"/>
      <c r="V105" s="31"/>
      <c r="W105" s="31"/>
      <c r="Y105" s="22"/>
      <c r="AA105" s="29"/>
      <c r="AB105" s="30"/>
    </row>
    <row r="106" spans="2:28" x14ac:dyDescent="0.3">
      <c r="B106" s="49">
        <v>75</v>
      </c>
      <c r="C106" s="5" t="s">
        <v>63</v>
      </c>
      <c r="D106">
        <v>0.5</v>
      </c>
      <c r="E106">
        <v>0.5</v>
      </c>
      <c r="F106">
        <v>4.0000000000000001E-3</v>
      </c>
      <c r="G106">
        <v>1</v>
      </c>
      <c r="H106" s="57">
        <v>30</v>
      </c>
      <c r="I106">
        <v>1.2E-2</v>
      </c>
      <c r="J106">
        <v>3</v>
      </c>
      <c r="K106" s="63">
        <v>22.5</v>
      </c>
      <c r="L106">
        <v>1.2E-2</v>
      </c>
      <c r="M106" s="30">
        <f t="shared" si="1"/>
        <v>3</v>
      </c>
      <c r="N106" s="63">
        <v>21.7</v>
      </c>
      <c r="O106" s="34" t="s">
        <v>28</v>
      </c>
      <c r="P106" s="29">
        <v>0.2</v>
      </c>
      <c r="Q106" s="30">
        <v>26.683544526896998</v>
      </c>
      <c r="R106" s="30">
        <v>21.940929058531001</v>
      </c>
      <c r="S106" s="22">
        <v>1.410849431034749E-2</v>
      </c>
      <c r="T106" s="64">
        <v>22.6666669081031</v>
      </c>
      <c r="U106" s="31"/>
      <c r="V106" s="31"/>
      <c r="W106" s="31"/>
      <c r="Y106" s="22"/>
      <c r="AA106" s="29"/>
      <c r="AB106" s="30"/>
    </row>
    <row r="107" spans="2:28" x14ac:dyDescent="0.3">
      <c r="B107" s="49">
        <v>76</v>
      </c>
      <c r="C107" s="5" t="s">
        <v>63</v>
      </c>
      <c r="D107">
        <v>0.5</v>
      </c>
      <c r="E107">
        <v>0.5</v>
      </c>
      <c r="F107">
        <v>4.0000000000000001E-3</v>
      </c>
      <c r="G107">
        <v>1</v>
      </c>
      <c r="H107" s="57">
        <v>30</v>
      </c>
      <c r="I107">
        <v>1.2E-2</v>
      </c>
      <c r="J107">
        <v>3</v>
      </c>
      <c r="K107" s="63">
        <v>22.5</v>
      </c>
      <c r="L107">
        <v>1.2E-2</v>
      </c>
      <c r="M107" s="30">
        <f t="shared" si="1"/>
        <v>3</v>
      </c>
      <c r="N107" s="63">
        <v>21.7</v>
      </c>
      <c r="O107" s="34" t="s">
        <v>28</v>
      </c>
      <c r="P107" s="29">
        <v>0.29734524148715002</v>
      </c>
      <c r="Q107" s="30">
        <v>25.485232385351001</v>
      </c>
      <c r="R107" s="30">
        <v>21.974683813245701</v>
      </c>
      <c r="S107" s="22">
        <v>1.3610533694185845E-2</v>
      </c>
      <c r="T107" s="64">
        <v>22.3291145322261</v>
      </c>
      <c r="U107" s="31"/>
      <c r="V107" s="31"/>
      <c r="W107" s="31"/>
      <c r="Y107" s="22"/>
      <c r="AA107" s="29"/>
      <c r="AB107" s="30"/>
    </row>
    <row r="108" spans="2:28" x14ac:dyDescent="0.3">
      <c r="B108" s="49">
        <v>77</v>
      </c>
      <c r="C108" s="5" t="s">
        <v>63</v>
      </c>
      <c r="D108">
        <v>0.5</v>
      </c>
      <c r="E108">
        <v>0.5</v>
      </c>
      <c r="F108">
        <v>4.0000000000000001E-3</v>
      </c>
      <c r="G108">
        <v>1</v>
      </c>
      <c r="H108" s="57">
        <v>30</v>
      </c>
      <c r="I108">
        <v>1.2E-2</v>
      </c>
      <c r="J108">
        <v>3</v>
      </c>
      <c r="K108" s="63">
        <v>22.5</v>
      </c>
      <c r="L108">
        <v>1.2E-2</v>
      </c>
      <c r="M108" s="30">
        <f t="shared" si="1"/>
        <v>3</v>
      </c>
      <c r="N108" s="63">
        <v>21.7</v>
      </c>
      <c r="O108" s="34" t="s">
        <v>28</v>
      </c>
      <c r="P108" s="29">
        <v>0.399999932483252</v>
      </c>
      <c r="Q108" s="30">
        <v>24.641350479912301</v>
      </c>
      <c r="R108" s="30">
        <v>21.957805470142301</v>
      </c>
      <c r="S108" s="22">
        <v>1.3276335905559241E-2</v>
      </c>
      <c r="T108" s="64">
        <v>22.092827386239101</v>
      </c>
      <c r="U108" s="31"/>
      <c r="V108" s="31"/>
      <c r="W108" s="31"/>
      <c r="Y108" s="22"/>
      <c r="AA108" s="29"/>
      <c r="AB108" s="30"/>
    </row>
    <row r="109" spans="2:28" x14ac:dyDescent="0.3">
      <c r="B109" s="49">
        <v>78</v>
      </c>
      <c r="C109" s="5" t="s">
        <v>63</v>
      </c>
      <c r="D109">
        <v>0.5</v>
      </c>
      <c r="E109">
        <v>0.5</v>
      </c>
      <c r="F109">
        <v>4.0000000000000001E-3</v>
      </c>
      <c r="G109">
        <v>1</v>
      </c>
      <c r="H109" s="57">
        <v>30</v>
      </c>
      <c r="I109">
        <v>1.2E-2</v>
      </c>
      <c r="J109">
        <v>3</v>
      </c>
      <c r="K109" s="63">
        <v>22.5</v>
      </c>
      <c r="L109">
        <v>1.2E-2</v>
      </c>
      <c r="M109" s="30">
        <f t="shared" si="1"/>
        <v>3</v>
      </c>
      <c r="N109" s="63">
        <v>21.7</v>
      </c>
      <c r="O109" s="34" t="s">
        <v>28</v>
      </c>
      <c r="P109" s="29">
        <v>0.500884942009865</v>
      </c>
      <c r="Q109" s="30">
        <v>23.898734287236799</v>
      </c>
      <c r="R109" s="30">
        <v>22.0421933226751</v>
      </c>
      <c r="S109" s="22">
        <v>1.2942061506548978E-2</v>
      </c>
      <c r="T109" s="64">
        <v>21.856540240252201</v>
      </c>
      <c r="U109" s="31"/>
      <c r="V109" s="31"/>
      <c r="W109" s="31"/>
      <c r="Y109" s="22"/>
      <c r="AA109" s="29"/>
      <c r="AB109" s="30"/>
    </row>
    <row r="110" spans="2:28" x14ac:dyDescent="0.3">
      <c r="B110" s="49">
        <v>79</v>
      </c>
      <c r="C110" s="5" t="s">
        <v>63</v>
      </c>
      <c r="D110">
        <v>0.5</v>
      </c>
      <c r="E110">
        <v>0.5</v>
      </c>
      <c r="F110">
        <v>4.0000000000000001E-3</v>
      </c>
      <c r="G110">
        <v>1</v>
      </c>
      <c r="H110" s="57">
        <v>30</v>
      </c>
      <c r="I110">
        <v>1.2E-2</v>
      </c>
      <c r="J110">
        <v>3</v>
      </c>
      <c r="K110" s="63">
        <v>22.5</v>
      </c>
      <c r="L110">
        <v>1.2E-2</v>
      </c>
      <c r="M110" s="30">
        <f t="shared" si="1"/>
        <v>3</v>
      </c>
      <c r="N110" s="63">
        <v>21.7</v>
      </c>
      <c r="O110" s="34" t="s">
        <v>28</v>
      </c>
      <c r="P110" s="29">
        <v>0.60000027006698897</v>
      </c>
      <c r="Q110" s="30">
        <v>23.291139527785202</v>
      </c>
      <c r="R110" s="30">
        <v>22.1097047635965</v>
      </c>
      <c r="S110" s="22">
        <v>1.2669214715462052E-2</v>
      </c>
      <c r="T110" s="64">
        <v>21.721519289901401</v>
      </c>
      <c r="U110" s="31"/>
      <c r="V110" s="31"/>
      <c r="W110" s="31"/>
      <c r="Y110" s="22"/>
      <c r="AA110" s="29"/>
      <c r="AB110" s="30"/>
    </row>
    <row r="111" spans="2:28" x14ac:dyDescent="0.3">
      <c r="B111" s="49">
        <v>80</v>
      </c>
      <c r="C111" s="5" t="s">
        <v>63</v>
      </c>
      <c r="D111">
        <v>0.5</v>
      </c>
      <c r="E111">
        <v>0.5</v>
      </c>
      <c r="F111">
        <v>4.0000000000000001E-3</v>
      </c>
      <c r="G111">
        <v>1</v>
      </c>
      <c r="H111" s="57">
        <v>30</v>
      </c>
      <c r="I111">
        <v>1.2E-2</v>
      </c>
      <c r="J111">
        <v>3</v>
      </c>
      <c r="K111" s="63">
        <v>22.5</v>
      </c>
      <c r="L111">
        <v>1.2E-2</v>
      </c>
      <c r="M111" s="30">
        <f t="shared" si="1"/>
        <v>3</v>
      </c>
      <c r="N111" s="63">
        <v>21.7</v>
      </c>
      <c r="O111" s="34" t="s">
        <v>28</v>
      </c>
      <c r="P111" s="29">
        <v>0.70265475851284898</v>
      </c>
      <c r="Q111" s="30">
        <v>22.919831431447399</v>
      </c>
      <c r="R111" s="30">
        <v>22.2109699934866</v>
      </c>
      <c r="S111" s="22">
        <v>1.2478219573163861E-2</v>
      </c>
      <c r="T111" s="64">
        <v>21.687764535186702</v>
      </c>
      <c r="U111" s="31"/>
      <c r="V111" s="31"/>
      <c r="W111" s="31"/>
      <c r="Y111" s="22"/>
      <c r="AA111" s="29"/>
      <c r="AB111" s="30"/>
    </row>
    <row r="112" spans="2:28" x14ac:dyDescent="0.3">
      <c r="B112" s="49">
        <v>81</v>
      </c>
      <c r="C112" s="5" t="s">
        <v>63</v>
      </c>
      <c r="D112">
        <v>0.5</v>
      </c>
      <c r="E112">
        <v>0.5</v>
      </c>
      <c r="F112">
        <v>4.0000000000000001E-3</v>
      </c>
      <c r="G112">
        <v>1</v>
      </c>
      <c r="H112" s="57">
        <v>30</v>
      </c>
      <c r="I112">
        <v>1.2E-2</v>
      </c>
      <c r="J112" s="31">
        <v>3</v>
      </c>
      <c r="K112" s="63">
        <v>22.5</v>
      </c>
      <c r="L112">
        <v>1.2E-2</v>
      </c>
      <c r="M112" s="30">
        <f t="shared" si="1"/>
        <v>3</v>
      </c>
      <c r="N112" s="63">
        <v>21.7</v>
      </c>
      <c r="O112" s="34" t="s">
        <v>28</v>
      </c>
      <c r="P112" s="29">
        <v>0.8</v>
      </c>
      <c r="Q112" s="30">
        <v>22.5316459577523</v>
      </c>
      <c r="R112" s="30">
        <v>22.2616040570507</v>
      </c>
      <c r="S112" s="22">
        <v>1.2300900510753499E-2</v>
      </c>
      <c r="T112" s="64">
        <v>21.654008814726001</v>
      </c>
      <c r="U112" s="31"/>
      <c r="V112" s="31"/>
      <c r="W112" s="31"/>
      <c r="Y112" s="22"/>
      <c r="AA112" s="29"/>
      <c r="AB112" s="30"/>
    </row>
    <row r="113" spans="2:28" x14ac:dyDescent="0.3">
      <c r="B113" s="49">
        <v>82</v>
      </c>
      <c r="C113" s="5" t="s">
        <v>63</v>
      </c>
      <c r="D113">
        <v>0.5</v>
      </c>
      <c r="E113">
        <v>0.5</v>
      </c>
      <c r="F113">
        <v>4.0000000000000001E-3</v>
      </c>
      <c r="G113">
        <v>1</v>
      </c>
      <c r="H113" s="57">
        <v>30</v>
      </c>
      <c r="I113">
        <v>1.2E-2</v>
      </c>
      <c r="J113" s="31">
        <v>3</v>
      </c>
      <c r="K113" s="63">
        <v>22.5</v>
      </c>
      <c r="L113">
        <v>1.2E-2</v>
      </c>
      <c r="M113" s="30">
        <f t="shared" si="1"/>
        <v>3</v>
      </c>
      <c r="N113" s="63">
        <v>21.7</v>
      </c>
      <c r="O113" s="34" t="s">
        <v>28</v>
      </c>
      <c r="P113" s="29">
        <v>0.90088500952661299</v>
      </c>
      <c r="Q113" s="30">
        <v>22.244726679693301</v>
      </c>
      <c r="R113" s="30">
        <v>22.4135023847588</v>
      </c>
      <c r="S113" s="22">
        <v>1.2123586125727821E-2</v>
      </c>
      <c r="T113" s="64">
        <v>21.620253094265301</v>
      </c>
      <c r="U113" s="31"/>
      <c r="V113" s="31"/>
      <c r="W113" s="31"/>
      <c r="Y113" s="22"/>
      <c r="AA113" s="29"/>
      <c r="AB113" s="30"/>
    </row>
    <row r="114" spans="2:28" ht="15" thickBot="1" x14ac:dyDescent="0.35">
      <c r="B114" s="50">
        <v>83</v>
      </c>
      <c r="C114" s="7" t="s">
        <v>63</v>
      </c>
      <c r="D114" s="8">
        <v>0.5</v>
      </c>
      <c r="E114" s="8">
        <v>0.5</v>
      </c>
      <c r="F114" s="8">
        <v>4.0000000000000001E-3</v>
      </c>
      <c r="G114" s="8">
        <v>1</v>
      </c>
      <c r="H114" s="58">
        <v>30</v>
      </c>
      <c r="I114" s="8">
        <v>1.2E-2</v>
      </c>
      <c r="J114" s="41">
        <v>3</v>
      </c>
      <c r="K114" s="62">
        <v>22.5</v>
      </c>
      <c r="L114" s="8">
        <v>1.2E-2</v>
      </c>
      <c r="M114" s="55">
        <f t="shared" si="1"/>
        <v>3</v>
      </c>
      <c r="N114" s="62">
        <v>21.7</v>
      </c>
      <c r="O114" s="43" t="s">
        <v>28</v>
      </c>
      <c r="P114" s="44">
        <v>0.99823025101376395</v>
      </c>
      <c r="Q114" s="55">
        <v>22.025316911063701</v>
      </c>
      <c r="R114" s="55">
        <v>22.5316459577523</v>
      </c>
      <c r="S114" s="23">
        <v>1.1987216161864392E-2</v>
      </c>
      <c r="T114" s="65">
        <v>21.670886192083302</v>
      </c>
      <c r="U114" s="31"/>
      <c r="V114" s="31"/>
      <c r="W114" s="31"/>
      <c r="Y114" s="22"/>
      <c r="AA114" s="29"/>
      <c r="AB114" s="30"/>
    </row>
    <row r="115" spans="2:28" x14ac:dyDescent="0.3">
      <c r="G115" s="30"/>
      <c r="H115" s="31"/>
      <c r="I115" s="22"/>
      <c r="J115" s="31"/>
      <c r="K115" s="40"/>
      <c r="L115" s="40"/>
      <c r="M115" s="30"/>
      <c r="N115" s="63"/>
      <c r="O115" s="63"/>
      <c r="P115" s="30"/>
      <c r="Q115" s="22"/>
      <c r="R115" s="40"/>
      <c r="S115" s="40"/>
      <c r="T115" s="29"/>
      <c r="V115" s="30"/>
      <c r="AA115" s="29"/>
      <c r="AB115" s="30"/>
    </row>
    <row r="116" spans="2:28" x14ac:dyDescent="0.3">
      <c r="G116" s="30"/>
      <c r="H116" s="31"/>
      <c r="I116" s="22"/>
      <c r="J116" s="31"/>
      <c r="K116" s="40"/>
      <c r="L116" s="40"/>
      <c r="M116" s="30"/>
      <c r="N116" s="63"/>
      <c r="O116" s="63"/>
      <c r="P116" s="30"/>
      <c r="Q116" s="22"/>
      <c r="R116" s="40"/>
      <c r="S116" s="40"/>
      <c r="T116" s="29"/>
      <c r="V116" s="30"/>
      <c r="AA116" s="29"/>
      <c r="AB116" s="30"/>
    </row>
    <row r="117" spans="2:28" x14ac:dyDescent="0.3">
      <c r="G117" s="30"/>
      <c r="H117" s="31"/>
      <c r="I117" s="22"/>
      <c r="J117" s="31"/>
      <c r="K117" s="40"/>
      <c r="L117" s="40"/>
      <c r="M117" s="30"/>
      <c r="N117" s="63"/>
      <c r="O117" s="63"/>
      <c r="P117" s="30"/>
      <c r="Q117" s="22"/>
      <c r="R117" s="40"/>
      <c r="S117" s="40"/>
      <c r="T117" s="29"/>
      <c r="V117" s="30"/>
      <c r="AA117" s="29"/>
      <c r="AB117" s="30"/>
    </row>
    <row r="118" spans="2:28" x14ac:dyDescent="0.3">
      <c r="G118" s="30"/>
      <c r="H118" s="31"/>
      <c r="I118" s="22"/>
      <c r="J118" s="31"/>
      <c r="K118" s="40"/>
      <c r="L118" s="40"/>
      <c r="M118" s="30"/>
      <c r="N118" s="63"/>
      <c r="O118" s="63"/>
      <c r="P118" s="30"/>
      <c r="Q118" s="22"/>
      <c r="R118" s="40"/>
      <c r="S118" s="40"/>
      <c r="T118" s="29"/>
      <c r="V118" s="30"/>
      <c r="AA118" s="29"/>
      <c r="AB118" s="30"/>
    </row>
    <row r="119" spans="2:28" x14ac:dyDescent="0.3">
      <c r="G119" s="30"/>
      <c r="H119" s="31"/>
      <c r="I119" s="22"/>
      <c r="J119" s="31"/>
      <c r="K119" s="40"/>
      <c r="L119" s="40"/>
      <c r="M119" s="30"/>
      <c r="N119" s="63"/>
      <c r="O119" s="63"/>
      <c r="P119" s="30"/>
      <c r="Q119" s="22"/>
      <c r="R119" s="40"/>
      <c r="S119" s="40"/>
      <c r="T119" s="29"/>
      <c r="V119" s="30"/>
      <c r="AA119" s="29"/>
      <c r="AB119" s="30"/>
    </row>
    <row r="120" spans="2:28" x14ac:dyDescent="0.3">
      <c r="G120" s="30"/>
      <c r="H120" s="31"/>
      <c r="I120" s="22"/>
      <c r="J120" s="31"/>
      <c r="K120" s="40"/>
      <c r="L120" s="40"/>
      <c r="M120" s="30"/>
      <c r="N120" s="63"/>
      <c r="O120" s="63"/>
      <c r="P120" s="30"/>
      <c r="Q120" s="22"/>
      <c r="R120" s="40"/>
      <c r="S120" s="40"/>
      <c r="T120" s="29"/>
      <c r="V120" s="30"/>
      <c r="AA120" s="29"/>
      <c r="AB120" s="30"/>
    </row>
    <row r="121" spans="2:28" x14ac:dyDescent="0.3">
      <c r="G121" s="30"/>
      <c r="H121" s="31"/>
      <c r="I121" s="22"/>
      <c r="J121" s="31"/>
      <c r="K121" s="40"/>
      <c r="L121" s="40"/>
      <c r="M121" s="30"/>
      <c r="N121" s="63"/>
      <c r="O121" s="63"/>
      <c r="P121" s="30"/>
      <c r="Q121" s="22"/>
      <c r="R121" s="40"/>
      <c r="S121" s="40"/>
      <c r="T121" s="29"/>
      <c r="V121" s="30"/>
      <c r="AA121" s="29"/>
      <c r="AB121" s="30"/>
    </row>
    <row r="122" spans="2:28" x14ac:dyDescent="0.3">
      <c r="G122" s="30"/>
      <c r="H122" s="31"/>
      <c r="I122" s="22"/>
      <c r="J122" s="31"/>
      <c r="K122" s="40"/>
      <c r="L122" s="40"/>
      <c r="M122" s="30"/>
      <c r="N122" s="63"/>
      <c r="O122" s="63"/>
      <c r="P122" s="30"/>
      <c r="Q122" s="22"/>
      <c r="R122" s="40"/>
      <c r="S122" s="40"/>
      <c r="T122" s="29"/>
      <c r="V122" s="30"/>
      <c r="AA122" s="29"/>
      <c r="AB122" s="30"/>
    </row>
    <row r="123" spans="2:28" x14ac:dyDescent="0.3">
      <c r="G123" s="30"/>
      <c r="H123" s="31"/>
      <c r="I123" s="22"/>
      <c r="J123" s="31"/>
      <c r="K123" s="40"/>
      <c r="L123" s="40"/>
      <c r="M123" s="30"/>
      <c r="N123" s="63"/>
      <c r="O123" s="63"/>
      <c r="P123" s="30"/>
      <c r="Q123" s="22"/>
      <c r="R123" s="40"/>
      <c r="S123" s="40"/>
      <c r="T123" s="29"/>
      <c r="V123" s="30"/>
      <c r="AA123" s="29"/>
      <c r="AB123" s="30"/>
    </row>
    <row r="124" spans="2:28" x14ac:dyDescent="0.3">
      <c r="G124" s="30"/>
      <c r="H124" s="31"/>
      <c r="I124" s="22"/>
      <c r="J124" s="31"/>
      <c r="K124" s="40"/>
      <c r="L124" s="40"/>
      <c r="M124" s="30"/>
      <c r="N124" s="63"/>
      <c r="O124" s="63"/>
      <c r="P124" s="30"/>
      <c r="Q124" s="22"/>
      <c r="R124" s="40"/>
      <c r="S124" s="40"/>
      <c r="T124" s="29"/>
      <c r="V124" s="30"/>
      <c r="AA124" s="29"/>
      <c r="AB124" s="30"/>
    </row>
    <row r="125" spans="2:28" x14ac:dyDescent="0.3">
      <c r="G125" s="30"/>
      <c r="H125" s="31"/>
      <c r="I125" s="22"/>
      <c r="J125" s="31"/>
      <c r="K125" s="40"/>
      <c r="L125" s="40"/>
      <c r="M125" s="30"/>
      <c r="N125" s="63"/>
      <c r="O125" s="63"/>
      <c r="P125" s="30"/>
      <c r="Q125" s="22"/>
      <c r="R125" s="40"/>
      <c r="S125" s="40"/>
      <c r="T125" s="29"/>
      <c r="V125" s="30"/>
      <c r="AA125" s="29"/>
      <c r="AB125" s="30"/>
    </row>
    <row r="126" spans="2:28" x14ac:dyDescent="0.3">
      <c r="G126" s="30"/>
      <c r="H126" s="31"/>
      <c r="I126" s="22"/>
      <c r="J126" s="31"/>
      <c r="K126" s="40"/>
      <c r="L126" s="40"/>
      <c r="M126" s="30"/>
      <c r="N126" s="63"/>
      <c r="O126" s="63"/>
      <c r="P126" s="30"/>
      <c r="Q126" s="22"/>
      <c r="R126" s="40"/>
      <c r="S126" s="40"/>
      <c r="T126" s="29"/>
      <c r="V126" s="30"/>
      <c r="AA126" s="29"/>
      <c r="AB126" s="30"/>
    </row>
    <row r="127" spans="2:28" x14ac:dyDescent="0.3">
      <c r="G127" s="30"/>
      <c r="H127" s="31"/>
      <c r="I127" s="22"/>
      <c r="J127" s="31"/>
      <c r="K127" s="40"/>
      <c r="L127" s="40"/>
      <c r="M127" s="30"/>
      <c r="N127" s="63"/>
      <c r="O127" s="63"/>
      <c r="P127" s="30"/>
      <c r="Q127" s="22"/>
      <c r="R127" s="40"/>
      <c r="S127" s="40"/>
      <c r="T127" s="29"/>
      <c r="V127" s="30"/>
      <c r="AA127" s="29"/>
      <c r="AB127" s="30"/>
    </row>
    <row r="128" spans="2:28" x14ac:dyDescent="0.3">
      <c r="G128" s="30"/>
      <c r="H128" s="31"/>
      <c r="I128" s="22"/>
      <c r="J128" s="31"/>
      <c r="K128" s="40"/>
      <c r="L128" s="40"/>
      <c r="M128" s="30"/>
      <c r="N128" s="63"/>
      <c r="O128" s="63"/>
      <c r="P128" s="30"/>
      <c r="Q128" s="22"/>
      <c r="R128" s="40"/>
      <c r="S128" s="40"/>
      <c r="T128" s="29"/>
      <c r="V128" s="30"/>
      <c r="AA128" s="29"/>
      <c r="AB128" s="30"/>
    </row>
    <row r="129" spans="7:28" x14ac:dyDescent="0.3">
      <c r="G129" s="30"/>
      <c r="H129" s="31"/>
      <c r="I129" s="22"/>
      <c r="J129" s="31"/>
      <c r="K129" s="40"/>
      <c r="L129" s="40"/>
      <c r="M129" s="30"/>
      <c r="N129" s="63"/>
      <c r="O129" s="63"/>
      <c r="P129" s="30"/>
      <c r="Q129" s="22"/>
      <c r="R129" s="40"/>
      <c r="S129" s="40"/>
      <c r="T129" s="29"/>
      <c r="V129" s="30"/>
      <c r="AA129" s="29"/>
      <c r="AB129" s="30"/>
    </row>
    <row r="130" spans="7:28" x14ac:dyDescent="0.3">
      <c r="G130" s="30"/>
      <c r="H130" s="31"/>
      <c r="I130" s="22"/>
      <c r="J130" s="31"/>
      <c r="K130" s="40"/>
      <c r="L130" s="40"/>
      <c r="M130" s="30"/>
      <c r="N130" s="63"/>
      <c r="O130" s="63"/>
      <c r="P130" s="30"/>
      <c r="Q130" s="22"/>
      <c r="R130" s="40"/>
      <c r="S130" s="40"/>
      <c r="T130" s="29"/>
      <c r="V130" s="30"/>
      <c r="AA130" s="29"/>
      <c r="AB130" s="30"/>
    </row>
    <row r="131" spans="7:28" x14ac:dyDescent="0.3">
      <c r="G131" s="30"/>
      <c r="H131" s="31"/>
      <c r="I131" s="22"/>
      <c r="J131" s="31"/>
      <c r="K131" s="40"/>
      <c r="L131" s="40"/>
      <c r="M131" s="30"/>
      <c r="N131" s="63"/>
      <c r="O131" s="63"/>
      <c r="P131" s="30"/>
      <c r="Q131" s="22"/>
      <c r="R131" s="40"/>
      <c r="S131" s="40"/>
      <c r="T131" s="29"/>
      <c r="V131" s="30"/>
      <c r="AA131" s="29"/>
      <c r="AB131" s="30"/>
    </row>
    <row r="132" spans="7:28" x14ac:dyDescent="0.3">
      <c r="G132" s="30"/>
      <c r="H132" s="31"/>
      <c r="I132" s="22"/>
      <c r="J132" s="31"/>
      <c r="K132" s="40"/>
      <c r="L132" s="40"/>
      <c r="M132" s="30"/>
      <c r="N132" s="63"/>
      <c r="O132" s="63"/>
      <c r="P132" s="30"/>
      <c r="Q132" s="22"/>
      <c r="R132" s="40"/>
      <c r="S132" s="40"/>
      <c r="T132" s="29"/>
      <c r="V132" s="30"/>
      <c r="AA132" s="29"/>
      <c r="AB132" s="30"/>
    </row>
    <row r="133" spans="7:28" x14ac:dyDescent="0.3">
      <c r="G133" s="30"/>
      <c r="H133" s="31"/>
      <c r="I133" s="22"/>
      <c r="J133" s="31"/>
      <c r="K133" s="40"/>
      <c r="L133" s="40"/>
      <c r="M133" s="30"/>
      <c r="N133" s="63"/>
      <c r="O133" s="63"/>
      <c r="P133" s="30"/>
      <c r="Q133" s="22"/>
      <c r="R133" s="40"/>
      <c r="S133" s="40"/>
      <c r="T133" s="29"/>
      <c r="V133" s="30"/>
      <c r="AA133" s="29"/>
      <c r="AB133" s="30"/>
    </row>
    <row r="134" spans="7:28" x14ac:dyDescent="0.3">
      <c r="G134" s="30"/>
      <c r="H134" s="31"/>
      <c r="I134" s="22"/>
      <c r="J134" s="31"/>
      <c r="K134" s="40"/>
      <c r="L134" s="40"/>
      <c r="M134" s="30"/>
      <c r="N134" s="63"/>
      <c r="O134" s="63"/>
      <c r="P134" s="30"/>
      <c r="Q134" s="22"/>
      <c r="R134" s="40"/>
      <c r="S134" s="40"/>
      <c r="T134" s="29"/>
      <c r="V134" s="30"/>
      <c r="AA134" s="29"/>
      <c r="AB134" s="30"/>
    </row>
    <row r="135" spans="7:28" x14ac:dyDescent="0.3">
      <c r="Q135" s="22"/>
      <c r="AA135" s="29"/>
      <c r="AB135" s="30"/>
    </row>
    <row r="136" spans="7:28" x14ac:dyDescent="0.3">
      <c r="Q136" s="22"/>
      <c r="AA136" s="29"/>
      <c r="AB136" s="30"/>
    </row>
    <row r="137" spans="7:28" x14ac:dyDescent="0.3">
      <c r="Q137" s="22"/>
      <c r="AA137" s="29"/>
      <c r="AB137" s="30"/>
    </row>
    <row r="138" spans="7:28" x14ac:dyDescent="0.3">
      <c r="Q138" s="22"/>
      <c r="AA138" s="29"/>
      <c r="AB138" s="30"/>
    </row>
    <row r="139" spans="7:28" x14ac:dyDescent="0.3">
      <c r="AA139" s="29"/>
      <c r="AB139" s="30"/>
    </row>
    <row r="140" spans="7:28" x14ac:dyDescent="0.3">
      <c r="AA140" s="29"/>
      <c r="AB140" s="30"/>
    </row>
    <row r="141" spans="7:28" x14ac:dyDescent="0.3">
      <c r="AA141" s="29"/>
      <c r="AB141" s="30"/>
    </row>
    <row r="142" spans="7:28" x14ac:dyDescent="0.3">
      <c r="AA142" s="29"/>
      <c r="AB142" s="30"/>
    </row>
  </sheetData>
  <mergeCells count="1">
    <mergeCell ref="C7:N7"/>
  </mergeCells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Anisimov2014</vt:lpstr>
      <vt:lpstr>Anisimov2014_profiles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Zeoli Alanis</dc:creator>
  <cp:lastModifiedBy>Zeoli Alanis</cp:lastModifiedBy>
  <dcterms:created xsi:type="dcterms:W3CDTF">2023-10-02T08:13:39Z</dcterms:created>
  <dcterms:modified xsi:type="dcterms:W3CDTF">2025-08-12T09:38:28Z</dcterms:modified>
</cp:coreProperties>
</file>