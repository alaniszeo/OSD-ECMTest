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C:\Users\AZ\alaniszeo_git\EC-generic-model\Database_for_model_validation\M-IEC\"/>
    </mc:Choice>
  </mc:AlternateContent>
  <xr:revisionPtr revIDLastSave="0" documentId="13_ncr:1_{AE37A61D-3ACE-466D-8DCA-488991C1BE57}" xr6:coauthVersionLast="47" xr6:coauthVersionMax="47" xr10:uidLastSave="{00000000-0000-0000-0000-000000000000}"/>
  <bookViews>
    <workbookView xWindow="-108" yWindow="-108" windowWidth="30936" windowHeight="16776" xr2:uid="{1306219A-737B-4B5D-BCFD-98C34D3C77CC}"/>
  </bookViews>
  <sheets>
    <sheet name="Cui2014" sheetId="7"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6" i="7" l="1"/>
  <c r="B47" i="7" s="1"/>
  <c r="B48" i="7" s="1"/>
  <c r="B49" i="7" s="1"/>
  <c r="B50" i="7" s="1"/>
  <c r="B51" i="7" s="1"/>
  <c r="B52" i="7" s="1"/>
  <c r="B53" i="7" s="1"/>
  <c r="B54" i="7" s="1"/>
  <c r="B55" i="7" s="1"/>
  <c r="B56" i="7" s="1"/>
  <c r="B57" i="7" s="1"/>
  <c r="B58" i="7" s="1"/>
  <c r="B59" i="7" s="1"/>
  <c r="B60" i="7" s="1"/>
  <c r="B61" i="7" s="1"/>
  <c r="B62" i="7" s="1"/>
  <c r="B63" i="7" s="1"/>
  <c r="B64" i="7" s="1"/>
  <c r="B65" i="7" s="1"/>
  <c r="B66" i="7" s="1"/>
  <c r="B67" i="7" s="1"/>
  <c r="B68" i="7" s="1"/>
  <c r="B69" i="7" s="1"/>
  <c r="B70" i="7" s="1"/>
</calcChain>
</file>

<file path=xl/sharedStrings.xml><?xml version="1.0" encoding="utf-8"?>
<sst xmlns="http://schemas.openxmlformats.org/spreadsheetml/2006/main" count="284" uniqueCount="80">
  <si>
    <t>Authors</t>
  </si>
  <si>
    <t>Title</t>
  </si>
  <si>
    <t>Year</t>
  </si>
  <si>
    <t>HEX characteristics</t>
  </si>
  <si>
    <t>Data type</t>
  </si>
  <si>
    <t>L</t>
  </si>
  <si>
    <t>m/s</t>
  </si>
  <si>
    <t>-</t>
  </si>
  <si>
    <t>m</t>
  </si>
  <si>
    <t>Configuration</t>
  </si>
  <si>
    <t>Water recirculation</t>
  </si>
  <si>
    <t>Run</t>
  </si>
  <si>
    <t>epsilon_wb</t>
  </si>
  <si>
    <t>Inlet conditions</t>
  </si>
  <si>
    <t>Outlet conditions</t>
  </si>
  <si>
    <t>HEX type</t>
  </si>
  <si>
    <t>Water injection type</t>
  </si>
  <si>
    <t>Geometry</t>
  </si>
  <si>
    <t>Length</t>
  </si>
  <si>
    <t>Height</t>
  </si>
  <si>
    <t>Paper information</t>
  </si>
  <si>
    <t>Operating conditions</t>
  </si>
  <si>
    <t>Water supplied</t>
  </si>
  <si>
    <t>Wall thickness</t>
  </si>
  <si>
    <t>Primary fluid velocity</t>
  </si>
  <si>
    <t>Secondary fluid velocity</t>
  </si>
  <si>
    <t>epsilon_dp</t>
  </si>
  <si>
    <t>kg/kg</t>
  </si>
  <si>
    <t>C</t>
  </si>
  <si>
    <t>NA</t>
  </si>
  <si>
    <t>Testing conditions</t>
  </si>
  <si>
    <t>W</t>
  </si>
  <si>
    <t>h_ch</t>
  </si>
  <si>
    <t>Channel height</t>
  </si>
  <si>
    <t>Number of channels</t>
  </si>
  <si>
    <t>SPR</t>
  </si>
  <si>
    <t>pd</t>
  </si>
  <si>
    <t>sw</t>
  </si>
  <si>
    <t>Wall material</t>
  </si>
  <si>
    <t>Width</t>
  </si>
  <si>
    <t>Secondary-to-Primary flow rate ratio</t>
  </si>
  <si>
    <t>kg/s</t>
  </si>
  <si>
    <t>Test</t>
  </si>
  <si>
    <t>T_pdi</t>
  </si>
  <si>
    <t>w_pdi</t>
  </si>
  <si>
    <t>v_pdi</t>
  </si>
  <si>
    <t>T_wfi</t>
  </si>
  <si>
    <t>m_dot_wf</t>
  </si>
  <si>
    <t>T_pdo</t>
  </si>
  <si>
    <t>w_pdo</t>
  </si>
  <si>
    <t>T_swo</t>
  </si>
  <si>
    <t>w_wso</t>
  </si>
  <si>
    <t>T_sdi</t>
  </si>
  <si>
    <t>w_sdi</t>
  </si>
  <si>
    <t>v_sdi</t>
  </si>
  <si>
    <t>sd</t>
  </si>
  <si>
    <t>Studying the performance of an improved dew-point evaporative design for cooling application</t>
  </si>
  <si>
    <t>Cui et al.</t>
  </si>
  <si>
    <t>Numerical, extracted from graphs</t>
  </si>
  <si>
    <t>M-IEC</t>
  </si>
  <si>
    <t>Crossflow</t>
  </si>
  <si>
    <t>Parallel</t>
  </si>
  <si>
    <t>Wet surface</t>
  </si>
  <si>
    <t>Yes</t>
  </si>
  <si>
    <t>A</t>
  </si>
  <si>
    <t>Tests</t>
  </si>
  <si>
    <t>Varied inlet conditions</t>
  </si>
  <si>
    <t>Varied HEX dimensions</t>
  </si>
  <si>
    <t>B</t>
  </si>
  <si>
    <t>Varied inlet air velocity</t>
  </si>
  <si>
    <t>1-2.5</t>
  </si>
  <si>
    <t>PPX</t>
  </si>
  <si>
    <t>WWR</t>
  </si>
  <si>
    <t>Re</t>
  </si>
  <si>
    <t>Nu</t>
  </si>
  <si>
    <t>h_T_pd</t>
  </si>
  <si>
    <t>h_T_sw</t>
  </si>
  <si>
    <t>h_ch_s</t>
  </si>
  <si>
    <t>Description</t>
  </si>
  <si>
    <t>CFD model for an M-IEC validated for the D-IEC configuration only, using two data sources from the literature.Validation of the temperature profile of the air inside the primary channelbased on experimental results from Hsu et al. (1989). Comparison of the predicted outlet temperature of primary air to the measured temperature reported by Woods and Kozubal (2013).
Numerical investigation of the effect of inlet air conditions and exchanger geometry on the performance of an M-IEC.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</si>
</sst>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6">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cellStyleXfs>
  <cellXfs count="59">
    <xf numFmtId="0" fontId="0" fillId="0" borderId="0" xfId="0"/>
    <xf numFmtId="0" fontId="1" fillId="0" borderId="0" xfId="0" applyFont="1"/>
    <xf numFmtId="0" fontId="1" fillId="0" borderId="2" xfId="0" applyFont="1"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1" fillId="0" borderId="10" xfId="0" applyFont="1" applyBorder="1"/>
    <xf numFmtId="0" fontId="1" fillId="0" borderId="11" xfId="0" applyFont="1" applyBorder="1"/>
    <xf numFmtId="0" fontId="1" fillId="0" borderId="12" xfId="0" applyFont="1" applyBorder="1"/>
    <xf numFmtId="0" fontId="0" fillId="0" borderId="2" xfId="0" applyBorder="1"/>
    <xf numFmtId="0" fontId="1" fillId="0" borderId="7" xfId="0" applyFont="1" applyBorder="1"/>
    <xf numFmtId="0" fontId="1" fillId="0" borderId="15" xfId="0" applyFont="1" applyBorder="1"/>
    <xf numFmtId="0" fontId="1" fillId="0" borderId="1" xfId="0" applyFont="1" applyBorder="1"/>
    <xf numFmtId="0" fontId="0" fillId="0" borderId="11" xfId="0" applyBorder="1"/>
    <xf numFmtId="0" fontId="0" fillId="0" borderId="12" xfId="0" applyBorder="1"/>
    <xf numFmtId="0" fontId="1" fillId="0" borderId="5" xfId="0" applyFont="1" applyBorder="1"/>
    <xf numFmtId="0" fontId="1" fillId="0" borderId="13" xfId="0" applyFont="1" applyBorder="1"/>
    <xf numFmtId="0" fontId="1" fillId="0" borderId="14" xfId="0" applyFont="1" applyBorder="1"/>
    <xf numFmtId="164" fontId="0" fillId="0" borderId="0" xfId="0" applyNumberFormat="1"/>
    <xf numFmtId="0" fontId="0" fillId="0" borderId="0" xfId="0" quotePrefix="1"/>
    <xf numFmtId="0" fontId="1" fillId="0" borderId="5" xfId="0" applyFont="1" applyBorder="1" applyAlignment="1">
      <alignment wrapText="1"/>
    </xf>
    <xf numFmtId="0" fontId="0" fillId="0" borderId="6" xfId="0" applyBorder="1" applyAlignment="1">
      <alignment vertical="center"/>
    </xf>
    <xf numFmtId="0" fontId="1" fillId="0" borderId="8" xfId="0" applyFont="1" applyBorder="1"/>
    <xf numFmtId="0" fontId="1" fillId="0" borderId="9" xfId="0" applyFont="1" applyBorder="1"/>
    <xf numFmtId="0" fontId="0" fillId="0" borderId="5" xfId="0" applyBorder="1" applyAlignment="1">
      <alignment horizontal="left"/>
    </xf>
    <xf numFmtId="2" fontId="0" fillId="0" borderId="0" xfId="0" applyNumberFormat="1"/>
    <xf numFmtId="165" fontId="0" fillId="0" borderId="0" xfId="0" applyNumberFormat="1"/>
    <xf numFmtId="1" fontId="0" fillId="0" borderId="0" xfId="0" applyNumberFormat="1"/>
    <xf numFmtId="164" fontId="0" fillId="0" borderId="3" xfId="0" applyNumberFormat="1" applyBorder="1" applyAlignment="1">
      <alignment horizontal="right"/>
    </xf>
    <xf numFmtId="0" fontId="0" fillId="0" borderId="4" xfId="0" applyBorder="1" applyAlignment="1">
      <alignment horizontal="right"/>
    </xf>
    <xf numFmtId="0" fontId="0" fillId="0" borderId="6" xfId="0" applyBorder="1" applyAlignment="1">
      <alignment horizontal="right"/>
    </xf>
    <xf numFmtId="2" fontId="0" fillId="0" borderId="6" xfId="0" applyNumberFormat="1" applyBorder="1"/>
    <xf numFmtId="165" fontId="0" fillId="0" borderId="5" xfId="0" applyNumberFormat="1" applyBorder="1"/>
    <xf numFmtId="2" fontId="0" fillId="0" borderId="9" xfId="0" applyNumberFormat="1" applyBorder="1"/>
    <xf numFmtId="1" fontId="0" fillId="0" borderId="3" xfId="0" applyNumberFormat="1" applyBorder="1"/>
    <xf numFmtId="165" fontId="0" fillId="0" borderId="2" xfId="0" applyNumberFormat="1" applyBorder="1"/>
    <xf numFmtId="2" fontId="0" fillId="0" borderId="3" xfId="0" applyNumberFormat="1" applyBorder="1"/>
    <xf numFmtId="2" fontId="0" fillId="0" borderId="4" xfId="0" applyNumberFormat="1" applyBorder="1"/>
    <xf numFmtId="164" fontId="0" fillId="0" borderId="0" xfId="0" applyNumberFormat="1" applyAlignment="1">
      <alignment horizontal="right"/>
    </xf>
    <xf numFmtId="165" fontId="0" fillId="0" borderId="0" xfId="0" applyNumberFormat="1" applyAlignment="1">
      <alignment horizontal="right"/>
    </xf>
    <xf numFmtId="1" fontId="0" fillId="0" borderId="8" xfId="0" applyNumberFormat="1" applyBorder="1"/>
    <xf numFmtId="164" fontId="0" fillId="0" borderId="8" xfId="0" applyNumberFormat="1" applyBorder="1" applyAlignment="1">
      <alignment horizontal="right"/>
    </xf>
    <xf numFmtId="0" fontId="0" fillId="0" borderId="9" xfId="0" applyBorder="1" applyAlignment="1">
      <alignment horizontal="right"/>
    </xf>
    <xf numFmtId="165" fontId="0" fillId="0" borderId="8" xfId="0" applyNumberFormat="1" applyBorder="1" applyAlignment="1">
      <alignment horizontal="right"/>
    </xf>
    <xf numFmtId="2" fontId="0" fillId="0" borderId="8" xfId="0" applyNumberFormat="1" applyBorder="1"/>
    <xf numFmtId="0" fontId="0" fillId="0" borderId="2" xfId="0" applyBorder="1" applyAlignment="1">
      <alignment horizontal="right"/>
    </xf>
    <xf numFmtId="0" fontId="0" fillId="0" borderId="5" xfId="0" applyBorder="1" applyAlignment="1">
      <alignment horizontal="right"/>
    </xf>
    <xf numFmtId="0" fontId="0" fillId="0" borderId="5" xfId="0" applyBorder="1" applyAlignment="1">
      <alignment horizontal="right" vertical="center"/>
    </xf>
    <xf numFmtId="0" fontId="0" fillId="0" borderId="7" xfId="0" applyBorder="1" applyAlignment="1">
      <alignment horizontal="right"/>
    </xf>
    <xf numFmtId="0" fontId="0" fillId="0" borderId="10" xfId="0" applyBorder="1" applyAlignment="1">
      <alignment horizontal="center"/>
    </xf>
    <xf numFmtId="0" fontId="0" fillId="0" borderId="12" xfId="0" applyBorder="1" applyAlignment="1">
      <alignment horizontal="center"/>
    </xf>
    <xf numFmtId="0" fontId="1" fillId="0" borderId="15" xfId="0" applyFont="1" applyBorder="1" applyAlignment="1">
      <alignment vertical="top"/>
    </xf>
    <xf numFmtId="0" fontId="0" fillId="0" borderId="7" xfId="0" applyBorder="1" applyAlignment="1">
      <alignment horizontal="left" vertical="top" wrapText="1"/>
    </xf>
    <xf numFmtId="0" fontId="0" fillId="0" borderId="8" xfId="0" applyBorder="1" applyAlignment="1">
      <alignment horizontal="left" vertical="top" wrapText="1"/>
    </xf>
    <xf numFmtId="0" fontId="0" fillId="0" borderId="9" xfId="0"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14</xdr:col>
      <xdr:colOff>304800</xdr:colOff>
      <xdr:row>1</xdr:row>
      <xdr:rowOff>125703</xdr:rowOff>
    </xdr:from>
    <xdr:to>
      <xdr:col>21</xdr:col>
      <xdr:colOff>152400</xdr:colOff>
      <xdr:row>27</xdr:row>
      <xdr:rowOff>104496</xdr:rowOff>
    </xdr:to>
    <xdr:pic>
      <xdr:nvPicPr>
        <xdr:cNvPr id="3" name="Picture 2">
          <a:extLst>
            <a:ext uri="{FF2B5EF4-FFF2-40B4-BE49-F238E27FC236}">
              <a16:creationId xmlns:a16="http://schemas.microsoft.com/office/drawing/2014/main" id="{893C0CD4-43D2-00E4-A74C-1A4D6BE2D6C2}"/>
            </a:ext>
          </a:extLst>
        </xdr:cNvPr>
        <xdr:cNvPicPr>
          <a:picLocks noChangeAspect="1"/>
        </xdr:cNvPicPr>
      </xdr:nvPicPr>
      <xdr:blipFill>
        <a:blip xmlns:r="http://schemas.openxmlformats.org/officeDocument/2006/relationships" r:embed="rId1"/>
        <a:stretch>
          <a:fillRect/>
        </a:stretch>
      </xdr:blipFill>
      <xdr:spPr>
        <a:xfrm>
          <a:off x="9982200" y="316203"/>
          <a:ext cx="4411980" cy="5594733"/>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4C5148-67C7-4129-B487-C13B2FC67C4B}">
  <dimension ref="B1:AF70"/>
  <sheetViews>
    <sheetView tabSelected="1" workbookViewId="0">
      <selection activeCell="L19" sqref="L19"/>
    </sheetView>
  </sheetViews>
  <sheetFormatPr defaultColWidth="8.88671875" defaultRowHeight="14.4" x14ac:dyDescent="0.3"/>
  <cols>
    <col min="1" max="1" width="2.6640625" customWidth="1"/>
    <col min="2" max="2" width="22.33203125" bestFit="1" customWidth="1"/>
    <col min="3" max="3" width="14.109375" customWidth="1"/>
    <col min="6" max="6" width="9.44140625" customWidth="1"/>
    <col min="7" max="13" width="9.33203125" customWidth="1"/>
    <col min="14" max="14" width="9.44140625" customWidth="1"/>
    <col min="15" max="15" width="10.44140625" customWidth="1"/>
    <col min="16" max="16" width="9.44140625" customWidth="1"/>
    <col min="17" max="24" width="9.33203125" customWidth="1"/>
    <col min="25" max="25" width="10.5546875" bestFit="1" customWidth="1"/>
    <col min="26" max="26" width="10.21875" bestFit="1" customWidth="1"/>
  </cols>
  <sheetData>
    <row r="1" spans="2:14" ht="15" thickBot="1" x14ac:dyDescent="0.35"/>
    <row r="2" spans="2:14" ht="15" thickBot="1" x14ac:dyDescent="0.35">
      <c r="B2" s="10" t="s">
        <v>20</v>
      </c>
      <c r="C2" s="11"/>
      <c r="D2" s="11"/>
      <c r="E2" s="11"/>
      <c r="F2" s="11"/>
      <c r="G2" s="11"/>
      <c r="H2" s="11"/>
      <c r="I2" s="11"/>
      <c r="J2" s="11"/>
      <c r="K2" s="11"/>
      <c r="L2" s="11"/>
      <c r="M2" s="11"/>
      <c r="N2" s="12"/>
    </row>
    <row r="3" spans="2:14" x14ac:dyDescent="0.3">
      <c r="B3" s="20" t="s">
        <v>0</v>
      </c>
      <c r="C3" s="13" t="s">
        <v>57</v>
      </c>
      <c r="D3" s="3"/>
      <c r="E3" s="3"/>
      <c r="F3" s="3"/>
      <c r="G3" s="3"/>
      <c r="H3" s="3"/>
      <c r="I3" s="3"/>
      <c r="J3" s="3"/>
      <c r="K3" s="3"/>
      <c r="L3" s="3"/>
      <c r="M3" s="3"/>
      <c r="N3" s="4"/>
    </row>
    <row r="4" spans="2:14" x14ac:dyDescent="0.3">
      <c r="B4" s="21" t="s">
        <v>1</v>
      </c>
      <c r="C4" s="5" t="s">
        <v>56</v>
      </c>
      <c r="N4" s="6"/>
    </row>
    <row r="5" spans="2:14" x14ac:dyDescent="0.3">
      <c r="B5" s="21" t="s">
        <v>2</v>
      </c>
      <c r="C5" s="28">
        <v>2014</v>
      </c>
      <c r="N5" s="6"/>
    </row>
    <row r="6" spans="2:14" x14ac:dyDescent="0.3">
      <c r="B6" s="21" t="s">
        <v>4</v>
      </c>
      <c r="C6" s="28" t="s">
        <v>58</v>
      </c>
      <c r="N6" s="6"/>
    </row>
    <row r="7" spans="2:14" ht="60.6" customHeight="1" thickBot="1" x14ac:dyDescent="0.35">
      <c r="B7" s="55" t="s">
        <v>78</v>
      </c>
      <c r="C7" s="56" t="s">
        <v>79</v>
      </c>
      <c r="D7" s="57"/>
      <c r="E7" s="57"/>
      <c r="F7" s="57"/>
      <c r="G7" s="57"/>
      <c r="H7" s="57"/>
      <c r="I7" s="57"/>
      <c r="J7" s="57"/>
      <c r="K7" s="57"/>
      <c r="L7" s="57"/>
      <c r="M7" s="57"/>
      <c r="N7" s="58"/>
    </row>
    <row r="8" spans="2:14" ht="15" thickBot="1" x14ac:dyDescent="0.35"/>
    <row r="9" spans="2:14" ht="15" thickBot="1" x14ac:dyDescent="0.35">
      <c r="B9" s="10" t="s">
        <v>3</v>
      </c>
      <c r="C9" s="18"/>
      <c r="E9" s="10" t="s">
        <v>9</v>
      </c>
      <c r="F9" s="17"/>
      <c r="G9" s="17"/>
      <c r="H9" s="18"/>
    </row>
    <row r="10" spans="2:14" ht="15" thickBot="1" x14ac:dyDescent="0.35">
      <c r="B10" s="20" t="s">
        <v>15</v>
      </c>
      <c r="C10" s="6" t="s">
        <v>59</v>
      </c>
      <c r="E10" s="10" t="s">
        <v>36</v>
      </c>
      <c r="F10" s="11" t="s">
        <v>55</v>
      </c>
      <c r="G10" s="11" t="s">
        <v>55</v>
      </c>
      <c r="H10" s="12" t="s">
        <v>37</v>
      </c>
    </row>
    <row r="11" spans="2:14" ht="15" thickBot="1" x14ac:dyDescent="0.35">
      <c r="B11" s="21" t="s">
        <v>16</v>
      </c>
      <c r="C11" s="6" t="s">
        <v>62</v>
      </c>
      <c r="E11" s="53" t="s">
        <v>61</v>
      </c>
      <c r="F11" s="54"/>
      <c r="G11" s="53" t="s">
        <v>60</v>
      </c>
      <c r="H11" s="54"/>
    </row>
    <row r="12" spans="2:14" x14ac:dyDescent="0.3">
      <c r="B12" s="21" t="s">
        <v>10</v>
      </c>
      <c r="C12" s="6" t="s">
        <v>63</v>
      </c>
    </row>
    <row r="13" spans="2:14" x14ac:dyDescent="0.3">
      <c r="B13" s="21" t="s">
        <v>38</v>
      </c>
      <c r="C13" s="6" t="s">
        <v>29</v>
      </c>
    </row>
    <row r="14" spans="2:14" ht="15" thickBot="1" x14ac:dyDescent="0.35">
      <c r="B14" s="15" t="s">
        <v>9</v>
      </c>
      <c r="C14" s="9" t="s">
        <v>71</v>
      </c>
    </row>
    <row r="15" spans="2:14" ht="15" thickBot="1" x14ac:dyDescent="0.35">
      <c r="B15" s="1"/>
    </row>
    <row r="16" spans="2:14" ht="15" thickBot="1" x14ac:dyDescent="0.35">
      <c r="B16" s="10" t="s">
        <v>17</v>
      </c>
      <c r="C16" s="17"/>
      <c r="D16" s="18"/>
      <c r="F16" s="1"/>
    </row>
    <row r="17" spans="2:32" x14ac:dyDescent="0.3">
      <c r="B17" s="20" t="s">
        <v>18</v>
      </c>
      <c r="C17" s="3">
        <v>1</v>
      </c>
      <c r="D17" s="4" t="s">
        <v>8</v>
      </c>
      <c r="F17" s="1"/>
      <c r="G17" s="23"/>
    </row>
    <row r="18" spans="2:32" x14ac:dyDescent="0.3">
      <c r="B18" s="21" t="s">
        <v>39</v>
      </c>
      <c r="C18">
        <v>1</v>
      </c>
      <c r="D18" s="6" t="s">
        <v>8</v>
      </c>
      <c r="F18" s="1"/>
    </row>
    <row r="19" spans="2:32" x14ac:dyDescent="0.3">
      <c r="B19" s="21" t="s">
        <v>19</v>
      </c>
      <c r="D19" s="6" t="s">
        <v>8</v>
      </c>
      <c r="F19" s="1"/>
    </row>
    <row r="20" spans="2:32" x14ac:dyDescent="0.3">
      <c r="B20" s="21" t="s">
        <v>33</v>
      </c>
      <c r="C20">
        <v>6.0000000000000001E-3</v>
      </c>
      <c r="D20" s="6" t="s">
        <v>8</v>
      </c>
    </row>
    <row r="21" spans="2:32" x14ac:dyDescent="0.3">
      <c r="B21" s="21" t="s">
        <v>23</v>
      </c>
      <c r="C21">
        <v>2.0000000000000001E-4</v>
      </c>
      <c r="D21" s="6" t="s">
        <v>8</v>
      </c>
    </row>
    <row r="22" spans="2:32" ht="15" thickBot="1" x14ac:dyDescent="0.35">
      <c r="B22" s="15" t="s">
        <v>34</v>
      </c>
      <c r="C22" s="8"/>
      <c r="D22" s="9" t="s">
        <v>7</v>
      </c>
    </row>
    <row r="23" spans="2:32" ht="15" thickBot="1" x14ac:dyDescent="0.35">
      <c r="B23" s="1"/>
    </row>
    <row r="24" spans="2:32" ht="15" thickBot="1" x14ac:dyDescent="0.35">
      <c r="B24" s="2" t="s">
        <v>21</v>
      </c>
      <c r="C24" s="3"/>
      <c r="D24" s="4"/>
      <c r="F24" s="10" t="s">
        <v>65</v>
      </c>
      <c r="G24" s="11"/>
      <c r="H24" s="11"/>
      <c r="I24" s="12"/>
    </row>
    <row r="25" spans="2:32" x14ac:dyDescent="0.3">
      <c r="B25" s="2" t="s">
        <v>24</v>
      </c>
      <c r="C25" s="49" t="s">
        <v>70</v>
      </c>
      <c r="D25" s="4" t="s">
        <v>6</v>
      </c>
      <c r="F25" s="5" t="s">
        <v>64</v>
      </c>
      <c r="G25" t="s">
        <v>66</v>
      </c>
      <c r="I25" s="6"/>
    </row>
    <row r="26" spans="2:32" x14ac:dyDescent="0.3">
      <c r="B26" s="19" t="s">
        <v>25</v>
      </c>
      <c r="C26" s="50" t="s">
        <v>70</v>
      </c>
      <c r="D26" s="6" t="s">
        <v>6</v>
      </c>
      <c r="F26" s="5" t="s">
        <v>68</v>
      </c>
      <c r="G26" t="s">
        <v>67</v>
      </c>
      <c r="I26" s="6"/>
    </row>
    <row r="27" spans="2:32" ht="29.4" thickBot="1" x14ac:dyDescent="0.35">
      <c r="B27" s="24" t="s">
        <v>40</v>
      </c>
      <c r="C27" s="51">
        <v>0.5</v>
      </c>
      <c r="D27" s="25" t="s">
        <v>27</v>
      </c>
      <c r="F27" s="7" t="s">
        <v>28</v>
      </c>
      <c r="G27" s="8" t="s">
        <v>69</v>
      </c>
      <c r="H27" s="8"/>
      <c r="I27" s="9"/>
    </row>
    <row r="28" spans="2:32" ht="15" thickBot="1" x14ac:dyDescent="0.35">
      <c r="B28" s="14" t="s">
        <v>22</v>
      </c>
      <c r="C28" s="52" t="s">
        <v>29</v>
      </c>
      <c r="D28" s="9" t="s">
        <v>41</v>
      </c>
      <c r="J28" s="29"/>
      <c r="K28" s="29"/>
      <c r="L28" s="29"/>
      <c r="M28" s="29"/>
    </row>
    <row r="29" spans="2:32" ht="15" thickBot="1" x14ac:dyDescent="0.35"/>
    <row r="30" spans="2:32" ht="15" thickBot="1" x14ac:dyDescent="0.35">
      <c r="B30" s="2"/>
      <c r="C30" s="10" t="s">
        <v>30</v>
      </c>
      <c r="D30" s="11"/>
      <c r="E30" s="11"/>
      <c r="F30" s="11"/>
      <c r="G30" s="11"/>
      <c r="H30" s="11"/>
      <c r="I30" s="11"/>
      <c r="J30" s="11"/>
      <c r="K30" s="11"/>
      <c r="L30" s="11"/>
      <c r="M30" s="12"/>
      <c r="N30" s="10" t="s">
        <v>13</v>
      </c>
      <c r="O30" s="11"/>
      <c r="P30" s="11"/>
      <c r="Q30" s="11"/>
      <c r="R30" s="11"/>
      <c r="S30" s="11"/>
      <c r="T30" s="11"/>
      <c r="U30" s="12"/>
      <c r="V30" s="16" t="s">
        <v>14</v>
      </c>
      <c r="W30" s="3"/>
      <c r="X30" s="3"/>
      <c r="Y30" s="3"/>
      <c r="Z30" s="3"/>
      <c r="AA30" s="18"/>
    </row>
    <row r="31" spans="2:32" ht="15" thickBot="1" x14ac:dyDescent="0.35">
      <c r="B31" s="14" t="s">
        <v>11</v>
      </c>
      <c r="C31" s="14" t="s">
        <v>42</v>
      </c>
      <c r="D31" s="26" t="s">
        <v>5</v>
      </c>
      <c r="E31" s="26" t="s">
        <v>32</v>
      </c>
      <c r="F31" s="26" t="s">
        <v>77</v>
      </c>
      <c r="G31" s="26" t="s">
        <v>31</v>
      </c>
      <c r="H31" s="26" t="s">
        <v>72</v>
      </c>
      <c r="I31" s="26" t="s">
        <v>35</v>
      </c>
      <c r="J31" s="26" t="s">
        <v>73</v>
      </c>
      <c r="K31" s="26" t="s">
        <v>74</v>
      </c>
      <c r="L31" s="26" t="s">
        <v>75</v>
      </c>
      <c r="M31" s="27" t="s">
        <v>76</v>
      </c>
      <c r="N31" s="10" t="s">
        <v>43</v>
      </c>
      <c r="O31" s="11" t="s">
        <v>44</v>
      </c>
      <c r="P31" s="11" t="s">
        <v>45</v>
      </c>
      <c r="Q31" s="11" t="s">
        <v>52</v>
      </c>
      <c r="R31" s="11" t="s">
        <v>53</v>
      </c>
      <c r="S31" s="26" t="s">
        <v>54</v>
      </c>
      <c r="T31" s="26" t="s">
        <v>46</v>
      </c>
      <c r="U31" s="27" t="s">
        <v>47</v>
      </c>
      <c r="V31" s="10" t="s">
        <v>48</v>
      </c>
      <c r="W31" s="11" t="s">
        <v>49</v>
      </c>
      <c r="X31" s="11" t="s">
        <v>50</v>
      </c>
      <c r="Y31" s="11" t="s">
        <v>51</v>
      </c>
      <c r="Z31" s="11" t="s">
        <v>12</v>
      </c>
      <c r="AA31" s="12" t="s">
        <v>26</v>
      </c>
      <c r="AB31" s="1"/>
      <c r="AC31" s="1"/>
    </row>
    <row r="32" spans="2:32" x14ac:dyDescent="0.3">
      <c r="B32" s="13">
        <v>1</v>
      </c>
      <c r="C32" s="13" t="s">
        <v>64</v>
      </c>
      <c r="D32" s="3">
        <v>1</v>
      </c>
      <c r="E32" s="3">
        <v>6.0000000000000001E-3</v>
      </c>
      <c r="F32" s="3">
        <v>3.0000000000000001E-3</v>
      </c>
      <c r="G32" s="3">
        <v>1</v>
      </c>
      <c r="H32" s="3">
        <v>1</v>
      </c>
      <c r="I32" s="3">
        <v>1</v>
      </c>
      <c r="J32" s="38">
        <v>790.60241083241999</v>
      </c>
      <c r="K32" s="40">
        <v>17.071097542750302</v>
      </c>
      <c r="L32" s="40">
        <v>36.714609496160101</v>
      </c>
      <c r="M32" s="41">
        <v>54.4419867444565</v>
      </c>
      <c r="N32" s="38">
        <v>25.015290519877599</v>
      </c>
      <c r="O32" s="3">
        <v>8.0000000000000002E-3</v>
      </c>
      <c r="P32" s="3">
        <v>1</v>
      </c>
      <c r="Q32" s="38">
        <v>25.015290519877599</v>
      </c>
      <c r="R32" s="3">
        <v>8.0000000000000002E-3</v>
      </c>
      <c r="S32" s="3">
        <v>2</v>
      </c>
      <c r="T32" s="32" t="s">
        <v>29</v>
      </c>
      <c r="U32" s="33" t="s">
        <v>29</v>
      </c>
      <c r="V32" s="39">
        <v>13.4388083526581</v>
      </c>
      <c r="W32" s="3">
        <v>8.0000000000000002E-3</v>
      </c>
      <c r="X32" s="32" t="s">
        <v>29</v>
      </c>
      <c r="Y32" s="32" t="s">
        <v>29</v>
      </c>
      <c r="Z32" s="40">
        <v>1.325</v>
      </c>
      <c r="AA32" s="41">
        <v>0.804904579363246</v>
      </c>
      <c r="AE32" s="29"/>
      <c r="AF32" s="29"/>
    </row>
    <row r="33" spans="2:32" x14ac:dyDescent="0.3">
      <c r="B33" s="5">
        <v>2</v>
      </c>
      <c r="C33" s="5" t="s">
        <v>64</v>
      </c>
      <c r="D33">
        <v>1</v>
      </c>
      <c r="E33">
        <v>6.0000000000000001E-3</v>
      </c>
      <c r="F33">
        <v>3.0000000000000001E-3</v>
      </c>
      <c r="G33">
        <v>1</v>
      </c>
      <c r="H33">
        <v>1</v>
      </c>
      <c r="I33">
        <v>1</v>
      </c>
      <c r="J33" s="31">
        <v>777.13238044287004</v>
      </c>
      <c r="K33" s="29">
        <v>16.939595907971999</v>
      </c>
      <c r="L33" s="29">
        <v>36.7277508241364</v>
      </c>
      <c r="M33" s="35">
        <v>54.481040538268303</v>
      </c>
      <c r="N33" s="31">
        <v>29.9694189602446</v>
      </c>
      <c r="O33">
        <v>8.0000000000000002E-3</v>
      </c>
      <c r="P33">
        <v>1</v>
      </c>
      <c r="Q33" s="31">
        <v>29.9694189602446</v>
      </c>
      <c r="R33">
        <v>8.0000000000000002E-3</v>
      </c>
      <c r="S33">
        <v>2</v>
      </c>
      <c r="T33" s="42" t="s">
        <v>29</v>
      </c>
      <c r="U33" s="34" t="s">
        <v>29</v>
      </c>
      <c r="V33" s="36">
        <v>14.1646880317755</v>
      </c>
      <c r="W33">
        <v>8.0000000000000002E-3</v>
      </c>
      <c r="X33" s="42" t="s">
        <v>29</v>
      </c>
      <c r="Y33" s="42" t="s">
        <v>29</v>
      </c>
      <c r="Z33" s="29">
        <v>1.319375</v>
      </c>
      <c r="AA33" s="35">
        <v>0.81779472367193995</v>
      </c>
      <c r="AE33" s="29"/>
      <c r="AF33" s="29"/>
    </row>
    <row r="34" spans="2:32" x14ac:dyDescent="0.3">
      <c r="B34" s="5">
        <v>3</v>
      </c>
      <c r="C34" s="5" t="s">
        <v>64</v>
      </c>
      <c r="D34">
        <v>1</v>
      </c>
      <c r="E34">
        <v>6.0000000000000001E-3</v>
      </c>
      <c r="F34">
        <v>3.0000000000000001E-3</v>
      </c>
      <c r="G34">
        <v>1</v>
      </c>
      <c r="H34">
        <v>1</v>
      </c>
      <c r="I34">
        <v>1</v>
      </c>
      <c r="J34" s="31">
        <v>764.08684094115495</v>
      </c>
      <c r="K34" s="29">
        <v>16.8112001983075</v>
      </c>
      <c r="L34" s="29">
        <v>36.740838941198497</v>
      </c>
      <c r="M34" s="35">
        <v>54.519862518139298</v>
      </c>
      <c r="N34" s="31">
        <v>34.969418960244603</v>
      </c>
      <c r="O34">
        <v>8.0000000000000002E-3</v>
      </c>
      <c r="P34">
        <v>1</v>
      </c>
      <c r="Q34" s="31">
        <v>34.969418960244603</v>
      </c>
      <c r="R34">
        <v>8.0000000000000002E-3</v>
      </c>
      <c r="S34">
        <v>2</v>
      </c>
      <c r="T34" s="42" t="s">
        <v>29</v>
      </c>
      <c r="U34" s="34" t="s">
        <v>29</v>
      </c>
      <c r="V34" s="36">
        <v>14.8193876105732</v>
      </c>
      <c r="W34">
        <v>8.0000000000000002E-3</v>
      </c>
      <c r="X34" s="42" t="s">
        <v>29</v>
      </c>
      <c r="Y34" s="42" t="s">
        <v>29</v>
      </c>
      <c r="Z34" s="29">
        <v>1.31187498092651</v>
      </c>
      <c r="AA34" s="35">
        <v>0.82831568845079795</v>
      </c>
      <c r="AE34" s="29"/>
      <c r="AF34" s="29"/>
    </row>
    <row r="35" spans="2:32" x14ac:dyDescent="0.3">
      <c r="B35" s="5">
        <v>4</v>
      </c>
      <c r="C35" s="5" t="s">
        <v>64</v>
      </c>
      <c r="D35">
        <v>1</v>
      </c>
      <c r="E35">
        <v>6.0000000000000001E-3</v>
      </c>
      <c r="F35">
        <v>3.0000000000000001E-3</v>
      </c>
      <c r="G35">
        <v>1</v>
      </c>
      <c r="H35">
        <v>1</v>
      </c>
      <c r="I35">
        <v>1</v>
      </c>
      <c r="J35" s="31">
        <v>751.74468056872797</v>
      </c>
      <c r="K35" s="29">
        <v>16.688763600600399</v>
      </c>
      <c r="L35" s="29">
        <v>36.753565450869502</v>
      </c>
      <c r="M35" s="35">
        <v>54.5575387456337</v>
      </c>
      <c r="N35" s="31">
        <v>40</v>
      </c>
      <c r="O35">
        <v>8.0000000000000002E-3</v>
      </c>
      <c r="P35">
        <v>1</v>
      </c>
      <c r="Q35" s="31">
        <v>40</v>
      </c>
      <c r="R35">
        <v>8.0000000000000002E-3</v>
      </c>
      <c r="S35">
        <v>2</v>
      </c>
      <c r="T35" s="42" t="s">
        <v>29</v>
      </c>
      <c r="U35" s="34" t="s">
        <v>29</v>
      </c>
      <c r="V35" s="36">
        <v>15.284125319384501</v>
      </c>
      <c r="W35">
        <v>8.0000000000000002E-3</v>
      </c>
      <c r="X35" s="42" t="s">
        <v>29</v>
      </c>
      <c r="Y35" s="42" t="s">
        <v>29</v>
      </c>
      <c r="Z35" s="29">
        <v>1.3106249999999999</v>
      </c>
      <c r="AA35" s="35">
        <v>0.84172297197303603</v>
      </c>
      <c r="AE35" s="29"/>
      <c r="AF35" s="29"/>
    </row>
    <row r="36" spans="2:32" x14ac:dyDescent="0.3">
      <c r="B36" s="5">
        <v>5</v>
      </c>
      <c r="C36" s="5" t="s">
        <v>64</v>
      </c>
      <c r="D36">
        <v>1</v>
      </c>
      <c r="E36">
        <v>6.0000000000000001E-3</v>
      </c>
      <c r="F36">
        <v>3.0000000000000001E-3</v>
      </c>
      <c r="G36">
        <v>1</v>
      </c>
      <c r="H36">
        <v>1</v>
      </c>
      <c r="I36">
        <v>1</v>
      </c>
      <c r="J36" s="31">
        <v>776.64268099626599</v>
      </c>
      <c r="K36" s="29">
        <v>16.944203131776099</v>
      </c>
      <c r="L36" s="29">
        <v>36.665209639313701</v>
      </c>
      <c r="M36" s="35">
        <v>54.387578978958302</v>
      </c>
      <c r="N36" s="31">
        <v>25.015290519877599</v>
      </c>
      <c r="O36">
        <v>1.2E-2</v>
      </c>
      <c r="P36">
        <v>1</v>
      </c>
      <c r="Q36" s="31">
        <v>25.015290519877599</v>
      </c>
      <c r="R36">
        <v>1.2E-2</v>
      </c>
      <c r="S36">
        <v>2</v>
      </c>
      <c r="T36" s="42" t="s">
        <v>29</v>
      </c>
      <c r="U36" s="34" t="s">
        <v>29</v>
      </c>
      <c r="V36" s="36">
        <v>17.857837563762502</v>
      </c>
      <c r="W36">
        <v>1.2E-2</v>
      </c>
      <c r="X36" s="42" t="s">
        <v>29</v>
      </c>
      <c r="Y36" s="42" t="s">
        <v>29</v>
      </c>
      <c r="Z36" s="29">
        <v>1.2999999999999901</v>
      </c>
      <c r="AA36" s="35">
        <v>0.86774241780948203</v>
      </c>
      <c r="AE36" s="29"/>
      <c r="AF36" s="29"/>
    </row>
    <row r="37" spans="2:32" x14ac:dyDescent="0.3">
      <c r="B37" s="5">
        <v>6</v>
      </c>
      <c r="C37" s="5" t="s">
        <v>64</v>
      </c>
      <c r="D37">
        <v>1</v>
      </c>
      <c r="E37">
        <v>6.0000000000000001E-3</v>
      </c>
      <c r="F37">
        <v>3.0000000000000001E-3</v>
      </c>
      <c r="G37">
        <v>1</v>
      </c>
      <c r="H37">
        <v>1</v>
      </c>
      <c r="I37">
        <v>1</v>
      </c>
      <c r="J37" s="31">
        <v>763.88540318050696</v>
      </c>
      <c r="K37" s="29">
        <v>16.8185298438706</v>
      </c>
      <c r="L37" s="29">
        <v>36.676897735450801</v>
      </c>
      <c r="M37" s="35">
        <v>54.423866003299899</v>
      </c>
      <c r="N37" s="31">
        <v>29.984709480122302</v>
      </c>
      <c r="O37">
        <v>1.2E-2</v>
      </c>
      <c r="P37">
        <v>1</v>
      </c>
      <c r="Q37" s="31">
        <v>29.984709480122302</v>
      </c>
      <c r="R37">
        <v>1.2E-2</v>
      </c>
      <c r="S37">
        <v>2</v>
      </c>
      <c r="T37" s="42" t="s">
        <v>29</v>
      </c>
      <c r="U37" s="34" t="s">
        <v>29</v>
      </c>
      <c r="V37" s="36">
        <v>18.419616893600601</v>
      </c>
      <c r="W37">
        <v>1.2E-2</v>
      </c>
      <c r="X37" s="42" t="s">
        <v>29</v>
      </c>
      <c r="Y37" s="42" t="s">
        <v>29</v>
      </c>
      <c r="Z37" s="29">
        <v>1.2925</v>
      </c>
      <c r="AA37" s="35">
        <v>0.87526343169905196</v>
      </c>
      <c r="AE37" s="29"/>
      <c r="AF37" s="29"/>
    </row>
    <row r="38" spans="2:32" x14ac:dyDescent="0.3">
      <c r="B38" s="5">
        <v>7</v>
      </c>
      <c r="C38" s="5" t="s">
        <v>64</v>
      </c>
      <c r="D38">
        <v>1</v>
      </c>
      <c r="E38">
        <v>6.0000000000000001E-3</v>
      </c>
      <c r="F38">
        <v>3.0000000000000001E-3</v>
      </c>
      <c r="G38">
        <v>1</v>
      </c>
      <c r="H38">
        <v>1</v>
      </c>
      <c r="I38">
        <v>1</v>
      </c>
      <c r="J38" s="31">
        <v>751.40469177698105</v>
      </c>
      <c r="K38" s="29">
        <v>16.694615177540602</v>
      </c>
      <c r="L38" s="29">
        <v>36.688668476813604</v>
      </c>
      <c r="M38" s="35">
        <v>54.460301950227098</v>
      </c>
      <c r="N38" s="31">
        <v>35</v>
      </c>
      <c r="O38">
        <v>1.2E-2</v>
      </c>
      <c r="P38">
        <v>1</v>
      </c>
      <c r="Q38" s="31">
        <v>35</v>
      </c>
      <c r="R38">
        <v>1.2E-2</v>
      </c>
      <c r="S38">
        <v>2</v>
      </c>
      <c r="T38" s="42" t="s">
        <v>29</v>
      </c>
      <c r="U38" s="34" t="s">
        <v>29</v>
      </c>
      <c r="V38" s="36">
        <v>18.9621419439842</v>
      </c>
      <c r="W38">
        <v>1.2E-2</v>
      </c>
      <c r="X38" s="42" t="s">
        <v>29</v>
      </c>
      <c r="Y38" s="42" t="s">
        <v>29</v>
      </c>
      <c r="Z38" s="29">
        <v>1.2818749999999901</v>
      </c>
      <c r="AA38" s="35">
        <v>0.87971513196204598</v>
      </c>
      <c r="AE38" s="29"/>
      <c r="AF38" s="29"/>
    </row>
    <row r="39" spans="2:32" x14ac:dyDescent="0.3">
      <c r="B39" s="5">
        <v>8</v>
      </c>
      <c r="C39" s="5" t="s">
        <v>64</v>
      </c>
      <c r="D39">
        <v>1</v>
      </c>
      <c r="E39">
        <v>6.0000000000000001E-3</v>
      </c>
      <c r="F39">
        <v>3.0000000000000001E-3</v>
      </c>
      <c r="G39">
        <v>1</v>
      </c>
      <c r="H39">
        <v>1</v>
      </c>
      <c r="I39">
        <v>1</v>
      </c>
      <c r="J39" s="31">
        <v>739.58478555172496</v>
      </c>
      <c r="K39" s="29">
        <v>16.5763592297094</v>
      </c>
      <c r="L39" s="29">
        <v>36.700137586073502</v>
      </c>
      <c r="M39" s="35">
        <v>54.4957001916029</v>
      </c>
      <c r="N39" s="31">
        <v>40.015290519877603</v>
      </c>
      <c r="O39">
        <v>1.2E-2</v>
      </c>
      <c r="P39">
        <v>1</v>
      </c>
      <c r="Q39" s="31">
        <v>40.015290519877603</v>
      </c>
      <c r="R39">
        <v>1.2E-2</v>
      </c>
      <c r="S39">
        <v>2</v>
      </c>
      <c r="T39" s="42" t="s">
        <v>29</v>
      </c>
      <c r="U39" s="34" t="s">
        <v>29</v>
      </c>
      <c r="V39" s="36">
        <v>19.349871961125501</v>
      </c>
      <c r="W39">
        <v>1.2E-2</v>
      </c>
      <c r="X39" s="42" t="s">
        <v>29</v>
      </c>
      <c r="Y39" s="42" t="s">
        <v>29</v>
      </c>
      <c r="Z39" s="29">
        <v>1.2793749999999999</v>
      </c>
      <c r="AA39" s="35">
        <v>0.88891390569205297</v>
      </c>
      <c r="AE39" s="29"/>
      <c r="AF39" s="29"/>
    </row>
    <row r="40" spans="2:32" x14ac:dyDescent="0.3">
      <c r="B40" s="5">
        <v>9</v>
      </c>
      <c r="C40" s="5" t="s">
        <v>64</v>
      </c>
      <c r="D40">
        <v>1</v>
      </c>
      <c r="E40">
        <v>6.0000000000000001E-3</v>
      </c>
      <c r="F40">
        <v>3.0000000000000001E-3</v>
      </c>
      <c r="G40">
        <v>1</v>
      </c>
      <c r="H40">
        <v>1</v>
      </c>
      <c r="I40">
        <v>1</v>
      </c>
      <c r="J40" s="31">
        <v>752.25781316316898</v>
      </c>
      <c r="K40" s="29">
        <v>16.712468177304199</v>
      </c>
      <c r="L40" s="29">
        <v>36.624069149583399</v>
      </c>
      <c r="M40" s="35">
        <v>54.361665783741998</v>
      </c>
      <c r="N40" s="31">
        <v>30</v>
      </c>
      <c r="O40">
        <v>1.6E-2</v>
      </c>
      <c r="P40">
        <v>1</v>
      </c>
      <c r="Q40" s="31">
        <v>30</v>
      </c>
      <c r="R40">
        <v>1.6E-2</v>
      </c>
      <c r="S40">
        <v>2</v>
      </c>
      <c r="T40" s="42" t="s">
        <v>29</v>
      </c>
      <c r="U40" s="34" t="s">
        <v>29</v>
      </c>
      <c r="V40" s="36">
        <v>22.1079002409551</v>
      </c>
      <c r="W40">
        <v>1.6E-2</v>
      </c>
      <c r="X40" s="42" t="s">
        <v>29</v>
      </c>
      <c r="Y40" s="42" t="s">
        <v>29</v>
      </c>
      <c r="Z40" s="29">
        <v>1.26</v>
      </c>
      <c r="AA40" s="35">
        <v>0.90466508517292799</v>
      </c>
      <c r="AE40" s="29"/>
      <c r="AF40" s="29"/>
    </row>
    <row r="41" spans="2:32" x14ac:dyDescent="0.3">
      <c r="B41" s="5">
        <v>10</v>
      </c>
      <c r="C41" s="5" t="s">
        <v>64</v>
      </c>
      <c r="D41">
        <v>1</v>
      </c>
      <c r="E41">
        <v>6.0000000000000001E-3</v>
      </c>
      <c r="F41">
        <v>3.0000000000000001E-3</v>
      </c>
      <c r="G41">
        <v>1</v>
      </c>
      <c r="H41">
        <v>1</v>
      </c>
      <c r="I41">
        <v>1</v>
      </c>
      <c r="J41" s="31">
        <v>740.39208172182703</v>
      </c>
      <c r="K41" s="29">
        <v>16.593721887898401</v>
      </c>
      <c r="L41" s="29">
        <v>36.6344685903819</v>
      </c>
      <c r="M41" s="35">
        <v>54.395479689027297</v>
      </c>
      <c r="N41" s="31">
        <v>35</v>
      </c>
      <c r="O41">
        <v>1.6E-2</v>
      </c>
      <c r="P41">
        <v>1</v>
      </c>
      <c r="Q41" s="31">
        <v>35</v>
      </c>
      <c r="R41">
        <v>1.6E-2</v>
      </c>
      <c r="S41">
        <v>2</v>
      </c>
      <c r="T41" s="42" t="s">
        <v>29</v>
      </c>
      <c r="U41" s="34" t="s">
        <v>29</v>
      </c>
      <c r="V41" s="36">
        <v>22.519725933610399</v>
      </c>
      <c r="W41">
        <v>1.6E-2</v>
      </c>
      <c r="X41" s="42" t="s">
        <v>29</v>
      </c>
      <c r="Y41" s="42" t="s">
        <v>29</v>
      </c>
      <c r="Z41" s="29">
        <v>1.2537499999999999</v>
      </c>
      <c r="AA41" s="35">
        <v>0.90939037794493005</v>
      </c>
      <c r="AE41" s="29"/>
      <c r="AF41" s="29"/>
    </row>
    <row r="42" spans="2:32" x14ac:dyDescent="0.3">
      <c r="B42" s="5">
        <v>11</v>
      </c>
      <c r="C42" s="5" t="s">
        <v>64</v>
      </c>
      <c r="D42">
        <v>1</v>
      </c>
      <c r="E42">
        <v>6.0000000000000001E-3</v>
      </c>
      <c r="F42">
        <v>3.0000000000000001E-3</v>
      </c>
      <c r="G42">
        <v>1</v>
      </c>
      <c r="H42">
        <v>1</v>
      </c>
      <c r="I42">
        <v>1</v>
      </c>
      <c r="J42" s="31">
        <v>728.865462431227</v>
      </c>
      <c r="K42" s="29">
        <v>16.477507657744699</v>
      </c>
      <c r="L42" s="29">
        <v>36.644878703447503</v>
      </c>
      <c r="M42" s="35">
        <v>54.429184435948599</v>
      </c>
      <c r="N42" s="31">
        <v>40</v>
      </c>
      <c r="O42">
        <v>1.6E-2</v>
      </c>
      <c r="P42">
        <v>1</v>
      </c>
      <c r="Q42" s="31">
        <v>40</v>
      </c>
      <c r="R42">
        <v>1.6E-2</v>
      </c>
      <c r="S42">
        <v>2</v>
      </c>
      <c r="T42" s="42" t="s">
        <v>29</v>
      </c>
      <c r="U42" s="34" t="s">
        <v>29</v>
      </c>
      <c r="V42" s="36">
        <v>22.9131308769004</v>
      </c>
      <c r="W42">
        <v>1.6E-2</v>
      </c>
      <c r="X42" s="42" t="s">
        <v>29</v>
      </c>
      <c r="Y42" s="42" t="s">
        <v>29</v>
      </c>
      <c r="Z42" s="29">
        <v>1.24624998092651</v>
      </c>
      <c r="AA42" s="35">
        <v>0.91257580123739002</v>
      </c>
      <c r="AE42" s="29"/>
      <c r="AF42" s="29"/>
    </row>
    <row r="43" spans="2:32" x14ac:dyDescent="0.3">
      <c r="B43" s="5">
        <v>12</v>
      </c>
      <c r="C43" s="5" t="s">
        <v>64</v>
      </c>
      <c r="D43">
        <v>1</v>
      </c>
      <c r="E43">
        <v>6.0000000000000001E-3</v>
      </c>
      <c r="F43">
        <v>3.0000000000000001E-3</v>
      </c>
      <c r="G43">
        <v>1</v>
      </c>
      <c r="H43">
        <v>1</v>
      </c>
      <c r="I43">
        <v>1</v>
      </c>
      <c r="J43" s="31">
        <v>742.06482879778298</v>
      </c>
      <c r="K43" s="29">
        <v>16.6198871920291</v>
      </c>
      <c r="L43" s="29">
        <v>36.569624964458399</v>
      </c>
      <c r="M43" s="35">
        <v>54.295133932056999</v>
      </c>
      <c r="N43" s="31">
        <v>30</v>
      </c>
      <c r="O43">
        <v>0.02</v>
      </c>
      <c r="P43">
        <v>1</v>
      </c>
      <c r="Q43" s="31">
        <v>30</v>
      </c>
      <c r="R43">
        <v>0.02</v>
      </c>
      <c r="S43">
        <v>2</v>
      </c>
      <c r="T43" s="42" t="s">
        <v>29</v>
      </c>
      <c r="U43" s="34" t="s">
        <v>29</v>
      </c>
      <c r="V43" s="36">
        <v>25.2822436303912</v>
      </c>
      <c r="W43">
        <v>0.02</v>
      </c>
      <c r="X43" s="42" t="s">
        <v>29</v>
      </c>
      <c r="Y43" s="42" t="s">
        <v>29</v>
      </c>
      <c r="Z43" s="29">
        <v>1.225625</v>
      </c>
      <c r="AA43" s="35">
        <v>0.91782078448728499</v>
      </c>
      <c r="AE43" s="29"/>
      <c r="AF43" s="29"/>
    </row>
    <row r="44" spans="2:32" x14ac:dyDescent="0.3">
      <c r="B44" s="5">
        <v>13</v>
      </c>
      <c r="C44" s="5" t="s">
        <v>64</v>
      </c>
      <c r="D44">
        <v>1</v>
      </c>
      <c r="E44">
        <v>6.0000000000000001E-3</v>
      </c>
      <c r="F44">
        <v>3.0000000000000001E-3</v>
      </c>
      <c r="G44">
        <v>1</v>
      </c>
      <c r="H44">
        <v>1</v>
      </c>
      <c r="I44">
        <v>1</v>
      </c>
      <c r="J44" s="31">
        <v>730.62428252622499</v>
      </c>
      <c r="K44" s="29">
        <v>16.504562223301399</v>
      </c>
      <c r="L44" s="29">
        <v>36.578824612818799</v>
      </c>
      <c r="M44" s="35">
        <v>54.326810028509001</v>
      </c>
      <c r="N44" s="31">
        <v>35</v>
      </c>
      <c r="O44">
        <v>0.02</v>
      </c>
      <c r="P44">
        <v>1</v>
      </c>
      <c r="Q44" s="31">
        <v>35</v>
      </c>
      <c r="R44">
        <v>0.02</v>
      </c>
      <c r="S44">
        <v>2</v>
      </c>
      <c r="T44" s="42" t="s">
        <v>29</v>
      </c>
      <c r="U44" s="34" t="s">
        <v>29</v>
      </c>
      <c r="V44" s="36">
        <v>25.61278065039</v>
      </c>
      <c r="W44">
        <v>0.02</v>
      </c>
      <c r="X44" s="42" t="s">
        <v>29</v>
      </c>
      <c r="Y44" s="42" t="s">
        <v>29</v>
      </c>
      <c r="Z44" s="29">
        <v>1.2262500000000001</v>
      </c>
      <c r="AA44" s="35">
        <v>0.92574560670878503</v>
      </c>
      <c r="AE44" s="29"/>
      <c r="AF44" s="29"/>
    </row>
    <row r="45" spans="2:32" x14ac:dyDescent="0.3">
      <c r="B45" s="5">
        <v>14</v>
      </c>
      <c r="C45" s="5" t="s">
        <v>64</v>
      </c>
      <c r="D45">
        <v>1</v>
      </c>
      <c r="E45">
        <v>6.0000000000000001E-3</v>
      </c>
      <c r="F45">
        <v>3.0000000000000001E-3</v>
      </c>
      <c r="G45">
        <v>1</v>
      </c>
      <c r="H45">
        <v>1</v>
      </c>
      <c r="I45">
        <v>1</v>
      </c>
      <c r="J45" s="31">
        <v>719.454602956842</v>
      </c>
      <c r="K45" s="29">
        <v>16.391149235566999</v>
      </c>
      <c r="L45" s="29">
        <v>36.588100680279297</v>
      </c>
      <c r="M45" s="35">
        <v>54.358557262020803</v>
      </c>
      <c r="N45" s="31">
        <v>40</v>
      </c>
      <c r="O45">
        <v>0.02</v>
      </c>
      <c r="P45">
        <v>1</v>
      </c>
      <c r="Q45" s="31">
        <v>40</v>
      </c>
      <c r="R45">
        <v>0.02</v>
      </c>
      <c r="S45">
        <v>2</v>
      </c>
      <c r="T45" s="42" t="s">
        <v>29</v>
      </c>
      <c r="U45" s="34" t="s">
        <v>29</v>
      </c>
      <c r="V45" s="36">
        <v>25.949354816239101</v>
      </c>
      <c r="W45">
        <v>0.02</v>
      </c>
      <c r="X45" s="42" t="s">
        <v>29</v>
      </c>
      <c r="Y45" s="42" t="s">
        <v>29</v>
      </c>
      <c r="Z45" s="29">
        <v>1.22</v>
      </c>
      <c r="AA45" s="35">
        <v>0.92803737733236802</v>
      </c>
      <c r="AE45" s="29"/>
      <c r="AF45" s="29"/>
    </row>
    <row r="46" spans="2:32" x14ac:dyDescent="0.3">
      <c r="B46" s="5">
        <f>B45+1</f>
        <v>15</v>
      </c>
      <c r="C46" s="5" t="s">
        <v>64</v>
      </c>
      <c r="D46">
        <v>1</v>
      </c>
      <c r="E46">
        <v>6.0000000000000001E-3</v>
      </c>
      <c r="F46">
        <v>3.0000000000000001E-3</v>
      </c>
      <c r="G46">
        <v>1</v>
      </c>
      <c r="H46">
        <v>1</v>
      </c>
      <c r="I46">
        <v>1</v>
      </c>
      <c r="J46" s="31">
        <v>785.03645994119199</v>
      </c>
      <c r="K46" s="29">
        <v>17.021603884104099</v>
      </c>
      <c r="L46" s="29">
        <v>36.688661426728103</v>
      </c>
      <c r="M46" s="35">
        <v>54.410831152135103</v>
      </c>
      <c r="N46" s="31">
        <v>25.015973284441799</v>
      </c>
      <c r="O46">
        <v>0.01</v>
      </c>
      <c r="P46">
        <v>1</v>
      </c>
      <c r="Q46">
        <v>24.5</v>
      </c>
      <c r="R46" s="22">
        <v>9.5999999999999992E-3</v>
      </c>
      <c r="S46">
        <v>2</v>
      </c>
      <c r="T46" s="42" t="s">
        <v>29</v>
      </c>
      <c r="U46" s="34" t="s">
        <v>29</v>
      </c>
      <c r="V46" s="36">
        <v>15.0309331111009</v>
      </c>
      <c r="W46">
        <v>0.01</v>
      </c>
      <c r="X46" s="42" t="s">
        <v>29</v>
      </c>
      <c r="Y46" s="42" t="s">
        <v>29</v>
      </c>
      <c r="Z46" s="29">
        <v>1.4127451171512</v>
      </c>
      <c r="AA46" s="35">
        <v>0.90461915335274701</v>
      </c>
      <c r="AC46" s="31"/>
    </row>
    <row r="47" spans="2:32" x14ac:dyDescent="0.3">
      <c r="B47" s="5">
        <f t="shared" ref="B47:B70" si="0">B46+1</f>
        <v>16</v>
      </c>
      <c r="C47" s="5" t="s">
        <v>64</v>
      </c>
      <c r="D47">
        <v>1</v>
      </c>
      <c r="E47">
        <v>6.0000000000000001E-3</v>
      </c>
      <c r="F47">
        <v>3.0000000000000001E-3</v>
      </c>
      <c r="G47">
        <v>1</v>
      </c>
      <c r="H47">
        <v>1</v>
      </c>
      <c r="I47">
        <v>1</v>
      </c>
      <c r="J47" s="31">
        <v>772.38825548034094</v>
      </c>
      <c r="K47" s="29">
        <v>16.897695186159901</v>
      </c>
      <c r="L47" s="29">
        <v>36.700587763526599</v>
      </c>
      <c r="M47" s="35">
        <v>54.447041618805201</v>
      </c>
      <c r="N47" s="31">
        <v>30.0319474829485</v>
      </c>
      <c r="O47">
        <v>0.01</v>
      </c>
      <c r="P47">
        <v>1</v>
      </c>
      <c r="Q47">
        <v>24.5</v>
      </c>
      <c r="R47">
        <v>9.5999999999999992E-3</v>
      </c>
      <c r="S47">
        <v>2</v>
      </c>
      <c r="T47" s="42" t="s">
        <v>29</v>
      </c>
      <c r="U47" s="34" t="s">
        <v>29</v>
      </c>
      <c r="V47" s="30">
        <v>15.4042742634477</v>
      </c>
      <c r="W47">
        <v>0.01</v>
      </c>
      <c r="X47" s="42" t="s">
        <v>29</v>
      </c>
      <c r="Y47" s="42" t="s">
        <v>29</v>
      </c>
      <c r="Z47" s="29">
        <v>1.3990196365798699</v>
      </c>
      <c r="AA47" s="35">
        <v>0.91108369206782802</v>
      </c>
      <c r="AC47" s="31"/>
    </row>
    <row r="48" spans="2:32" x14ac:dyDescent="0.3">
      <c r="B48" s="5">
        <f t="shared" si="0"/>
        <v>17</v>
      </c>
      <c r="C48" s="5" t="s">
        <v>64</v>
      </c>
      <c r="D48">
        <v>1</v>
      </c>
      <c r="E48">
        <v>6.0000000000000001E-3</v>
      </c>
      <c r="F48">
        <v>3.0000000000000001E-3</v>
      </c>
      <c r="G48">
        <v>1</v>
      </c>
      <c r="H48">
        <v>1</v>
      </c>
      <c r="I48">
        <v>1</v>
      </c>
      <c r="J48" s="31">
        <v>760.16283877528804</v>
      </c>
      <c r="K48" s="29">
        <v>16.777009084014701</v>
      </c>
      <c r="L48" s="29">
        <v>36.712433594637901</v>
      </c>
      <c r="M48" s="35">
        <v>54.482925860094902</v>
      </c>
      <c r="N48" s="31">
        <v>35.015976026636501</v>
      </c>
      <c r="O48">
        <v>0.01</v>
      </c>
      <c r="P48">
        <v>1</v>
      </c>
      <c r="Q48">
        <v>24.5</v>
      </c>
      <c r="R48">
        <v>9.5999999999999992E-3</v>
      </c>
      <c r="S48">
        <v>2</v>
      </c>
      <c r="T48" s="42" t="s">
        <v>29</v>
      </c>
      <c r="U48" s="34" t="s">
        <v>29</v>
      </c>
      <c r="V48" s="30">
        <v>15.766751059681299</v>
      </c>
      <c r="W48">
        <v>0.01</v>
      </c>
      <c r="X48" s="42" t="s">
        <v>29</v>
      </c>
      <c r="Y48" s="42" t="s">
        <v>29</v>
      </c>
      <c r="Z48" s="29">
        <v>1.3833333730697699</v>
      </c>
      <c r="AA48" s="35">
        <v>0.91498968807563497</v>
      </c>
      <c r="AC48" s="31"/>
    </row>
    <row r="49" spans="2:29" x14ac:dyDescent="0.3">
      <c r="B49" s="5">
        <f t="shared" si="0"/>
        <v>18</v>
      </c>
      <c r="C49" s="5" t="s">
        <v>64</v>
      </c>
      <c r="D49">
        <v>1</v>
      </c>
      <c r="E49">
        <v>6.0000000000000001E-3</v>
      </c>
      <c r="F49">
        <v>3.0000000000000001E-3</v>
      </c>
      <c r="G49">
        <v>1</v>
      </c>
      <c r="H49">
        <v>1</v>
      </c>
      <c r="I49">
        <v>1</v>
      </c>
      <c r="J49" s="31">
        <v>748.571518132292</v>
      </c>
      <c r="K49" s="29">
        <v>16.661728525158001</v>
      </c>
      <c r="L49" s="29">
        <v>36.723967932069101</v>
      </c>
      <c r="M49" s="35">
        <v>54.517786887695202</v>
      </c>
      <c r="N49" s="31">
        <v>40.031949311078399</v>
      </c>
      <c r="O49">
        <v>0.01</v>
      </c>
      <c r="P49">
        <v>1</v>
      </c>
      <c r="Q49">
        <v>24.5</v>
      </c>
      <c r="R49">
        <v>9.5999999999999992E-3</v>
      </c>
      <c r="S49">
        <v>2</v>
      </c>
      <c r="T49" s="42" t="s">
        <v>29</v>
      </c>
      <c r="U49" s="34" t="s">
        <v>29</v>
      </c>
      <c r="V49" s="30">
        <v>15.949965166054801</v>
      </c>
      <c r="W49">
        <v>0.01</v>
      </c>
      <c r="X49" s="42" t="s">
        <v>29</v>
      </c>
      <c r="Y49" s="42" t="s">
        <v>29</v>
      </c>
      <c r="Z49" s="29">
        <v>1.3774509962042301</v>
      </c>
      <c r="AA49" s="35">
        <v>0.92428391444542102</v>
      </c>
      <c r="AC49" s="31"/>
    </row>
    <row r="50" spans="2:29" x14ac:dyDescent="0.3">
      <c r="B50" s="5">
        <f t="shared" si="0"/>
        <v>19</v>
      </c>
      <c r="C50" s="5" t="s">
        <v>64</v>
      </c>
      <c r="D50">
        <v>1</v>
      </c>
      <c r="E50">
        <v>6.0000000000000001E-3</v>
      </c>
      <c r="F50">
        <v>3.0000000000000001E-3</v>
      </c>
      <c r="G50">
        <v>1</v>
      </c>
      <c r="H50">
        <v>1</v>
      </c>
      <c r="I50">
        <v>1</v>
      </c>
      <c r="J50" s="31">
        <v>783.33873242264997</v>
      </c>
      <c r="K50" s="29">
        <v>17.005027406965599</v>
      </c>
      <c r="L50" s="29">
        <v>36.690243383297698</v>
      </c>
      <c r="M50" s="35">
        <v>54.415638955855499</v>
      </c>
      <c r="N50" s="31">
        <v>24.984023973363399</v>
      </c>
      <c r="O50">
        <v>0.01</v>
      </c>
      <c r="P50">
        <v>1</v>
      </c>
      <c r="Q50" s="31">
        <v>24.984023973363399</v>
      </c>
      <c r="R50">
        <v>0.01</v>
      </c>
      <c r="S50">
        <v>2</v>
      </c>
      <c r="T50" s="42" t="s">
        <v>29</v>
      </c>
      <c r="U50" s="34" t="s">
        <v>29</v>
      </c>
      <c r="V50" s="30">
        <v>15.778094524390401</v>
      </c>
      <c r="W50">
        <v>0.01</v>
      </c>
      <c r="X50" s="42" t="s">
        <v>29</v>
      </c>
      <c r="Y50" s="42" t="s">
        <v>29</v>
      </c>
      <c r="Z50" s="29">
        <v>1.3068627262610399</v>
      </c>
      <c r="AA50" s="35">
        <v>0.836819776275598</v>
      </c>
      <c r="AC50" s="31"/>
    </row>
    <row r="51" spans="2:29" x14ac:dyDescent="0.3">
      <c r="B51" s="5">
        <f t="shared" si="0"/>
        <v>20</v>
      </c>
      <c r="C51" s="5" t="s">
        <v>64</v>
      </c>
      <c r="D51">
        <v>1</v>
      </c>
      <c r="E51">
        <v>6.0000000000000001E-3</v>
      </c>
      <c r="F51">
        <v>3.0000000000000001E-3</v>
      </c>
      <c r="G51">
        <v>1</v>
      </c>
      <c r="H51">
        <v>1</v>
      </c>
      <c r="I51">
        <v>1</v>
      </c>
      <c r="J51" s="31">
        <v>770.11184897331998</v>
      </c>
      <c r="K51" s="29">
        <v>16.875292209119401</v>
      </c>
      <c r="L51" s="29">
        <v>36.702769336609599</v>
      </c>
      <c r="M51" s="35">
        <v>54.453656360500901</v>
      </c>
      <c r="N51" s="31">
        <v>29.984024887428301</v>
      </c>
      <c r="O51">
        <v>0.01</v>
      </c>
      <c r="P51">
        <v>1</v>
      </c>
      <c r="Q51" s="31">
        <v>29.984024887428301</v>
      </c>
      <c r="R51">
        <v>0.01</v>
      </c>
      <c r="S51">
        <v>2</v>
      </c>
      <c r="T51" s="42" t="s">
        <v>29</v>
      </c>
      <c r="U51" s="34" t="s">
        <v>29</v>
      </c>
      <c r="V51" s="30">
        <v>16.437328715266698</v>
      </c>
      <c r="W51">
        <v>0.01</v>
      </c>
      <c r="X51" s="42" t="s">
        <v>29</v>
      </c>
      <c r="Y51" s="42" t="s">
        <v>29</v>
      </c>
      <c r="Z51" s="29">
        <v>1.3</v>
      </c>
      <c r="AA51" s="35">
        <v>0.84659912438968599</v>
      </c>
      <c r="AC51" s="31"/>
    </row>
    <row r="52" spans="2:29" x14ac:dyDescent="0.3">
      <c r="B52" s="5">
        <f t="shared" si="0"/>
        <v>21</v>
      </c>
      <c r="C52" s="5" t="s">
        <v>64</v>
      </c>
      <c r="D52">
        <v>1</v>
      </c>
      <c r="E52">
        <v>6.0000000000000001E-3</v>
      </c>
      <c r="F52">
        <v>3.0000000000000001E-3</v>
      </c>
      <c r="G52">
        <v>1</v>
      </c>
      <c r="H52">
        <v>1</v>
      </c>
      <c r="I52">
        <v>1</v>
      </c>
      <c r="J52" s="31">
        <v>757.33532068000102</v>
      </c>
      <c r="K52" s="29">
        <v>16.748965629223701</v>
      </c>
      <c r="L52" s="29">
        <v>36.715219479804702</v>
      </c>
      <c r="M52" s="35">
        <v>54.491353077965101</v>
      </c>
      <c r="N52" s="31">
        <v>35.031948397013402</v>
      </c>
      <c r="O52">
        <v>0.01</v>
      </c>
      <c r="P52">
        <v>1</v>
      </c>
      <c r="Q52" s="31">
        <v>35.031948397013402</v>
      </c>
      <c r="R52">
        <v>0.01</v>
      </c>
      <c r="S52">
        <v>2</v>
      </c>
      <c r="T52" s="42" t="s">
        <v>29</v>
      </c>
      <c r="U52" s="34" t="s">
        <v>29</v>
      </c>
      <c r="V52" s="30">
        <v>17.007166583594401</v>
      </c>
      <c r="W52">
        <v>0.01</v>
      </c>
      <c r="X52" s="42" t="s">
        <v>29</v>
      </c>
      <c r="Y52" s="42" t="s">
        <v>29</v>
      </c>
      <c r="Z52" s="29">
        <v>1.29411765118371</v>
      </c>
      <c r="AA52" s="35">
        <v>0.85597899171168401</v>
      </c>
      <c r="AC52" s="31"/>
    </row>
    <row r="53" spans="2:29" x14ac:dyDescent="0.3">
      <c r="B53" s="5">
        <f t="shared" si="0"/>
        <v>22</v>
      </c>
      <c r="C53" s="5" t="s">
        <v>64</v>
      </c>
      <c r="D53">
        <v>1</v>
      </c>
      <c r="E53">
        <v>6.0000000000000001E-3</v>
      </c>
      <c r="F53">
        <v>3.0000000000000001E-3</v>
      </c>
      <c r="G53">
        <v>1</v>
      </c>
      <c r="H53">
        <v>1</v>
      </c>
      <c r="I53">
        <v>1</v>
      </c>
      <c r="J53" s="31">
        <v>745.341395324735</v>
      </c>
      <c r="K53" s="29">
        <v>16.629452893516198</v>
      </c>
      <c r="L53" s="29">
        <v>36.727236629243698</v>
      </c>
      <c r="M53" s="35">
        <v>54.527651630825403</v>
      </c>
      <c r="N53" s="31">
        <v>40.031949311078399</v>
      </c>
      <c r="O53">
        <v>0.01</v>
      </c>
      <c r="P53">
        <v>1</v>
      </c>
      <c r="Q53" s="31">
        <v>40.031949311078399</v>
      </c>
      <c r="R53">
        <v>0.01</v>
      </c>
      <c r="S53">
        <v>2</v>
      </c>
      <c r="T53" s="42" t="s">
        <v>29</v>
      </c>
      <c r="U53" s="34" t="s">
        <v>29</v>
      </c>
      <c r="V53" s="30">
        <v>17.422067353623699</v>
      </c>
      <c r="W53">
        <v>0.01</v>
      </c>
      <c r="X53" s="42" t="s">
        <v>29</v>
      </c>
      <c r="Y53" s="42" t="s">
        <v>29</v>
      </c>
      <c r="Z53" s="29">
        <v>1.2931372456896999</v>
      </c>
      <c r="AA53" s="35">
        <v>0.86770851312960395</v>
      </c>
      <c r="AC53" s="31"/>
    </row>
    <row r="54" spans="2:29" x14ac:dyDescent="0.3">
      <c r="B54" s="5">
        <f t="shared" si="0"/>
        <v>23</v>
      </c>
      <c r="C54" s="5" t="s">
        <v>68</v>
      </c>
      <c r="D54" s="30">
        <v>0.301284776895972</v>
      </c>
      <c r="E54">
        <v>6.0000000000000001E-3</v>
      </c>
      <c r="F54">
        <v>3.0000000000000001E-3</v>
      </c>
      <c r="G54">
        <v>1</v>
      </c>
      <c r="H54">
        <v>1</v>
      </c>
      <c r="I54">
        <v>1</v>
      </c>
      <c r="J54" s="31">
        <v>749.26534553170995</v>
      </c>
      <c r="K54" s="29">
        <v>16.6686526715953</v>
      </c>
      <c r="L54" s="29">
        <v>36.723268963230602</v>
      </c>
      <c r="M54" s="35">
        <v>54.515676602551501</v>
      </c>
      <c r="N54" s="31">
        <v>30</v>
      </c>
      <c r="O54">
        <v>0.01</v>
      </c>
      <c r="P54">
        <v>1</v>
      </c>
      <c r="Q54" s="31">
        <v>30</v>
      </c>
      <c r="R54">
        <v>0.01</v>
      </c>
      <c r="S54">
        <v>2</v>
      </c>
      <c r="T54" s="42" t="s">
        <v>29</v>
      </c>
      <c r="U54" s="34" t="s">
        <v>29</v>
      </c>
      <c r="V54" s="30">
        <v>25.667047792912001</v>
      </c>
      <c r="W54">
        <v>0.01</v>
      </c>
      <c r="X54" s="42" t="s">
        <v>29</v>
      </c>
      <c r="Y54" s="42" t="s">
        <v>29</v>
      </c>
      <c r="Z54" s="29">
        <v>0.41531920613072099</v>
      </c>
      <c r="AA54" s="35">
        <v>0.27046836626293802</v>
      </c>
    </row>
    <row r="55" spans="2:29" x14ac:dyDescent="0.3">
      <c r="B55" s="5">
        <f t="shared" si="0"/>
        <v>24</v>
      </c>
      <c r="C55" s="5" t="s">
        <v>68</v>
      </c>
      <c r="D55" s="30">
        <v>0.49914343305825298</v>
      </c>
      <c r="E55">
        <v>6.0000000000000001E-3</v>
      </c>
      <c r="F55">
        <v>3.0000000000000001E-3</v>
      </c>
      <c r="G55">
        <v>1</v>
      </c>
      <c r="H55">
        <v>1</v>
      </c>
      <c r="I55">
        <v>1</v>
      </c>
      <c r="J55" s="31">
        <v>760.92310534084299</v>
      </c>
      <c r="K55" s="29">
        <v>16.784540989952699</v>
      </c>
      <c r="L55" s="29">
        <v>36.711687524969399</v>
      </c>
      <c r="M55" s="35">
        <v>54.480668243680697</v>
      </c>
      <c r="N55" s="31">
        <v>30</v>
      </c>
      <c r="O55">
        <v>0.01</v>
      </c>
      <c r="P55">
        <v>1</v>
      </c>
      <c r="Q55" s="31">
        <v>30</v>
      </c>
      <c r="R55">
        <v>0.01</v>
      </c>
      <c r="S55">
        <v>2</v>
      </c>
      <c r="T55" s="42" t="s">
        <v>29</v>
      </c>
      <c r="U55" s="34" t="s">
        <v>29</v>
      </c>
      <c r="V55" s="30">
        <v>20.4461960720413</v>
      </c>
      <c r="W55">
        <v>0.01</v>
      </c>
      <c r="X55" s="42" t="s">
        <v>29</v>
      </c>
      <c r="Y55" s="42" t="s">
        <v>29</v>
      </c>
      <c r="Z55" s="29">
        <v>0.91574475586710502</v>
      </c>
      <c r="AA55" s="35">
        <v>0.59636054507234404</v>
      </c>
    </row>
    <row r="56" spans="2:29" x14ac:dyDescent="0.3">
      <c r="B56" s="5">
        <f t="shared" si="0"/>
        <v>25</v>
      </c>
      <c r="C56" s="5" t="s">
        <v>68</v>
      </c>
      <c r="D56" s="30">
        <v>0.79978578474791706</v>
      </c>
      <c r="E56">
        <v>6.0000000000000001E-3</v>
      </c>
      <c r="F56">
        <v>3.0000000000000001E-3</v>
      </c>
      <c r="G56">
        <v>1</v>
      </c>
      <c r="H56">
        <v>1</v>
      </c>
      <c r="I56">
        <v>1</v>
      </c>
      <c r="J56" s="31">
        <v>767.35052140716596</v>
      </c>
      <c r="K56" s="29">
        <v>16.848074685577298</v>
      </c>
      <c r="L56" s="29">
        <v>36.705430326367598</v>
      </c>
      <c r="M56" s="35">
        <v>54.461720984109498</v>
      </c>
      <c r="N56" s="31">
        <v>30</v>
      </c>
      <c r="O56">
        <v>0.01</v>
      </c>
      <c r="P56">
        <v>1</v>
      </c>
      <c r="Q56" s="31">
        <v>30</v>
      </c>
      <c r="R56">
        <v>0.01</v>
      </c>
      <c r="S56">
        <v>2</v>
      </c>
      <c r="T56" s="42" t="s">
        <v>29</v>
      </c>
      <c r="U56" s="34" t="s">
        <v>29</v>
      </c>
      <c r="V56" s="30">
        <v>17.622675471318299</v>
      </c>
      <c r="W56">
        <v>0.01</v>
      </c>
      <c r="X56" s="42" t="s">
        <v>29</v>
      </c>
      <c r="Y56" s="42" t="s">
        <v>29</v>
      </c>
      <c r="Z56" s="29">
        <v>1.1863829441165501</v>
      </c>
      <c r="AA56" s="35">
        <v>0.77260827813942901</v>
      </c>
    </row>
    <row r="57" spans="2:29" x14ac:dyDescent="0.3">
      <c r="B57" s="5">
        <f t="shared" si="0"/>
        <v>26</v>
      </c>
      <c r="C57" s="5" t="s">
        <v>68</v>
      </c>
      <c r="D57" s="30">
        <v>0.99764451442684499</v>
      </c>
      <c r="E57">
        <v>6.0000000000000001E-3</v>
      </c>
      <c r="F57">
        <v>3.0000000000000001E-3</v>
      </c>
      <c r="G57">
        <v>1</v>
      </c>
      <c r="H57">
        <v>1</v>
      </c>
      <c r="I57">
        <v>1</v>
      </c>
      <c r="J57" s="31">
        <v>770.12619435771796</v>
      </c>
      <c r="K57" s="29">
        <v>16.875433485810099</v>
      </c>
      <c r="L57" s="29">
        <v>36.702755554558998</v>
      </c>
      <c r="M57" s="35">
        <v>54.453614580881101</v>
      </c>
      <c r="N57" s="31">
        <v>30</v>
      </c>
      <c r="O57">
        <v>0.01</v>
      </c>
      <c r="P57">
        <v>1</v>
      </c>
      <c r="Q57" s="31">
        <v>30</v>
      </c>
      <c r="R57">
        <v>0.01</v>
      </c>
      <c r="S57">
        <v>2</v>
      </c>
      <c r="T57" s="42" t="s">
        <v>29</v>
      </c>
      <c r="U57" s="34" t="s">
        <v>29</v>
      </c>
      <c r="V57" s="30">
        <v>16.415130795503199</v>
      </c>
      <c r="W57">
        <v>0.01</v>
      </c>
      <c r="X57" s="42" t="s">
        <v>29</v>
      </c>
      <c r="Y57" s="42" t="s">
        <v>29</v>
      </c>
      <c r="Z57" s="29">
        <v>1.30212769998366</v>
      </c>
      <c r="AA57" s="35">
        <v>0.84798474666427404</v>
      </c>
    </row>
    <row r="58" spans="2:29" x14ac:dyDescent="0.3">
      <c r="B58" s="5">
        <f t="shared" si="0"/>
        <v>27</v>
      </c>
      <c r="C58" s="5" t="s">
        <v>68</v>
      </c>
      <c r="D58" s="30">
        <v>1.198072797897717</v>
      </c>
      <c r="E58">
        <v>6.0000000000000001E-3</v>
      </c>
      <c r="F58">
        <v>3.0000000000000001E-3</v>
      </c>
      <c r="G58">
        <v>1</v>
      </c>
      <c r="H58">
        <v>1</v>
      </c>
      <c r="I58">
        <v>1</v>
      </c>
      <c r="J58" s="31">
        <v>771.64330884277797</v>
      </c>
      <c r="K58" s="29">
        <v>16.8903673403337</v>
      </c>
      <c r="L58" s="29">
        <v>36.701300476801102</v>
      </c>
      <c r="M58" s="35">
        <v>54.449202940596102</v>
      </c>
      <c r="N58" s="31">
        <v>30</v>
      </c>
      <c r="O58">
        <v>0.01</v>
      </c>
      <c r="P58">
        <v>1</v>
      </c>
      <c r="Q58" s="31">
        <v>30</v>
      </c>
      <c r="R58">
        <v>0.01</v>
      </c>
      <c r="S58">
        <v>2</v>
      </c>
      <c r="T58" s="42" t="s">
        <v>29</v>
      </c>
      <c r="U58" s="34" t="s">
        <v>29</v>
      </c>
      <c r="V58" s="30">
        <v>15.758085787115901</v>
      </c>
      <c r="W58">
        <v>0.01</v>
      </c>
      <c r="X58" s="42" t="s">
        <v>29</v>
      </c>
      <c r="Y58" s="42" t="s">
        <v>29</v>
      </c>
      <c r="Z58" s="29">
        <v>1.3651063338660101</v>
      </c>
      <c r="AA58" s="35">
        <v>0.88899832851016503</v>
      </c>
    </row>
    <row r="59" spans="2:29" x14ac:dyDescent="0.3">
      <c r="B59" s="5">
        <f t="shared" si="0"/>
        <v>28</v>
      </c>
      <c r="C59" s="5" t="s">
        <v>68</v>
      </c>
      <c r="D59" s="30">
        <v>1.4961455957954342</v>
      </c>
      <c r="E59">
        <v>6.0000000000000001E-3</v>
      </c>
      <c r="F59">
        <v>3.0000000000000001E-3</v>
      </c>
      <c r="G59">
        <v>1</v>
      </c>
      <c r="H59">
        <v>1</v>
      </c>
      <c r="I59">
        <v>1</v>
      </c>
      <c r="J59" s="31">
        <v>773.37130570137003</v>
      </c>
      <c r="K59" s="29">
        <v>16.9073600586044</v>
      </c>
      <c r="L59" s="29">
        <v>36.699649024610899</v>
      </c>
      <c r="M59" s="35">
        <v>54.444194420984097</v>
      </c>
      <c r="N59" s="31">
        <v>30</v>
      </c>
      <c r="O59">
        <v>0.01</v>
      </c>
      <c r="P59">
        <v>1</v>
      </c>
      <c r="Q59" s="31">
        <v>30</v>
      </c>
      <c r="R59">
        <v>0.01</v>
      </c>
      <c r="S59">
        <v>2</v>
      </c>
      <c r="T59" s="42" t="s">
        <v>29</v>
      </c>
      <c r="U59" s="34" t="s">
        <v>29</v>
      </c>
      <c r="V59" s="30">
        <v>15.0122490996746</v>
      </c>
      <c r="W59">
        <v>0.01</v>
      </c>
      <c r="X59" s="42" t="s">
        <v>29</v>
      </c>
      <c r="Y59" s="42" t="s">
        <v>29</v>
      </c>
      <c r="Z59" s="29">
        <v>1.4365957676829999</v>
      </c>
      <c r="AA59" s="35">
        <v>0.93555439945440699</v>
      </c>
    </row>
    <row r="60" spans="2:29" x14ac:dyDescent="0.3">
      <c r="B60" s="5">
        <f t="shared" si="0"/>
        <v>29</v>
      </c>
      <c r="C60" s="5" t="s">
        <v>68</v>
      </c>
      <c r="D60" s="30">
        <v>0.30513910758389101</v>
      </c>
      <c r="E60">
        <v>0.01</v>
      </c>
      <c r="F60">
        <v>5.0000000000000001E-3</v>
      </c>
      <c r="G60">
        <v>1</v>
      </c>
      <c r="H60">
        <v>1</v>
      </c>
      <c r="I60">
        <v>1</v>
      </c>
      <c r="J60" s="31">
        <v>1240.0790793334199</v>
      </c>
      <c r="K60" s="29">
        <v>20.869826879554399</v>
      </c>
      <c r="L60" s="29">
        <v>27.6779697124168</v>
      </c>
      <c r="M60" s="35">
        <v>40.6963228460721</v>
      </c>
      <c r="N60" s="31">
        <v>30</v>
      </c>
      <c r="O60">
        <v>0.01</v>
      </c>
      <c r="P60">
        <v>1</v>
      </c>
      <c r="Q60" s="31">
        <v>30</v>
      </c>
      <c r="R60">
        <v>0.01</v>
      </c>
      <c r="S60">
        <v>2</v>
      </c>
      <c r="T60" s="42" t="s">
        <v>29</v>
      </c>
      <c r="U60" s="34" t="s">
        <v>29</v>
      </c>
      <c r="V60" s="30">
        <v>28.0466206711443</v>
      </c>
      <c r="W60">
        <v>0.01</v>
      </c>
      <c r="X60" s="42" t="s">
        <v>29</v>
      </c>
      <c r="Y60" s="42" t="s">
        <v>29</v>
      </c>
      <c r="Z60" s="29">
        <v>0.18723399489106499</v>
      </c>
      <c r="AA60" s="35">
        <v>0.121932412479218</v>
      </c>
    </row>
    <row r="61" spans="2:29" x14ac:dyDescent="0.3">
      <c r="B61" s="5">
        <f t="shared" si="0"/>
        <v>30</v>
      </c>
      <c r="C61" s="5" t="s">
        <v>68</v>
      </c>
      <c r="D61" s="30">
        <v>0.5</v>
      </c>
      <c r="E61">
        <v>0.01</v>
      </c>
      <c r="F61">
        <v>5.0000000000000001E-3</v>
      </c>
      <c r="G61">
        <v>1</v>
      </c>
      <c r="H61">
        <v>1</v>
      </c>
      <c r="I61">
        <v>1</v>
      </c>
      <c r="J61" s="31">
        <v>1250.40897430787</v>
      </c>
      <c r="K61" s="29">
        <v>20.949768962860801</v>
      </c>
      <c r="L61" s="29">
        <v>27.676110466349002</v>
      </c>
      <c r="M61" s="35">
        <v>40.687660507845898</v>
      </c>
      <c r="N61" s="31">
        <v>30</v>
      </c>
      <c r="O61">
        <v>0.01</v>
      </c>
      <c r="P61">
        <v>1</v>
      </c>
      <c r="Q61" s="31">
        <v>30</v>
      </c>
      <c r="R61">
        <v>0.01</v>
      </c>
      <c r="S61">
        <v>2</v>
      </c>
      <c r="T61" s="42" t="s">
        <v>29</v>
      </c>
      <c r="U61" s="34" t="s">
        <v>29</v>
      </c>
      <c r="V61" s="30">
        <v>25.223097524812299</v>
      </c>
      <c r="W61">
        <v>0.01</v>
      </c>
      <c r="X61" s="42" t="s">
        <v>29</v>
      </c>
      <c r="Y61" s="42" t="s">
        <v>29</v>
      </c>
      <c r="Z61" s="29">
        <v>0.45787242663181099</v>
      </c>
      <c r="AA61" s="35">
        <v>0.298180304446447</v>
      </c>
    </row>
    <row r="62" spans="2:29" x14ac:dyDescent="0.3">
      <c r="B62" s="5">
        <f t="shared" si="0"/>
        <v>31</v>
      </c>
      <c r="C62" s="5" t="s">
        <v>68</v>
      </c>
      <c r="D62" s="30">
        <v>0.7997858092534651</v>
      </c>
      <c r="E62">
        <v>0.01</v>
      </c>
      <c r="F62">
        <v>5.0000000000000001E-3</v>
      </c>
      <c r="G62">
        <v>1</v>
      </c>
      <c r="H62">
        <v>1</v>
      </c>
      <c r="I62">
        <v>1</v>
      </c>
      <c r="J62" s="31">
        <v>1264.7998319476401</v>
      </c>
      <c r="K62" s="29">
        <v>21.0606176934517</v>
      </c>
      <c r="L62" s="29">
        <v>27.673574925721599</v>
      </c>
      <c r="M62" s="35">
        <v>40.675787469366803</v>
      </c>
      <c r="N62" s="31">
        <v>30</v>
      </c>
      <c r="O62">
        <v>0.01</v>
      </c>
      <c r="P62">
        <v>1</v>
      </c>
      <c r="Q62" s="31">
        <v>30</v>
      </c>
      <c r="R62">
        <v>0.01</v>
      </c>
      <c r="S62">
        <v>2</v>
      </c>
      <c r="T62" s="42" t="s">
        <v>29</v>
      </c>
      <c r="U62" s="34" t="s">
        <v>29</v>
      </c>
      <c r="V62" s="30">
        <v>21.3518543285149</v>
      </c>
      <c r="W62">
        <v>0.01</v>
      </c>
      <c r="X62" s="42" t="s">
        <v>29</v>
      </c>
      <c r="Y62" s="42" t="s">
        <v>29</v>
      </c>
      <c r="Z62" s="29">
        <v>0.82893621331590495</v>
      </c>
      <c r="AA62" s="35">
        <v>0.53982820930823305</v>
      </c>
    </row>
    <row r="63" spans="2:29" x14ac:dyDescent="0.3">
      <c r="B63" s="5">
        <f t="shared" si="0"/>
        <v>32</v>
      </c>
      <c r="C63" s="5" t="s">
        <v>68</v>
      </c>
      <c r="D63" s="30">
        <v>1.00107070867718</v>
      </c>
      <c r="E63">
        <v>0.01</v>
      </c>
      <c r="F63">
        <v>5.0000000000000001E-3</v>
      </c>
      <c r="G63">
        <v>1</v>
      </c>
      <c r="H63">
        <v>1</v>
      </c>
      <c r="I63">
        <v>1</v>
      </c>
      <c r="J63" s="31">
        <v>1272.0287204456799</v>
      </c>
      <c r="K63" s="29">
        <v>21.1160738162495</v>
      </c>
      <c r="L63" s="29">
        <v>27.672324517789502</v>
      </c>
      <c r="M63" s="35">
        <v>40.669906786420697</v>
      </c>
      <c r="N63" s="31">
        <v>30</v>
      </c>
      <c r="O63">
        <v>0.01</v>
      </c>
      <c r="P63">
        <v>1</v>
      </c>
      <c r="Q63" s="31">
        <v>30</v>
      </c>
      <c r="R63">
        <v>0.01</v>
      </c>
      <c r="S63">
        <v>2</v>
      </c>
      <c r="T63" s="42" t="s">
        <v>29</v>
      </c>
      <c r="U63" s="34" t="s">
        <v>29</v>
      </c>
      <c r="V63" s="30">
        <v>19.433990450640302</v>
      </c>
      <c r="W63">
        <v>0.01</v>
      </c>
      <c r="X63" s="42" t="s">
        <v>29</v>
      </c>
      <c r="Y63" s="42" t="s">
        <v>29</v>
      </c>
      <c r="Z63" s="29">
        <v>1.01276600510893</v>
      </c>
      <c r="AA63" s="35">
        <v>0.65954370234203097</v>
      </c>
    </row>
    <row r="64" spans="2:29" x14ac:dyDescent="0.3">
      <c r="B64" s="5">
        <f t="shared" si="0"/>
        <v>33</v>
      </c>
      <c r="C64" s="5" t="s">
        <v>68</v>
      </c>
      <c r="D64" s="30">
        <v>1.2002140682187901</v>
      </c>
      <c r="E64">
        <v>0.01</v>
      </c>
      <c r="F64">
        <v>5.0000000000000001E-3</v>
      </c>
      <c r="G64">
        <v>1</v>
      </c>
      <c r="H64">
        <v>1</v>
      </c>
      <c r="I64">
        <v>1</v>
      </c>
      <c r="J64" s="31">
        <v>1277.02049451788</v>
      </c>
      <c r="K64" s="29">
        <v>21.154280701797401</v>
      </c>
      <c r="L64" s="29">
        <v>27.671469920626102</v>
      </c>
      <c r="M64" s="35">
        <v>40.665877904072502</v>
      </c>
      <c r="N64" s="31">
        <v>30</v>
      </c>
      <c r="O64">
        <v>0.01</v>
      </c>
      <c r="P64">
        <v>1</v>
      </c>
      <c r="Q64" s="31">
        <v>30</v>
      </c>
      <c r="R64">
        <v>0.01</v>
      </c>
      <c r="S64">
        <v>2</v>
      </c>
      <c r="T64" s="42" t="s">
        <v>29</v>
      </c>
      <c r="U64" s="34" t="s">
        <v>29</v>
      </c>
      <c r="V64" s="30">
        <v>18.119898910673299</v>
      </c>
      <c r="W64">
        <v>0.01</v>
      </c>
      <c r="X64" s="42" t="s">
        <v>29</v>
      </c>
      <c r="Y64" s="42" t="s">
        <v>29</v>
      </c>
      <c r="Z64" s="29">
        <v>1.1387234189684099</v>
      </c>
      <c r="AA64" s="35">
        <v>0.74157096111340803</v>
      </c>
    </row>
    <row r="65" spans="2:27" x14ac:dyDescent="0.3">
      <c r="B65" s="5">
        <f t="shared" si="0"/>
        <v>34</v>
      </c>
      <c r="C65" s="5" t="s">
        <v>68</v>
      </c>
      <c r="D65" s="30">
        <v>1.4978587051733749</v>
      </c>
      <c r="E65">
        <v>0.01</v>
      </c>
      <c r="F65">
        <v>5.0000000000000001E-3</v>
      </c>
      <c r="G65">
        <v>1</v>
      </c>
      <c r="H65">
        <v>1</v>
      </c>
      <c r="I65">
        <v>1</v>
      </c>
      <c r="J65" s="31">
        <v>1281.6355101460099</v>
      </c>
      <c r="K65" s="29">
        <v>21.189540843853599</v>
      </c>
      <c r="L65" s="29">
        <v>27.670686152120901</v>
      </c>
      <c r="M65" s="35">
        <v>40.662176002991998</v>
      </c>
      <c r="N65" s="31">
        <v>30</v>
      </c>
      <c r="O65">
        <v>0.01</v>
      </c>
      <c r="P65">
        <v>1</v>
      </c>
      <c r="Q65" s="31">
        <v>30</v>
      </c>
      <c r="R65">
        <v>0.01</v>
      </c>
      <c r="S65">
        <v>2</v>
      </c>
      <c r="T65" s="42" t="s">
        <v>29</v>
      </c>
      <c r="U65" s="34" t="s">
        <v>29</v>
      </c>
      <c r="V65" s="30">
        <v>16.912355758050499</v>
      </c>
      <c r="W65">
        <v>0.01</v>
      </c>
      <c r="X65" s="42" t="s">
        <v>29</v>
      </c>
      <c r="Y65" s="42" t="s">
        <v>29</v>
      </c>
      <c r="Z65" s="29">
        <v>1.2544680287407299</v>
      </c>
      <c r="AA65" s="35">
        <v>0.81694733455865798</v>
      </c>
    </row>
    <row r="66" spans="2:27" x14ac:dyDescent="0.3">
      <c r="B66" s="5">
        <f t="shared" si="0"/>
        <v>35</v>
      </c>
      <c r="C66" s="5" t="s">
        <v>68</v>
      </c>
      <c r="D66" s="30">
        <v>1.994646701669575</v>
      </c>
      <c r="E66">
        <v>0.01</v>
      </c>
      <c r="F66">
        <v>5.0000000000000001E-3</v>
      </c>
      <c r="G66">
        <v>1</v>
      </c>
      <c r="H66">
        <v>1</v>
      </c>
      <c r="I66">
        <v>1</v>
      </c>
      <c r="J66" s="31">
        <v>1286.2090897165499</v>
      </c>
      <c r="K66" s="29">
        <v>21.224424962136801</v>
      </c>
      <c r="L66" s="29">
        <v>27.669915336734402</v>
      </c>
      <c r="M66" s="35">
        <v>40.658528811410299</v>
      </c>
      <c r="N66" s="31">
        <v>30</v>
      </c>
      <c r="O66">
        <v>0.01</v>
      </c>
      <c r="P66">
        <v>1</v>
      </c>
      <c r="Q66" s="31">
        <v>30</v>
      </c>
      <c r="R66">
        <v>0.01</v>
      </c>
      <c r="S66">
        <v>2</v>
      </c>
      <c r="T66" s="42" t="s">
        <v>29</v>
      </c>
      <c r="U66" s="34" t="s">
        <v>29</v>
      </c>
      <c r="V66" s="30">
        <v>15.7225693241508</v>
      </c>
      <c r="W66">
        <v>0.01</v>
      </c>
      <c r="X66" s="42" t="s">
        <v>29</v>
      </c>
      <c r="Y66" s="42" t="s">
        <v>29</v>
      </c>
      <c r="Z66" s="29">
        <v>1.36851063436056</v>
      </c>
      <c r="AA66" s="35">
        <v>0.89121531112490304</v>
      </c>
    </row>
    <row r="67" spans="2:27" x14ac:dyDescent="0.3">
      <c r="B67" s="5">
        <f t="shared" si="0"/>
        <v>36</v>
      </c>
      <c r="C67" s="5" t="s">
        <v>28</v>
      </c>
      <c r="D67">
        <v>1</v>
      </c>
      <c r="E67">
        <v>0.01</v>
      </c>
      <c r="F67">
        <v>5.0000000000000001E-3</v>
      </c>
      <c r="G67">
        <v>1</v>
      </c>
      <c r="H67">
        <v>1</v>
      </c>
      <c r="I67">
        <v>1</v>
      </c>
      <c r="J67" s="31">
        <v>1270.6335788952499</v>
      </c>
      <c r="K67" s="29">
        <v>21.105382721137701</v>
      </c>
      <c r="L67" s="29">
        <v>27.6725646524376</v>
      </c>
      <c r="M67" s="35">
        <v>40.671037451501398</v>
      </c>
      <c r="N67" s="31">
        <v>30</v>
      </c>
      <c r="O67">
        <v>0.01</v>
      </c>
      <c r="P67">
        <v>1</v>
      </c>
      <c r="Q67" s="31">
        <v>30</v>
      </c>
      <c r="R67">
        <v>0.01</v>
      </c>
      <c r="S67">
        <v>2</v>
      </c>
      <c r="T67" s="42" t="s">
        <v>29</v>
      </c>
      <c r="U67" s="34" t="s">
        <v>29</v>
      </c>
      <c r="V67" s="43">
        <v>19.802755132384601</v>
      </c>
      <c r="W67">
        <v>0.01</v>
      </c>
      <c r="X67" s="42" t="s">
        <v>29</v>
      </c>
      <c r="Y67" s="42" t="s">
        <v>29</v>
      </c>
      <c r="Z67" s="29">
        <v>0.97741942182415997</v>
      </c>
      <c r="AA67" s="35">
        <v>0.63652494371282498</v>
      </c>
    </row>
    <row r="68" spans="2:27" x14ac:dyDescent="0.3">
      <c r="B68" s="5">
        <f t="shared" si="0"/>
        <v>37</v>
      </c>
      <c r="C68" s="5" t="s">
        <v>28</v>
      </c>
      <c r="D68">
        <v>1</v>
      </c>
      <c r="E68">
        <v>0.01</v>
      </c>
      <c r="F68">
        <v>5.0000000000000001E-3</v>
      </c>
      <c r="G68">
        <v>1</v>
      </c>
      <c r="H68">
        <v>1</v>
      </c>
      <c r="I68">
        <v>1</v>
      </c>
      <c r="J68" s="31">
        <v>1887.02203993593</v>
      </c>
      <c r="K68" s="29">
        <v>25.2804755590379</v>
      </c>
      <c r="L68" s="29">
        <v>33.302403057094203</v>
      </c>
      <c r="M68" s="35">
        <v>48.640043059655099</v>
      </c>
      <c r="N68" s="31">
        <v>30</v>
      </c>
      <c r="O68">
        <v>0.01</v>
      </c>
      <c r="P68">
        <v>1.5</v>
      </c>
      <c r="Q68" s="31">
        <v>30</v>
      </c>
      <c r="R68">
        <v>0.01</v>
      </c>
      <c r="S68">
        <v>3</v>
      </c>
      <c r="T68" s="42" t="s">
        <v>29</v>
      </c>
      <c r="U68" s="34" t="s">
        <v>29</v>
      </c>
      <c r="V68" s="43">
        <v>23.168182999664999</v>
      </c>
      <c r="W68">
        <v>0.01</v>
      </c>
      <c r="X68" s="42" t="s">
        <v>29</v>
      </c>
      <c r="Y68" s="42" t="s">
        <v>29</v>
      </c>
      <c r="Z68" s="29">
        <v>0.65483870521172205</v>
      </c>
      <c r="AA68" s="35">
        <v>0.42645067251498198</v>
      </c>
    </row>
    <row r="69" spans="2:27" x14ac:dyDescent="0.3">
      <c r="B69" s="5">
        <f t="shared" si="0"/>
        <v>38</v>
      </c>
      <c r="C69" s="5" t="s">
        <v>28</v>
      </c>
      <c r="D69">
        <v>1</v>
      </c>
      <c r="E69">
        <v>0.01</v>
      </c>
      <c r="F69">
        <v>5.0000000000000001E-3</v>
      </c>
      <c r="G69">
        <v>1</v>
      </c>
      <c r="H69">
        <v>1</v>
      </c>
      <c r="I69">
        <v>1</v>
      </c>
      <c r="J69" s="31">
        <v>2496.25319287814</v>
      </c>
      <c r="K69" s="29">
        <v>11.5292488568947</v>
      </c>
      <c r="L69" s="29">
        <v>15.244001620622999</v>
      </c>
      <c r="M69" s="35">
        <v>55.3530367949854</v>
      </c>
      <c r="N69" s="31">
        <v>30</v>
      </c>
      <c r="O69">
        <v>0.01</v>
      </c>
      <c r="P69">
        <v>2</v>
      </c>
      <c r="Q69" s="31">
        <v>30</v>
      </c>
      <c r="R69">
        <v>0.01</v>
      </c>
      <c r="S69">
        <v>4</v>
      </c>
      <c r="T69" s="42" t="s">
        <v>29</v>
      </c>
      <c r="U69" s="34" t="s">
        <v>29</v>
      </c>
      <c r="V69" s="43">
        <v>25.843698216593399</v>
      </c>
      <c r="W69">
        <v>0.01</v>
      </c>
      <c r="X69" s="42" t="s">
        <v>29</v>
      </c>
      <c r="Y69" s="42" t="s">
        <v>29</v>
      </c>
      <c r="Z69" s="29">
        <v>0.398387029044459</v>
      </c>
      <c r="AA69" s="35">
        <v>0.259441623015083</v>
      </c>
    </row>
    <row r="70" spans="2:27" ht="15" thickBot="1" x14ac:dyDescent="0.35">
      <c r="B70" s="7">
        <f t="shared" si="0"/>
        <v>39</v>
      </c>
      <c r="C70" s="7" t="s">
        <v>28</v>
      </c>
      <c r="D70" s="8">
        <v>1</v>
      </c>
      <c r="E70" s="8">
        <v>0.01</v>
      </c>
      <c r="F70" s="8">
        <v>5.0000000000000001E-3</v>
      </c>
      <c r="G70" s="8">
        <v>1</v>
      </c>
      <c r="H70" s="8">
        <v>1</v>
      </c>
      <c r="I70" s="8">
        <v>1</v>
      </c>
      <c r="J70" s="44">
        <v>3106.46284376217</v>
      </c>
      <c r="K70" s="48">
        <v>14.953190814619299</v>
      </c>
      <c r="L70" s="48">
        <v>19.812447654647499</v>
      </c>
      <c r="M70" s="37">
        <v>61.263242880352699</v>
      </c>
      <c r="N70" s="44">
        <v>30</v>
      </c>
      <c r="O70" s="8">
        <v>0.01</v>
      </c>
      <c r="P70" s="8">
        <v>2.5</v>
      </c>
      <c r="Q70" s="44">
        <v>30</v>
      </c>
      <c r="R70" s="8">
        <v>0.01</v>
      </c>
      <c r="S70" s="8">
        <v>5</v>
      </c>
      <c r="T70" s="45" t="s">
        <v>29</v>
      </c>
      <c r="U70" s="46" t="s">
        <v>29</v>
      </c>
      <c r="V70" s="47">
        <v>27.358140468402102</v>
      </c>
      <c r="W70" s="8">
        <v>0.01</v>
      </c>
      <c r="X70" s="45" t="s">
        <v>29</v>
      </c>
      <c r="Y70" s="45" t="s">
        <v>29</v>
      </c>
      <c r="Z70" s="48">
        <v>0.253225734256182</v>
      </c>
      <c r="AA70" s="37">
        <v>0.164908218982566</v>
      </c>
    </row>
  </sheetData>
  <mergeCells count="3">
    <mergeCell ref="E11:F11"/>
    <mergeCell ref="G11:H11"/>
    <mergeCell ref="C7:N7"/>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Cui2014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Zeoli Alanis</dc:creator>
  <cp:lastModifiedBy>Zeoli Alanis</cp:lastModifiedBy>
  <dcterms:created xsi:type="dcterms:W3CDTF">2023-10-02T08:13:39Z</dcterms:created>
  <dcterms:modified xsi:type="dcterms:W3CDTF">2025-08-12T09:27:50Z</dcterms:modified>
</cp:coreProperties>
</file>