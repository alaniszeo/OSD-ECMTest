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IEC\D-IEC\M-IEC\"/>
    </mc:Choice>
  </mc:AlternateContent>
  <xr:revisionPtr revIDLastSave="0" documentId="13_ncr:1_{A0199DE1-7159-49E7-9959-E0FC2ECE0D58}" xr6:coauthVersionLast="47" xr6:coauthVersionMax="47" xr10:uidLastSave="{00000000-0000-0000-0000-000000000000}"/>
  <bookViews>
    <workbookView xWindow="-108" yWindow="-108" windowWidth="30936" windowHeight="16776" xr2:uid="{1306219A-737B-4B5D-BCFD-98C34D3C77CC}"/>
  </bookViews>
  <sheets>
    <sheet name="Characteristics" sheetId="13" r:id="rId1"/>
    <sheet name="Data" sheetId="1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2" i="14" l="1"/>
  <c r="P102" i="14"/>
  <c r="O102" i="14"/>
  <c r="U101" i="14"/>
  <c r="P101" i="14"/>
  <c r="O101" i="14"/>
  <c r="U100" i="14"/>
  <c r="P100" i="14"/>
  <c r="O100" i="14"/>
  <c r="U99" i="14"/>
  <c r="P99" i="14"/>
  <c r="O99" i="14"/>
  <c r="U98" i="14"/>
  <c r="P98" i="14"/>
  <c r="O98" i="14"/>
  <c r="U97" i="14"/>
  <c r="P97" i="14"/>
  <c r="O97" i="14"/>
  <c r="U96" i="14"/>
  <c r="P96" i="14"/>
  <c r="O96" i="14"/>
  <c r="U95" i="14"/>
  <c r="P95" i="14"/>
  <c r="O95" i="14"/>
  <c r="U94" i="14"/>
  <c r="P94" i="14"/>
  <c r="O94" i="14"/>
  <c r="U93" i="14"/>
  <c r="P93" i="14"/>
  <c r="O93" i="14"/>
  <c r="U92" i="14"/>
  <c r="P92" i="14"/>
  <c r="O92" i="14"/>
  <c r="U91" i="14"/>
  <c r="P91" i="14"/>
  <c r="O91" i="14"/>
  <c r="U90" i="14"/>
  <c r="P90" i="14"/>
  <c r="O90" i="14"/>
  <c r="U89" i="14"/>
  <c r="P89" i="14"/>
  <c r="O89" i="14"/>
  <c r="U88" i="14"/>
  <c r="P88" i="14"/>
  <c r="O88" i="14"/>
  <c r="U87" i="14"/>
  <c r="P87" i="14"/>
  <c r="O87" i="14"/>
  <c r="U86" i="14"/>
  <c r="P86" i="14"/>
  <c r="O86" i="14"/>
  <c r="U85" i="14"/>
  <c r="P85" i="14"/>
  <c r="O85" i="14"/>
  <c r="U84" i="14"/>
  <c r="P84" i="14"/>
  <c r="O84" i="14"/>
  <c r="U83" i="14"/>
  <c r="P83" i="14"/>
  <c r="O83" i="14"/>
  <c r="U82" i="14"/>
  <c r="P82" i="14"/>
  <c r="O82" i="14"/>
  <c r="U81" i="14"/>
  <c r="P81" i="14"/>
  <c r="O81" i="14"/>
  <c r="U80" i="14"/>
  <c r="P80" i="14"/>
  <c r="O80" i="14"/>
  <c r="U79" i="14"/>
  <c r="P79" i="14"/>
  <c r="O79" i="14"/>
  <c r="U78" i="14"/>
  <c r="P78" i="14"/>
  <c r="O78" i="14"/>
  <c r="U77" i="14"/>
  <c r="P77" i="14"/>
  <c r="O77" i="14"/>
  <c r="U76" i="14"/>
  <c r="P76" i="14"/>
  <c r="O76" i="14"/>
  <c r="U75" i="14"/>
  <c r="P75" i="14"/>
  <c r="O75" i="14"/>
  <c r="U74" i="14"/>
  <c r="P74" i="14"/>
  <c r="O74" i="14"/>
  <c r="U73" i="14"/>
  <c r="P73" i="14"/>
  <c r="O73" i="14"/>
  <c r="U72" i="14"/>
  <c r="P72" i="14"/>
  <c r="O72" i="14"/>
  <c r="U71" i="14"/>
  <c r="P71" i="14"/>
  <c r="O71" i="14"/>
  <c r="U70" i="14"/>
  <c r="P70" i="14"/>
  <c r="O70" i="14"/>
  <c r="U69" i="14"/>
  <c r="P69" i="14"/>
  <c r="O69" i="14"/>
  <c r="U68" i="14"/>
  <c r="P68" i="14"/>
  <c r="O68" i="14"/>
  <c r="U67" i="14"/>
  <c r="P67" i="14"/>
  <c r="O67" i="14"/>
  <c r="U66" i="14"/>
  <c r="P66" i="14"/>
  <c r="O66" i="14"/>
  <c r="U65" i="14"/>
  <c r="P65" i="14"/>
  <c r="O65" i="14"/>
  <c r="U64" i="14"/>
  <c r="P64" i="14"/>
  <c r="O64" i="14"/>
  <c r="U63" i="14"/>
  <c r="P63" i="14"/>
  <c r="O63" i="14"/>
  <c r="U62" i="14"/>
  <c r="P62" i="14"/>
  <c r="O62" i="14"/>
  <c r="U61" i="14"/>
  <c r="P61" i="14"/>
  <c r="O61" i="14"/>
  <c r="U60" i="14"/>
  <c r="P60" i="14"/>
  <c r="O60" i="14"/>
  <c r="U59" i="14"/>
  <c r="P59" i="14"/>
  <c r="O59" i="14"/>
  <c r="U58" i="14"/>
  <c r="P58" i="14"/>
  <c r="O58" i="14"/>
  <c r="U57" i="14"/>
  <c r="P57" i="14"/>
  <c r="O57" i="14"/>
  <c r="U56" i="14"/>
  <c r="P56" i="14"/>
  <c r="O56" i="14"/>
  <c r="U55" i="14"/>
  <c r="P55" i="14"/>
  <c r="O55" i="14"/>
  <c r="U54" i="14"/>
  <c r="P54" i="14"/>
  <c r="O54" i="14"/>
  <c r="U53" i="14"/>
  <c r="P53" i="14"/>
  <c r="O53" i="14"/>
  <c r="U52" i="14"/>
  <c r="P52" i="14"/>
  <c r="O52" i="14"/>
  <c r="U51" i="14"/>
  <c r="P51" i="14"/>
  <c r="O51" i="14"/>
  <c r="U50" i="14"/>
  <c r="P50" i="14"/>
  <c r="O50" i="14"/>
  <c r="U49" i="14"/>
  <c r="P49" i="14"/>
  <c r="O49" i="14"/>
  <c r="U48" i="14"/>
  <c r="P48" i="14"/>
  <c r="O48" i="14"/>
  <c r="U47" i="14"/>
  <c r="P47" i="14"/>
  <c r="O47" i="14"/>
  <c r="U46" i="14"/>
  <c r="P46" i="14"/>
  <c r="O46" i="14"/>
  <c r="U45" i="14"/>
  <c r="P45" i="14"/>
  <c r="O45" i="14"/>
  <c r="U44" i="14"/>
  <c r="P44" i="14"/>
  <c r="O44" i="14"/>
  <c r="U43" i="14"/>
  <c r="P43" i="14"/>
  <c r="O43" i="14"/>
  <c r="U42" i="14"/>
  <c r="P42" i="14"/>
  <c r="O42" i="14"/>
  <c r="U41" i="14"/>
  <c r="P41" i="14"/>
  <c r="O41" i="14"/>
  <c r="U40" i="14"/>
  <c r="P40" i="14"/>
  <c r="O40" i="14"/>
  <c r="U39" i="14"/>
  <c r="P39" i="14"/>
  <c r="O39" i="14"/>
  <c r="U38" i="14"/>
  <c r="P38" i="14"/>
  <c r="O38" i="14"/>
  <c r="U37" i="14"/>
  <c r="P37" i="14"/>
  <c r="O37" i="14"/>
  <c r="U36" i="14"/>
  <c r="P36" i="14"/>
  <c r="O36" i="14"/>
  <c r="U35" i="14"/>
  <c r="P35" i="14"/>
  <c r="O35" i="14"/>
  <c r="U34" i="14"/>
  <c r="P34" i="14"/>
  <c r="O34" i="14"/>
  <c r="U33" i="14"/>
  <c r="P33" i="14"/>
  <c r="O33" i="14"/>
  <c r="U32" i="14"/>
  <c r="P32" i="14"/>
  <c r="O32" i="14"/>
  <c r="U31" i="14"/>
  <c r="P31" i="14"/>
  <c r="O31" i="14"/>
  <c r="U30" i="14"/>
  <c r="P30" i="14"/>
  <c r="O30" i="14"/>
  <c r="U29" i="14"/>
  <c r="P29" i="14"/>
  <c r="O29" i="14"/>
  <c r="U28" i="14"/>
  <c r="P28" i="14"/>
  <c r="O28" i="14"/>
  <c r="U27" i="14"/>
  <c r="P27" i="14"/>
  <c r="O27" i="14"/>
  <c r="U26" i="14"/>
  <c r="P26" i="14"/>
  <c r="O26" i="14"/>
  <c r="U25" i="14"/>
  <c r="P25" i="14"/>
  <c r="O25" i="14"/>
  <c r="U24" i="14"/>
  <c r="P24" i="14"/>
  <c r="O24" i="14"/>
  <c r="U23" i="14"/>
  <c r="P23" i="14"/>
  <c r="O23" i="14"/>
  <c r="U22" i="14"/>
  <c r="P22" i="14"/>
  <c r="O22" i="14"/>
  <c r="U21" i="14"/>
  <c r="P21" i="14"/>
  <c r="O21" i="14"/>
  <c r="U20" i="14"/>
  <c r="P20" i="14"/>
  <c r="O20" i="14"/>
  <c r="U19" i="14"/>
  <c r="P19" i="14"/>
  <c r="O19" i="14"/>
  <c r="U18" i="14"/>
  <c r="P18" i="14"/>
  <c r="O18" i="14"/>
  <c r="A18" i="14"/>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U17" i="14"/>
  <c r="P17" i="14"/>
  <c r="O17" i="14"/>
  <c r="U16" i="14"/>
  <c r="P16" i="14"/>
  <c r="O16" i="14"/>
  <c r="U15" i="14"/>
  <c r="P15" i="14"/>
  <c r="O15" i="14"/>
  <c r="U14" i="14"/>
  <c r="P14" i="14"/>
  <c r="O14" i="14"/>
  <c r="U13" i="14"/>
  <c r="P13" i="14"/>
  <c r="O13" i="14"/>
  <c r="U12" i="14"/>
  <c r="P12" i="14"/>
  <c r="O12" i="14"/>
  <c r="U11" i="14"/>
  <c r="P11" i="14"/>
  <c r="O11" i="14"/>
  <c r="U10" i="14"/>
  <c r="P10" i="14"/>
  <c r="O10" i="14"/>
  <c r="U9" i="14"/>
  <c r="P9" i="14"/>
  <c r="O9" i="14"/>
  <c r="U8" i="14"/>
  <c r="P8" i="14"/>
  <c r="O8" i="14"/>
  <c r="U7" i="14"/>
  <c r="P7" i="14"/>
  <c r="O7" i="14"/>
  <c r="U6" i="14"/>
  <c r="P6" i="14"/>
  <c r="O6" i="14"/>
  <c r="U5" i="14"/>
  <c r="P5" i="14"/>
  <c r="O5" i="14"/>
  <c r="U4" i="14"/>
  <c r="P4" i="14"/>
  <c r="O4" i="14"/>
  <c r="U3" i="14"/>
  <c r="P3" i="14"/>
  <c r="O3" i="14"/>
</calcChain>
</file>

<file path=xl/sharedStrings.xml><?xml version="1.0" encoding="utf-8"?>
<sst xmlns="http://schemas.openxmlformats.org/spreadsheetml/2006/main" count="387" uniqueCount="80">
  <si>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</si>
  <si>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</si>
  <si>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</si>
  <si>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</si>
  <si>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</si>
  <si>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</si>
  <si>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</si>
  <si>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</si>
  <si>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</si>
  <si>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</si>
  <si>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</si>
  <si>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</si>
  <si>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</si>
  <si>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</si>
  <si>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</si>
  <si>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</si>
  <si>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</si>
  <si>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Geometry</t>
  </si>
  <si>
    <t>Length</t>
  </si>
  <si>
    <t>Height</t>
  </si>
  <si>
    <t>Paper information</t>
  </si>
  <si>
    <t>Operating conditions</t>
  </si>
  <si>
    <t>Water supplied</t>
  </si>
  <si>
    <t>Wall thickness</t>
  </si>
  <si>
    <t>Primary fluid velocity</t>
  </si>
  <si>
    <t>Secondary fluid velocity</t>
  </si>
  <si>
    <t>epsilon_dp</t>
  </si>
  <si>
    <t>kg/kg</t>
  </si>
  <si>
    <t>NA</t>
  </si>
  <si>
    <t>Testing conditions</t>
  </si>
  <si>
    <t>W</t>
  </si>
  <si>
    <t>h_ch</t>
  </si>
  <si>
    <t>Channel height</t>
  </si>
  <si>
    <t>Number of channels</t>
  </si>
  <si>
    <t>SPR</t>
  </si>
  <si>
    <t>Wall material</t>
  </si>
  <si>
    <t>Width</t>
  </si>
  <si>
    <t>Secondary-to-Primary flow rate ratio</t>
  </si>
  <si>
    <t>kg/s</t>
  </si>
  <si>
    <t>Test</t>
  </si>
  <si>
    <t>T_pdi</t>
  </si>
  <si>
    <t>w_pdi</t>
  </si>
  <si>
    <t>v_pdi</t>
  </si>
  <si>
    <t>T_wfi</t>
  </si>
  <si>
    <t>m_dot_wf</t>
  </si>
  <si>
    <t>T_pdo</t>
  </si>
  <si>
    <t>w_pdo</t>
  </si>
  <si>
    <t>T_swo</t>
  </si>
  <si>
    <t>w_wso</t>
  </si>
  <si>
    <t>Numerical, extracted from graphs</t>
  </si>
  <si>
    <t>M-IEC</t>
  </si>
  <si>
    <t>Wet surface</t>
  </si>
  <si>
    <t>Yes</t>
  </si>
  <si>
    <t>Variable</t>
  </si>
  <si>
    <t>D-IEC</t>
  </si>
  <si>
    <t>4 holes M-IEC</t>
  </si>
  <si>
    <t>4 holes D-IEC</t>
  </si>
  <si>
    <t>T0</t>
  </si>
  <si>
    <t>Standard IEC</t>
  </si>
  <si>
    <t>T1</t>
  </si>
  <si>
    <t>T2</t>
  </si>
  <si>
    <t>T3</t>
  </si>
  <si>
    <t>T4</t>
  </si>
  <si>
    <t>Guzelel et al.</t>
  </si>
  <si>
    <t>Performance evaluation of different types of indirect evaporative coolers: A CFD-based comparative study</t>
  </si>
  <si>
    <t>CF</t>
  </si>
  <si>
    <t>Aluminium</t>
  </si>
  <si>
    <t>w_si</t>
  </si>
  <si>
    <t>v_si</t>
  </si>
  <si>
    <t>T_si</t>
  </si>
  <si>
    <t>1-5</t>
  </si>
  <si>
    <t>0.5-2.5</t>
  </si>
  <si>
    <t>0.2-0.8</t>
  </si>
  <si>
    <t>WWR</t>
  </si>
  <si>
    <t>Re</t>
  </si>
  <si>
    <t>Nu</t>
  </si>
  <si>
    <t>h_T_pd</t>
  </si>
  <si>
    <t>h_T_sw</t>
  </si>
  <si>
    <t>Description</t>
  </si>
  <si>
    <t>CFD model of various IEC configurations (cfr. Figure) validated against the experimental data of Riangvilaikul and Kumar (2010) for the D-IEC configuration only. Comparison of those five configurations in terms of dew point effectiveness, water consumption, and cooling capacity for variable operational conditions. Temperature at the primary outlet and the specific humidity at the secondary outlet deduced from the dew point effectiveness and water consumption, respectively. Temperature at the secondary outlet computed through an energy balance on the evaporative exchanger.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</si>
</sst>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3">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0" fontId="1" fillId="0" borderId="8" xfId="0" applyFont="1" applyBorder="1"/>
    <xf numFmtId="0" fontId="1" fillId="0" borderId="9" xfId="0" applyFont="1" applyBorder="1"/>
    <xf numFmtId="2" fontId="0" fillId="0" borderId="0" xfId="0" applyNumberFormat="1"/>
    <xf numFmtId="165" fontId="0" fillId="0" borderId="0" xfId="0" applyNumberFormat="1"/>
    <xf numFmtId="1"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165" fontId="0" fillId="0" borderId="5" xfId="0" applyNumberFormat="1" applyBorder="1"/>
    <xf numFmtId="2" fontId="0" fillId="0" borderId="9" xfId="0" applyNumberFormat="1" applyBorder="1"/>
    <xf numFmtId="1" fontId="0" fillId="0" borderId="3" xfId="0" applyNumberFormat="1" applyBorder="1"/>
    <xf numFmtId="165" fontId="0" fillId="0" borderId="2" xfId="0" applyNumberFormat="1" applyBorder="1"/>
    <xf numFmtId="2" fontId="0" fillId="0" borderId="3" xfId="0" applyNumberFormat="1" applyBorder="1"/>
    <xf numFmtId="2" fontId="0" fillId="0" borderId="4" xfId="0" applyNumberFormat="1" applyBorder="1"/>
    <xf numFmtId="164" fontId="0" fillId="0" borderId="0" xfId="0" applyNumberFormat="1" applyAlignment="1">
      <alignment horizontal="right"/>
    </xf>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2" fontId="0" fillId="0" borderId="8" xfId="0" applyNumberFormat="1" applyBorder="1"/>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165" fontId="0" fillId="0" borderId="3" xfId="0" applyNumberFormat="1" applyBorder="1"/>
    <xf numFmtId="165" fontId="0" fillId="0" borderId="8" xfId="0" applyNumberFormat="1" applyBorder="1"/>
    <xf numFmtId="16" fontId="0" fillId="0" borderId="2" xfId="0" quotePrefix="1" applyNumberFormat="1" applyBorder="1" applyAlignment="1">
      <alignment horizontal="right"/>
    </xf>
    <xf numFmtId="166" fontId="0" fillId="0" borderId="0" xfId="0" applyNumberFormat="1"/>
    <xf numFmtId="0" fontId="0" fillId="0" borderId="8" xfId="0" applyBorder="1" applyAlignment="1">
      <alignment horizontal="right"/>
    </xf>
    <xf numFmtId="166" fontId="0" fillId="0" borderId="6" xfId="0" applyNumberFormat="1" applyBorder="1"/>
    <xf numFmtId="166" fontId="0" fillId="0" borderId="3" xfId="0" applyNumberFormat="1" applyBorder="1"/>
    <xf numFmtId="166" fontId="0" fillId="0" borderId="8" xfId="0" applyNumberFormat="1" applyBorder="1"/>
    <xf numFmtId="166" fontId="0" fillId="0" borderId="4" xfId="0" applyNumberFormat="1" applyBorder="1"/>
    <xf numFmtId="166" fontId="0" fillId="0" borderId="9" xfId="0" applyNumberFormat="1" applyBorder="1"/>
    <xf numFmtId="0" fontId="0" fillId="0" borderId="5" xfId="0" applyBorder="1" applyAlignment="1">
      <alignment horizontal="left" vertical="top"/>
    </xf>
    <xf numFmtId="0" fontId="1" fillId="0" borderId="13"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1" fillId="0" borderId="14" xfId="0" applyFont="1"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1" fillId="0" borderId="15" xfId="0" applyFont="1"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592164</xdr:colOff>
      <xdr:row>8</xdr:row>
      <xdr:rowOff>152400</xdr:rowOff>
    </xdr:from>
    <xdr:to>
      <xdr:col>25</xdr:col>
      <xdr:colOff>642627</xdr:colOff>
      <xdr:row>26</xdr:row>
      <xdr:rowOff>106680</xdr:rowOff>
    </xdr:to>
    <xdr:pic>
      <xdr:nvPicPr>
        <xdr:cNvPr id="2" name="Picture 1">
          <a:extLst>
            <a:ext uri="{FF2B5EF4-FFF2-40B4-BE49-F238E27FC236}">
              <a16:creationId xmlns:a16="http://schemas.microsoft.com/office/drawing/2014/main" id="{11971940-918D-E588-73CC-E387BFA09588}"/>
            </a:ext>
          </a:extLst>
        </xdr:cNvPr>
        <xdr:cNvPicPr>
          <a:picLocks noChangeAspect="1"/>
        </xdr:cNvPicPr>
      </xdr:nvPicPr>
      <xdr:blipFill>
        <a:blip xmlns:r="http://schemas.openxmlformats.org/officeDocument/2006/relationships" r:embed="rId1"/>
        <a:stretch>
          <a:fillRect/>
        </a:stretch>
      </xdr:blipFill>
      <xdr:spPr>
        <a:xfrm>
          <a:off x="8547444" y="1463040"/>
          <a:ext cx="9026823" cy="329946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98D9-E2DC-438A-ADCB-112EDF10C30A}">
  <dimension ref="B1:R132"/>
  <sheetViews>
    <sheetView tabSelected="1" workbookViewId="0">
      <selection activeCell="B28" sqref="B28"/>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1" width="9.33203125" customWidth="1"/>
    <col min="12" max="19" width="9.21875" customWidth="1"/>
    <col min="20" max="20" width="9.6640625" bestFit="1" customWidth="1"/>
    <col min="21" max="24" width="9.21875" customWidth="1"/>
    <col min="25" max="25" width="10.5546875" bestFit="1" customWidth="1"/>
    <col min="26" max="26" width="10.21875" bestFit="1" customWidth="1"/>
  </cols>
  <sheetData>
    <row r="1" spans="2:14" ht="15" thickBot="1" x14ac:dyDescent="0.35"/>
    <row r="2" spans="2:14" ht="15" thickBot="1" x14ac:dyDescent="0.35">
      <c r="B2" s="10" t="s">
        <v>20</v>
      </c>
      <c r="C2" s="11"/>
      <c r="D2" s="11"/>
      <c r="E2" s="11"/>
      <c r="F2" s="11"/>
      <c r="G2" s="11"/>
      <c r="H2" s="11"/>
      <c r="I2" s="11"/>
      <c r="J2" s="11"/>
      <c r="K2" s="11"/>
      <c r="L2" s="11"/>
      <c r="M2" s="11"/>
      <c r="N2" s="12"/>
    </row>
    <row r="3" spans="2:14" x14ac:dyDescent="0.3">
      <c r="B3" s="62" t="s">
        <v>0</v>
      </c>
      <c r="C3" s="63" t="s">
        <v>63</v>
      </c>
      <c r="D3" s="64"/>
      <c r="E3" s="64"/>
      <c r="F3" s="64"/>
      <c r="G3" s="64"/>
      <c r="H3" s="64"/>
      <c r="I3" s="64"/>
      <c r="J3" s="64"/>
      <c r="K3" s="64"/>
      <c r="L3" s="64"/>
      <c r="M3" s="64"/>
      <c r="N3" s="65"/>
    </row>
    <row r="4" spans="2:14" x14ac:dyDescent="0.3">
      <c r="B4" s="66" t="s">
        <v>1</v>
      </c>
      <c r="C4" s="61" t="s">
        <v>64</v>
      </c>
      <c r="D4" s="67"/>
      <c r="E4" s="67"/>
      <c r="F4" s="67"/>
      <c r="G4" s="67"/>
      <c r="H4" s="67"/>
      <c r="I4" s="67"/>
      <c r="J4" s="67"/>
      <c r="K4" s="67"/>
      <c r="L4" s="67"/>
      <c r="M4" s="67"/>
      <c r="N4" s="68"/>
    </row>
    <row r="5" spans="2:14" x14ac:dyDescent="0.3">
      <c r="B5" s="66" t="s">
        <v>2</v>
      </c>
      <c r="C5" s="61">
        <v>2024</v>
      </c>
      <c r="D5" s="67"/>
      <c r="E5" s="67"/>
      <c r="F5" s="67"/>
      <c r="G5" s="67"/>
      <c r="H5" s="67"/>
      <c r="I5" s="67"/>
      <c r="J5" s="67"/>
      <c r="K5" s="67"/>
      <c r="L5" s="67"/>
      <c r="M5" s="67"/>
      <c r="N5" s="68"/>
    </row>
    <row r="6" spans="2:14" x14ac:dyDescent="0.3">
      <c r="B6" s="66" t="s">
        <v>4</v>
      </c>
      <c r="C6" s="61" t="s">
        <v>49</v>
      </c>
      <c r="D6" s="67"/>
      <c r="E6" s="67"/>
      <c r="F6" s="67"/>
      <c r="G6" s="67"/>
      <c r="H6" s="67"/>
      <c r="I6" s="67"/>
      <c r="J6" s="67"/>
      <c r="K6" s="67"/>
      <c r="L6" s="67"/>
      <c r="M6" s="67"/>
      <c r="N6" s="68"/>
    </row>
    <row r="7" spans="2:14" ht="75" customHeight="1" thickBot="1" x14ac:dyDescent="0.35">
      <c r="B7" s="69" t="s">
        <v>78</v>
      </c>
      <c r="C7" s="70" t="s">
        <v>79</v>
      </c>
      <c r="D7" s="71"/>
      <c r="E7" s="71"/>
      <c r="F7" s="71"/>
      <c r="G7" s="71"/>
      <c r="H7" s="71"/>
      <c r="I7" s="71"/>
      <c r="J7" s="71"/>
      <c r="K7" s="71"/>
      <c r="L7" s="71"/>
      <c r="M7" s="71"/>
      <c r="N7" s="72"/>
    </row>
    <row r="8" spans="2:14" ht="15" thickBot="1" x14ac:dyDescent="0.35"/>
    <row r="9" spans="2:14" ht="15" thickBot="1" x14ac:dyDescent="0.35">
      <c r="B9" s="10" t="s">
        <v>3</v>
      </c>
      <c r="C9" s="18"/>
    </row>
    <row r="10" spans="2:14" x14ac:dyDescent="0.3">
      <c r="B10" s="20" t="s">
        <v>15</v>
      </c>
      <c r="C10" s="6" t="s">
        <v>53</v>
      </c>
    </row>
    <row r="11" spans="2:14" x14ac:dyDescent="0.3">
      <c r="B11" s="21" t="s">
        <v>16</v>
      </c>
      <c r="C11" s="6" t="s">
        <v>51</v>
      </c>
    </row>
    <row r="12" spans="2:14" x14ac:dyDescent="0.3">
      <c r="B12" s="21" t="s">
        <v>10</v>
      </c>
      <c r="C12" s="6" t="s">
        <v>52</v>
      </c>
    </row>
    <row r="13" spans="2:14" x14ac:dyDescent="0.3">
      <c r="B13" s="21" t="s">
        <v>35</v>
      </c>
      <c r="C13" s="6" t="s">
        <v>66</v>
      </c>
    </row>
    <row r="14" spans="2:14" ht="15" thickBot="1" x14ac:dyDescent="0.35">
      <c r="B14" s="15" t="s">
        <v>9</v>
      </c>
      <c r="C14" s="9" t="s">
        <v>65</v>
      </c>
    </row>
    <row r="15" spans="2:14" ht="15" thickBot="1" x14ac:dyDescent="0.35">
      <c r="B15" s="1"/>
    </row>
    <row r="16" spans="2:14" ht="15" thickBot="1" x14ac:dyDescent="0.35">
      <c r="B16" s="10" t="s">
        <v>17</v>
      </c>
      <c r="C16" s="17"/>
      <c r="D16" s="18"/>
      <c r="F16" s="1"/>
    </row>
    <row r="17" spans="2:13" x14ac:dyDescent="0.3">
      <c r="B17" s="20" t="s">
        <v>18</v>
      </c>
      <c r="C17" s="3">
        <v>1</v>
      </c>
      <c r="D17" s="4" t="s">
        <v>8</v>
      </c>
      <c r="F17" s="1"/>
      <c r="G17" s="25"/>
    </row>
    <row r="18" spans="2:13" x14ac:dyDescent="0.3">
      <c r="B18" s="21" t="s">
        <v>36</v>
      </c>
      <c r="D18" s="6" t="s">
        <v>8</v>
      </c>
      <c r="F18" s="1"/>
    </row>
    <row r="19" spans="2:13" x14ac:dyDescent="0.3">
      <c r="B19" s="21" t="s">
        <v>19</v>
      </c>
      <c r="D19" s="6" t="s">
        <v>8</v>
      </c>
      <c r="F19" s="1"/>
    </row>
    <row r="20" spans="2:13" x14ac:dyDescent="0.3">
      <c r="B20" s="21" t="s">
        <v>32</v>
      </c>
      <c r="C20">
        <v>2.5000000000000001E-3</v>
      </c>
      <c r="D20" s="6" t="s">
        <v>8</v>
      </c>
    </row>
    <row r="21" spans="2:13" x14ac:dyDescent="0.3">
      <c r="B21" s="21" t="s">
        <v>23</v>
      </c>
      <c r="C21">
        <v>5.0000000000000001E-4</v>
      </c>
      <c r="D21" s="6" t="s">
        <v>8</v>
      </c>
    </row>
    <row r="22" spans="2:13" ht="15" thickBot="1" x14ac:dyDescent="0.35">
      <c r="B22" s="15" t="s">
        <v>33</v>
      </c>
      <c r="C22" s="55" t="s">
        <v>28</v>
      </c>
      <c r="D22" s="9" t="s">
        <v>7</v>
      </c>
    </row>
    <row r="23" spans="2:13" ht="15" thickBot="1" x14ac:dyDescent="0.35">
      <c r="B23" s="1"/>
    </row>
    <row r="24" spans="2:13" ht="15" thickBot="1" x14ac:dyDescent="0.35">
      <c r="B24" s="2" t="s">
        <v>21</v>
      </c>
      <c r="C24" s="3"/>
      <c r="D24" s="4"/>
      <c r="F24" s="10" t="s">
        <v>39</v>
      </c>
      <c r="G24" s="17"/>
      <c r="H24" s="17"/>
      <c r="I24" s="17"/>
      <c r="J24" s="17"/>
      <c r="K24" s="18"/>
    </row>
    <row r="25" spans="2:13" x14ac:dyDescent="0.3">
      <c r="B25" s="2" t="s">
        <v>24</v>
      </c>
      <c r="C25" s="53" t="s">
        <v>70</v>
      </c>
      <c r="D25" s="4" t="s">
        <v>6</v>
      </c>
      <c r="F25" s="19" t="s">
        <v>57</v>
      </c>
      <c r="G25" t="s">
        <v>58</v>
      </c>
      <c r="I25" s="2" t="s">
        <v>61</v>
      </c>
      <c r="J25" s="3" t="s">
        <v>50</v>
      </c>
      <c r="K25" s="4"/>
    </row>
    <row r="26" spans="2:13" x14ac:dyDescent="0.3">
      <c r="B26" s="19" t="s">
        <v>25</v>
      </c>
      <c r="C26" s="48" t="s">
        <v>71</v>
      </c>
      <c r="D26" s="6" t="s">
        <v>6</v>
      </c>
      <c r="F26" s="19" t="s">
        <v>59</v>
      </c>
      <c r="G26" t="s">
        <v>54</v>
      </c>
      <c r="I26" s="19" t="s">
        <v>62</v>
      </c>
      <c r="J26" t="s">
        <v>55</v>
      </c>
      <c r="K26" s="6"/>
    </row>
    <row r="27" spans="2:13" ht="29.4" thickBot="1" x14ac:dyDescent="0.35">
      <c r="B27" s="26" t="s">
        <v>37</v>
      </c>
      <c r="C27" s="49" t="s">
        <v>72</v>
      </c>
      <c r="D27" s="27" t="s">
        <v>27</v>
      </c>
      <c r="F27" s="14" t="s">
        <v>60</v>
      </c>
      <c r="G27" s="8" t="s">
        <v>56</v>
      </c>
      <c r="H27" s="8"/>
      <c r="I27" s="14"/>
      <c r="J27" s="8"/>
      <c r="K27" s="9"/>
    </row>
    <row r="28" spans="2:13" ht="15" thickBot="1" x14ac:dyDescent="0.35">
      <c r="B28" s="14" t="s">
        <v>22</v>
      </c>
      <c r="C28" s="50" t="s">
        <v>28</v>
      </c>
      <c r="D28" s="9" t="s">
        <v>38</v>
      </c>
      <c r="I28" s="30"/>
      <c r="J28" s="30"/>
      <c r="K28" s="30"/>
      <c r="L28" s="30"/>
      <c r="M28" s="22"/>
    </row>
    <row r="132" spans="18:18" x14ac:dyDescent="0.3">
      <c r="R132" s="31"/>
    </row>
  </sheetData>
  <mergeCells count="1">
    <mergeCell ref="C7:N7"/>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F5AF-6611-44EC-A98D-8E8AB5CE170A}">
  <dimension ref="A1:Y102"/>
  <sheetViews>
    <sheetView workbookViewId="0">
      <selection activeCell="G28" sqref="G28"/>
    </sheetView>
  </sheetViews>
  <sheetFormatPr defaultRowHeight="14.4" x14ac:dyDescent="0.3"/>
  <sheetData>
    <row r="1" spans="1:25" ht="15" thickBot="1" x14ac:dyDescent="0.35">
      <c r="A1" s="2"/>
      <c r="B1" s="10" t="s">
        <v>29</v>
      </c>
      <c r="C1" s="11"/>
      <c r="D1" s="11"/>
      <c r="E1" s="11"/>
      <c r="F1" s="11"/>
      <c r="G1" s="11"/>
      <c r="H1" s="11"/>
      <c r="I1" s="11"/>
      <c r="J1" s="11"/>
      <c r="K1" s="12"/>
      <c r="L1" s="10" t="s">
        <v>13</v>
      </c>
      <c r="M1" s="11"/>
      <c r="N1" s="11"/>
      <c r="O1" s="11"/>
      <c r="P1" s="11"/>
      <c r="Q1" s="11"/>
      <c r="R1" s="11"/>
      <c r="S1" s="12"/>
      <c r="T1" s="16" t="s">
        <v>14</v>
      </c>
      <c r="U1" s="3"/>
      <c r="V1" s="3"/>
      <c r="W1" s="3"/>
      <c r="X1" s="3"/>
      <c r="Y1" s="18"/>
    </row>
    <row r="2" spans="1:25" ht="15" thickBot="1" x14ac:dyDescent="0.35">
      <c r="A2" s="14" t="s">
        <v>11</v>
      </c>
      <c r="B2" s="14" t="s">
        <v>39</v>
      </c>
      <c r="C2" s="28" t="s">
        <v>5</v>
      </c>
      <c r="D2" s="28" t="s">
        <v>31</v>
      </c>
      <c r="E2" s="28" t="s">
        <v>30</v>
      </c>
      <c r="F2" s="28" t="s">
        <v>73</v>
      </c>
      <c r="G2" s="28" t="s">
        <v>34</v>
      </c>
      <c r="H2" s="28" t="s">
        <v>74</v>
      </c>
      <c r="I2" s="28" t="s">
        <v>75</v>
      </c>
      <c r="J2" s="28" t="s">
        <v>76</v>
      </c>
      <c r="K2" s="29" t="s">
        <v>77</v>
      </c>
      <c r="L2" s="10" t="s">
        <v>40</v>
      </c>
      <c r="M2" s="11" t="s">
        <v>41</v>
      </c>
      <c r="N2" s="11" t="s">
        <v>42</v>
      </c>
      <c r="O2" s="11" t="s">
        <v>69</v>
      </c>
      <c r="P2" s="11" t="s">
        <v>67</v>
      </c>
      <c r="Q2" s="28" t="s">
        <v>68</v>
      </c>
      <c r="R2" s="28" t="s">
        <v>43</v>
      </c>
      <c r="S2" s="29" t="s">
        <v>44</v>
      </c>
      <c r="T2" s="10" t="s">
        <v>45</v>
      </c>
      <c r="U2" s="11" t="s">
        <v>46</v>
      </c>
      <c r="V2" s="11" t="s">
        <v>47</v>
      </c>
      <c r="W2" s="11" t="s">
        <v>48</v>
      </c>
      <c r="X2" s="11" t="s">
        <v>12</v>
      </c>
      <c r="Y2" s="12" t="s">
        <v>26</v>
      </c>
    </row>
    <row r="3" spans="1:25" x14ac:dyDescent="0.3">
      <c r="A3" s="13">
        <v>1</v>
      </c>
      <c r="B3" s="13" t="s">
        <v>57</v>
      </c>
      <c r="C3" s="3">
        <v>1</v>
      </c>
      <c r="D3" s="3">
        <v>2.5000000000000001E-3</v>
      </c>
      <c r="E3" s="3">
        <v>1</v>
      </c>
      <c r="F3" s="3">
        <v>1</v>
      </c>
      <c r="G3" s="3">
        <v>0.5</v>
      </c>
      <c r="H3" s="39">
        <v>952.22892402019204</v>
      </c>
      <c r="I3" s="3">
        <v>7.54</v>
      </c>
      <c r="J3" s="41">
        <v>39.4238100918813</v>
      </c>
      <c r="K3" s="42">
        <v>39.4238100918813</v>
      </c>
      <c r="L3" s="13">
        <v>25</v>
      </c>
      <c r="M3" s="3">
        <v>1.6E-2</v>
      </c>
      <c r="N3" s="3">
        <v>3</v>
      </c>
      <c r="O3" s="3">
        <f>L3</f>
        <v>25</v>
      </c>
      <c r="P3" s="3">
        <f>M3</f>
        <v>1.6E-2</v>
      </c>
      <c r="Q3" s="3">
        <v>1.5</v>
      </c>
      <c r="R3" s="33" t="s">
        <v>28</v>
      </c>
      <c r="S3" s="34" t="s">
        <v>28</v>
      </c>
      <c r="T3" s="40">
        <v>22.862549910527601</v>
      </c>
      <c r="U3" s="24">
        <f>M3</f>
        <v>1.6E-2</v>
      </c>
      <c r="V3" s="51">
        <v>24.941912609271625</v>
      </c>
      <c r="W3" s="24">
        <v>1.7759745186986257E-2</v>
      </c>
      <c r="X3" s="57">
        <v>0.79409208955187605</v>
      </c>
      <c r="Y3" s="59">
        <v>0.57422220865885398</v>
      </c>
    </row>
    <row r="4" spans="1:25" x14ac:dyDescent="0.3">
      <c r="A4" s="5">
        <v>2</v>
      </c>
      <c r="B4" s="5" t="s">
        <v>57</v>
      </c>
      <c r="C4">
        <v>1</v>
      </c>
      <c r="D4">
        <v>2.5000000000000001E-3</v>
      </c>
      <c r="E4">
        <v>1</v>
      </c>
      <c r="F4">
        <v>1</v>
      </c>
      <c r="G4">
        <v>0.5</v>
      </c>
      <c r="H4" s="32">
        <v>932.63163180232402</v>
      </c>
      <c r="I4">
        <v>7.54</v>
      </c>
      <c r="J4" s="30">
        <v>39.808161934933104</v>
      </c>
      <c r="K4" s="36">
        <v>39.808161934933104</v>
      </c>
      <c r="L4" s="5">
        <v>30</v>
      </c>
      <c r="M4">
        <v>1.6E-2</v>
      </c>
      <c r="N4">
        <v>3</v>
      </c>
      <c r="O4">
        <f>L4</f>
        <v>30</v>
      </c>
      <c r="P4">
        <f>M4</f>
        <v>1.6E-2</v>
      </c>
      <c r="Q4">
        <v>1.5</v>
      </c>
      <c r="R4" s="43" t="s">
        <v>28</v>
      </c>
      <c r="S4" s="35" t="s">
        <v>28</v>
      </c>
      <c r="T4" s="37">
        <v>24.896588323447101</v>
      </c>
      <c r="U4" s="22">
        <f>M4</f>
        <v>1.6E-2</v>
      </c>
      <c r="V4" s="31">
        <v>29.76418435357013</v>
      </c>
      <c r="W4" s="22">
        <v>2.0226474576199673E-2</v>
      </c>
      <c r="X4" s="54">
        <v>0.81423197833192296</v>
      </c>
      <c r="Y4" s="56">
        <v>0.58488881429036399</v>
      </c>
    </row>
    <row r="5" spans="1:25" x14ac:dyDescent="0.3">
      <c r="A5" s="5">
        <v>3</v>
      </c>
      <c r="B5" s="5" t="s">
        <v>57</v>
      </c>
      <c r="C5">
        <v>1</v>
      </c>
      <c r="D5">
        <v>2.5000000000000001E-3</v>
      </c>
      <c r="E5">
        <v>1</v>
      </c>
      <c r="F5">
        <v>1</v>
      </c>
      <c r="G5">
        <v>0.5</v>
      </c>
      <c r="H5" s="32">
        <v>913.97093306995703</v>
      </c>
      <c r="I5">
        <v>7.54</v>
      </c>
      <c r="J5" s="30">
        <v>40.184978870444397</v>
      </c>
      <c r="K5" s="36">
        <v>40.184978870444397</v>
      </c>
      <c r="L5" s="5">
        <v>35</v>
      </c>
      <c r="M5">
        <v>1.6E-2</v>
      </c>
      <c r="N5">
        <v>3</v>
      </c>
      <c r="O5">
        <f>L5</f>
        <v>35</v>
      </c>
      <c r="P5">
        <f>M5</f>
        <v>1.6E-2</v>
      </c>
      <c r="Q5">
        <v>1.5</v>
      </c>
      <c r="R5" s="43" t="s">
        <v>28</v>
      </c>
      <c r="S5" s="35" t="s">
        <v>28</v>
      </c>
      <c r="T5" s="37">
        <v>26.820626736366599</v>
      </c>
      <c r="U5" s="22">
        <f>M5</f>
        <v>1.6E-2</v>
      </c>
      <c r="V5" s="31">
        <v>34.439235574735982</v>
      </c>
      <c r="W5" s="22">
        <v>2.2825146358462053E-2</v>
      </c>
      <c r="X5" s="54">
        <v>0.82375995473423702</v>
      </c>
      <c r="Y5" s="56">
        <v>0.59555557250976499</v>
      </c>
    </row>
    <row r="6" spans="1:25" x14ac:dyDescent="0.3">
      <c r="A6" s="5">
        <v>4</v>
      </c>
      <c r="B6" s="5" t="s">
        <v>57</v>
      </c>
      <c r="C6">
        <v>1</v>
      </c>
      <c r="D6">
        <v>2.5000000000000001E-3</v>
      </c>
      <c r="E6">
        <v>1</v>
      </c>
      <c r="F6">
        <v>1</v>
      </c>
      <c r="G6">
        <v>0.5</v>
      </c>
      <c r="H6" s="32">
        <v>896.23824732078901</v>
      </c>
      <c r="I6">
        <v>7.54</v>
      </c>
      <c r="J6" s="30">
        <v>40.553338784952601</v>
      </c>
      <c r="K6" s="36">
        <v>40.553338784952601</v>
      </c>
      <c r="L6" s="5">
        <v>40</v>
      </c>
      <c r="M6">
        <v>1.6E-2</v>
      </c>
      <c r="N6">
        <v>3</v>
      </c>
      <c r="O6">
        <f>L6</f>
        <v>40</v>
      </c>
      <c r="P6">
        <f>M6</f>
        <v>1.6E-2</v>
      </c>
      <c r="Q6">
        <v>1.5</v>
      </c>
      <c r="R6" s="43" t="s">
        <v>28</v>
      </c>
      <c r="S6" s="35" t="s">
        <v>28</v>
      </c>
      <c r="T6" s="37">
        <v>28.6159413686424</v>
      </c>
      <c r="U6" s="22">
        <f>M6</f>
        <v>1.6E-2</v>
      </c>
      <c r="V6" s="31">
        <v>38.908236492576314</v>
      </c>
      <c r="W6" s="22">
        <v>2.5594375419793675E-2</v>
      </c>
      <c r="X6" s="54">
        <v>0.831471797498194</v>
      </c>
      <c r="Y6" s="56">
        <v>0.60799997965494801</v>
      </c>
    </row>
    <row r="7" spans="1:25" x14ac:dyDescent="0.3">
      <c r="A7" s="5">
        <v>5</v>
      </c>
      <c r="B7" s="5" t="s">
        <v>57</v>
      </c>
      <c r="C7">
        <v>1</v>
      </c>
      <c r="D7">
        <v>2.5000000000000001E-3</v>
      </c>
      <c r="E7">
        <v>1</v>
      </c>
      <c r="F7">
        <v>1</v>
      </c>
      <c r="G7">
        <v>0.5</v>
      </c>
      <c r="H7" s="32">
        <v>879.29615296915597</v>
      </c>
      <c r="I7">
        <v>7.54</v>
      </c>
      <c r="J7" s="30">
        <v>40.915089694990002</v>
      </c>
      <c r="K7" s="36">
        <v>40.915089694990002</v>
      </c>
      <c r="L7" s="5">
        <v>45</v>
      </c>
      <c r="M7">
        <v>1.6E-2</v>
      </c>
      <c r="N7">
        <v>3</v>
      </c>
      <c r="O7">
        <f>L7</f>
        <v>45</v>
      </c>
      <c r="P7">
        <f>M7</f>
        <v>1.6E-2</v>
      </c>
      <c r="Q7">
        <v>1.5</v>
      </c>
      <c r="R7" s="43" t="s">
        <v>28</v>
      </c>
      <c r="S7" s="35" t="s">
        <v>28</v>
      </c>
      <c r="T7" s="37">
        <v>30.314979781561998</v>
      </c>
      <c r="U7" s="22">
        <f>M7</f>
        <v>1.6E-2</v>
      </c>
      <c r="V7" s="31">
        <v>43.292093097459365</v>
      </c>
      <c r="W7" s="22">
        <v>2.845820499825048E-2</v>
      </c>
      <c r="X7" s="54">
        <v>0.83871413041469101</v>
      </c>
      <c r="Y7" s="56">
        <v>0.61866668701171801</v>
      </c>
    </row>
    <row r="8" spans="1:25" x14ac:dyDescent="0.3">
      <c r="A8" s="5">
        <v>6</v>
      </c>
      <c r="B8" s="5" t="s">
        <v>59</v>
      </c>
      <c r="C8">
        <v>1</v>
      </c>
      <c r="D8">
        <v>2.5000000000000001E-3</v>
      </c>
      <c r="E8">
        <v>1</v>
      </c>
      <c r="F8">
        <v>1</v>
      </c>
      <c r="G8">
        <v>0.5</v>
      </c>
      <c r="H8" s="32">
        <v>952.87287207230997</v>
      </c>
      <c r="I8">
        <v>7.54</v>
      </c>
      <c r="J8" s="30">
        <v>39.411371951360302</v>
      </c>
      <c r="K8" s="36">
        <v>39.411371951360302</v>
      </c>
      <c r="L8" s="5">
        <v>25</v>
      </c>
      <c r="M8">
        <v>1.6E-2</v>
      </c>
      <c r="N8">
        <v>3</v>
      </c>
      <c r="O8" s="31">
        <f>T8</f>
        <v>22.635399291263099</v>
      </c>
      <c r="P8">
        <f>M8</f>
        <v>1.6E-2</v>
      </c>
      <c r="Q8">
        <v>1.5</v>
      </c>
      <c r="R8" s="43" t="s">
        <v>28</v>
      </c>
      <c r="S8" s="35" t="s">
        <v>28</v>
      </c>
      <c r="T8" s="37">
        <v>22.635399291263099</v>
      </c>
      <c r="U8" s="22">
        <f>M8</f>
        <v>1.6E-2</v>
      </c>
      <c r="V8" s="31">
        <v>22.801131246412261</v>
      </c>
      <c r="W8" s="22">
        <v>1.7856190467074016E-2</v>
      </c>
      <c r="X8" s="54">
        <v>0.90753381663071397</v>
      </c>
      <c r="Y8" s="56">
        <v>0.63466664632161396</v>
      </c>
    </row>
    <row r="9" spans="1:25" x14ac:dyDescent="0.3">
      <c r="A9" s="5">
        <v>7</v>
      </c>
      <c r="B9" s="5" t="s">
        <v>59</v>
      </c>
      <c r="C9">
        <v>1</v>
      </c>
      <c r="D9">
        <v>2.5000000000000001E-3</v>
      </c>
      <c r="E9">
        <v>1</v>
      </c>
      <c r="F9">
        <v>1</v>
      </c>
      <c r="G9">
        <v>0.5</v>
      </c>
      <c r="H9" s="32">
        <v>934.04339532303698</v>
      </c>
      <c r="I9">
        <v>7.54</v>
      </c>
      <c r="J9" s="30">
        <v>39.780090850407802</v>
      </c>
      <c r="K9" s="36">
        <v>39.780090850407802</v>
      </c>
      <c r="L9" s="5">
        <v>30</v>
      </c>
      <c r="M9">
        <v>1.6E-2</v>
      </c>
      <c r="N9">
        <v>3</v>
      </c>
      <c r="O9" s="31">
        <f>T9</f>
        <v>24.38188526547</v>
      </c>
      <c r="P9">
        <f>M9</f>
        <v>1.6E-2</v>
      </c>
      <c r="Q9">
        <v>1.5</v>
      </c>
      <c r="R9" s="43" t="s">
        <v>28</v>
      </c>
      <c r="S9" s="35" t="s">
        <v>28</v>
      </c>
      <c r="T9" s="37">
        <v>24.38188526547</v>
      </c>
      <c r="U9" s="22">
        <f>M9</f>
        <v>1.6E-2</v>
      </c>
      <c r="V9" s="31">
        <v>24.760444453115436</v>
      </c>
      <c r="W9" s="22">
        <v>2.0410169960040799E-2</v>
      </c>
      <c r="X9" s="54">
        <v>0.89405864287426795</v>
      </c>
      <c r="Y9" s="56">
        <v>0.64355555216471305</v>
      </c>
    </row>
    <row r="10" spans="1:25" x14ac:dyDescent="0.3">
      <c r="A10" s="5">
        <v>8</v>
      </c>
      <c r="B10" s="5" t="s">
        <v>59</v>
      </c>
      <c r="C10">
        <v>1</v>
      </c>
      <c r="D10">
        <v>2.5000000000000001E-3</v>
      </c>
      <c r="E10">
        <v>1</v>
      </c>
      <c r="F10">
        <v>1</v>
      </c>
      <c r="G10">
        <v>0.5</v>
      </c>
      <c r="H10" s="32">
        <v>916.15829172068595</v>
      </c>
      <c r="I10">
        <v>7.54</v>
      </c>
      <c r="J10" s="30">
        <v>40.140245290164202</v>
      </c>
      <c r="K10" s="36">
        <v>40.140245290164202</v>
      </c>
      <c r="L10" s="5">
        <v>35</v>
      </c>
      <c r="M10">
        <v>1.6E-2</v>
      </c>
      <c r="N10">
        <v>3</v>
      </c>
      <c r="O10" s="31">
        <f>T10</f>
        <v>25.997199897745801</v>
      </c>
      <c r="P10">
        <f>M10</f>
        <v>1.6E-2</v>
      </c>
      <c r="Q10">
        <v>1.5</v>
      </c>
      <c r="R10" s="43" t="s">
        <v>28</v>
      </c>
      <c r="S10" s="35" t="s">
        <v>28</v>
      </c>
      <c r="T10" s="37">
        <v>25.997199897745801</v>
      </c>
      <c r="U10" s="22">
        <f>M10</f>
        <v>1.6E-2</v>
      </c>
      <c r="V10" s="31">
        <v>26.459068962060176</v>
      </c>
      <c r="W10" s="22">
        <v>2.3117272733949701E-2</v>
      </c>
      <c r="X10" s="54">
        <v>0.90412677958635801</v>
      </c>
      <c r="Y10" s="56">
        <v>0.65599995930989596</v>
      </c>
    </row>
    <row r="11" spans="1:25" x14ac:dyDescent="0.3">
      <c r="A11" s="5">
        <v>9</v>
      </c>
      <c r="B11" s="5" t="s">
        <v>59</v>
      </c>
      <c r="C11">
        <v>1</v>
      </c>
      <c r="D11">
        <v>2.5000000000000001E-3</v>
      </c>
      <c r="E11">
        <v>1</v>
      </c>
      <c r="F11">
        <v>1</v>
      </c>
      <c r="G11">
        <v>0.5</v>
      </c>
      <c r="H11" s="32">
        <v>899.08288911576597</v>
      </c>
      <c r="I11">
        <v>7.54</v>
      </c>
      <c r="J11" s="30">
        <v>40.493552252941697</v>
      </c>
      <c r="K11" s="36">
        <v>40.493552252941697</v>
      </c>
      <c r="L11" s="5">
        <v>40</v>
      </c>
      <c r="M11">
        <v>1.6E-2</v>
      </c>
      <c r="N11">
        <v>3</v>
      </c>
      <c r="O11" s="31">
        <f>T11</f>
        <v>27.511238310665298</v>
      </c>
      <c r="P11">
        <f>M11</f>
        <v>1.6E-2</v>
      </c>
      <c r="Q11">
        <v>1.5</v>
      </c>
      <c r="R11" s="43" t="s">
        <v>28</v>
      </c>
      <c r="S11" s="35" t="s">
        <v>28</v>
      </c>
      <c r="T11" s="37">
        <v>27.511238310665298</v>
      </c>
      <c r="U11" s="22">
        <f>M11</f>
        <v>1.6E-2</v>
      </c>
      <c r="V11" s="31">
        <v>27.975375677926753</v>
      </c>
      <c r="W11" s="22">
        <v>2.5934019870916085E-2</v>
      </c>
      <c r="X11" s="54">
        <v>0.91170153234451201</v>
      </c>
      <c r="Y11" s="56">
        <v>0.66666666666666596</v>
      </c>
    </row>
    <row r="12" spans="1:25" x14ac:dyDescent="0.3">
      <c r="A12" s="5">
        <v>10</v>
      </c>
      <c r="B12" s="5" t="s">
        <v>59</v>
      </c>
      <c r="C12">
        <v>1</v>
      </c>
      <c r="D12">
        <v>2.5000000000000001E-3</v>
      </c>
      <c r="E12">
        <v>1</v>
      </c>
      <c r="F12">
        <v>1</v>
      </c>
      <c r="G12">
        <v>0.5</v>
      </c>
      <c r="H12" s="32">
        <v>882.55514028856601</v>
      </c>
      <c r="I12">
        <v>7.54</v>
      </c>
      <c r="J12" s="30">
        <v>40.844736937382798</v>
      </c>
      <c r="K12" s="36">
        <v>40.844736937382798</v>
      </c>
      <c r="L12" s="5">
        <v>45</v>
      </c>
      <c r="M12">
        <v>1.6E-2</v>
      </c>
      <c r="N12">
        <v>3</v>
      </c>
      <c r="O12" s="31">
        <f>T12</f>
        <v>29.010171846159601</v>
      </c>
      <c r="P12">
        <f>M12</f>
        <v>1.6E-2</v>
      </c>
      <c r="Q12">
        <v>1.5</v>
      </c>
      <c r="R12" s="43" t="s">
        <v>28</v>
      </c>
      <c r="S12" s="35" t="s">
        <v>28</v>
      </c>
      <c r="T12" s="37">
        <v>29.010171846159601</v>
      </c>
      <c r="U12" s="22">
        <f>M12</f>
        <v>1.6E-2</v>
      </c>
      <c r="V12" s="31">
        <v>29.245960686172268</v>
      </c>
      <c r="W12" s="22">
        <v>2.8852516688271775E-2</v>
      </c>
      <c r="X12" s="54">
        <v>0.91288612834252103</v>
      </c>
      <c r="Y12" s="56">
        <v>0.67377772013346304</v>
      </c>
    </row>
    <row r="13" spans="1:25" x14ac:dyDescent="0.3">
      <c r="A13" s="5">
        <v>11</v>
      </c>
      <c r="B13" s="5" t="s">
        <v>60</v>
      </c>
      <c r="C13">
        <v>1</v>
      </c>
      <c r="D13">
        <v>2.5000000000000001E-3</v>
      </c>
      <c r="E13">
        <v>1</v>
      </c>
      <c r="F13">
        <v>1</v>
      </c>
      <c r="G13">
        <v>0.5</v>
      </c>
      <c r="H13" s="32">
        <v>953.11585523817405</v>
      </c>
      <c r="I13">
        <v>7.54</v>
      </c>
      <c r="J13" s="30">
        <v>39.406681732462197</v>
      </c>
      <c r="K13" s="36">
        <v>39.406681732462197</v>
      </c>
      <c r="L13" s="5">
        <v>25</v>
      </c>
      <c r="M13">
        <v>1.6E-2</v>
      </c>
      <c r="N13">
        <v>3</v>
      </c>
      <c r="O13" s="31">
        <f>T13</f>
        <v>22.5497523364584</v>
      </c>
      <c r="P13">
        <f>M13</f>
        <v>1.6E-2</v>
      </c>
      <c r="Q13">
        <v>1.5</v>
      </c>
      <c r="R13" s="43" t="s">
        <v>28</v>
      </c>
      <c r="S13" s="35" t="s">
        <v>28</v>
      </c>
      <c r="T13" s="37">
        <v>22.5497523364584</v>
      </c>
      <c r="U13" s="22">
        <f>M13</f>
        <v>1.6E-2</v>
      </c>
      <c r="V13" s="31">
        <v>22.888998423356242</v>
      </c>
      <c r="W13" s="22">
        <v>1.7855170700801039E-2</v>
      </c>
      <c r="X13" s="54">
        <v>0.94534772565699399</v>
      </c>
      <c r="Y13" s="56">
        <v>0.65777776082356698</v>
      </c>
    </row>
    <row r="14" spans="1:25" x14ac:dyDescent="0.3">
      <c r="A14" s="5">
        <v>12</v>
      </c>
      <c r="B14" s="5" t="s">
        <v>60</v>
      </c>
      <c r="C14">
        <v>1</v>
      </c>
      <c r="D14">
        <v>2.5000000000000001E-3</v>
      </c>
      <c r="E14">
        <v>1</v>
      </c>
      <c r="F14">
        <v>1</v>
      </c>
      <c r="G14">
        <v>0.5</v>
      </c>
      <c r="H14" s="32">
        <v>934.66662749318903</v>
      </c>
      <c r="I14">
        <v>7.54</v>
      </c>
      <c r="J14" s="30">
        <v>39.767717887410498</v>
      </c>
      <c r="K14" s="36">
        <v>39.767717887410498</v>
      </c>
      <c r="L14" s="5">
        <v>30</v>
      </c>
      <c r="M14">
        <v>1.6E-2</v>
      </c>
      <c r="N14">
        <v>3</v>
      </c>
      <c r="O14" s="31">
        <f>T14</f>
        <v>24.1550669687343</v>
      </c>
      <c r="P14">
        <f>M14</f>
        <v>1.6E-2</v>
      </c>
      <c r="Q14">
        <v>1.5</v>
      </c>
      <c r="R14" s="43" t="s">
        <v>28</v>
      </c>
      <c r="S14" s="35" t="s">
        <v>28</v>
      </c>
      <c r="T14" s="37">
        <v>24.1550669687343</v>
      </c>
      <c r="U14" s="22">
        <f>M14</f>
        <v>1.6E-2</v>
      </c>
      <c r="V14" s="31">
        <v>24.918447451803534</v>
      </c>
      <c r="W14" s="22">
        <v>2.0437620139818025E-2</v>
      </c>
      <c r="X14" s="54">
        <v>0.92598930869120599</v>
      </c>
      <c r="Y14" s="56">
        <v>0.67022221883138</v>
      </c>
    </row>
    <row r="15" spans="1:25" x14ac:dyDescent="0.3">
      <c r="A15" s="5">
        <v>13</v>
      </c>
      <c r="B15" s="5" t="s">
        <v>60</v>
      </c>
      <c r="C15">
        <v>1</v>
      </c>
      <c r="D15">
        <v>2.5000000000000001E-3</v>
      </c>
      <c r="E15">
        <v>1</v>
      </c>
      <c r="F15">
        <v>1</v>
      </c>
      <c r="G15">
        <v>0.5</v>
      </c>
      <c r="H15" s="32">
        <v>917.25515327793698</v>
      </c>
      <c r="I15">
        <v>7.54</v>
      </c>
      <c r="J15" s="30">
        <v>40.1178705723513</v>
      </c>
      <c r="K15" s="36">
        <v>40.1178705723513</v>
      </c>
      <c r="L15" s="5">
        <v>35</v>
      </c>
      <c r="M15">
        <v>1.6E-2</v>
      </c>
      <c r="N15">
        <v>3</v>
      </c>
      <c r="O15" s="31">
        <f>T15</f>
        <v>25.585486478435399</v>
      </c>
      <c r="P15">
        <f>M15</f>
        <v>1.6E-2</v>
      </c>
      <c r="Q15">
        <v>1.5</v>
      </c>
      <c r="R15" s="43" t="s">
        <v>28</v>
      </c>
      <c r="S15" s="35" t="s">
        <v>28</v>
      </c>
      <c r="T15" s="37">
        <v>25.585486478435399</v>
      </c>
      <c r="U15" s="22">
        <f>M15</f>
        <v>1.6E-2</v>
      </c>
      <c r="V15" s="31">
        <v>26.679777142812387</v>
      </c>
      <c r="W15" s="22">
        <v>2.3193627578560701E-2</v>
      </c>
      <c r="X15" s="54">
        <v>0.94431019201241795</v>
      </c>
      <c r="Y15" s="56">
        <v>0.68622222900390595</v>
      </c>
    </row>
    <row r="16" spans="1:25" x14ac:dyDescent="0.3">
      <c r="A16" s="5">
        <v>14</v>
      </c>
      <c r="B16" s="5" t="s">
        <v>60</v>
      </c>
      <c r="C16">
        <v>1</v>
      </c>
      <c r="D16">
        <v>2.5000000000000001E-3</v>
      </c>
      <c r="E16">
        <v>1</v>
      </c>
      <c r="F16">
        <v>1</v>
      </c>
      <c r="G16">
        <v>0.5</v>
      </c>
      <c r="H16" s="32">
        <v>900.34110747893999</v>
      </c>
      <c r="I16">
        <v>7.54</v>
      </c>
      <c r="J16" s="30">
        <v>40.467193712951698</v>
      </c>
      <c r="K16" s="36">
        <v>40.467193712951698</v>
      </c>
      <c r="L16" s="5">
        <v>40</v>
      </c>
      <c r="M16">
        <v>1.6E-2</v>
      </c>
      <c r="N16">
        <v>3</v>
      </c>
      <c r="O16" s="31">
        <f>T16</f>
        <v>27.0244200139296</v>
      </c>
      <c r="P16">
        <f>M16</f>
        <v>1.6E-2</v>
      </c>
      <c r="Q16">
        <v>1.5</v>
      </c>
      <c r="R16" s="43" t="s">
        <v>28</v>
      </c>
      <c r="S16" s="35" t="s">
        <v>28</v>
      </c>
      <c r="T16" s="37">
        <v>27.0244200139296</v>
      </c>
      <c r="U16" s="22">
        <f>M16</f>
        <v>1.6E-2</v>
      </c>
      <c r="V16" s="31">
        <v>28.325490216398936</v>
      </c>
      <c r="W16" s="22">
        <v>2.5986925088425605E-2</v>
      </c>
      <c r="X16" s="54">
        <v>0.94816959363829201</v>
      </c>
      <c r="Y16" s="56">
        <v>0.69333333333333302</v>
      </c>
    </row>
    <row r="17" spans="1:25" x14ac:dyDescent="0.3">
      <c r="A17" s="5">
        <v>15</v>
      </c>
      <c r="B17" s="5" t="s">
        <v>60</v>
      </c>
      <c r="C17">
        <v>1</v>
      </c>
      <c r="D17">
        <v>2.5000000000000001E-3</v>
      </c>
      <c r="E17">
        <v>1</v>
      </c>
      <c r="F17">
        <v>1</v>
      </c>
      <c r="G17">
        <v>0.5</v>
      </c>
      <c r="H17" s="32">
        <v>884.22178881498803</v>
      </c>
      <c r="I17">
        <v>7.54</v>
      </c>
      <c r="J17" s="30">
        <v>40.808901082821599</v>
      </c>
      <c r="K17" s="36">
        <v>40.808901082821599</v>
      </c>
      <c r="L17" s="5">
        <v>45</v>
      </c>
      <c r="M17">
        <v>1.6E-2</v>
      </c>
      <c r="N17">
        <v>3</v>
      </c>
      <c r="O17" s="31">
        <f>T17</f>
        <v>28.345905988136501</v>
      </c>
      <c r="P17">
        <f>M17</f>
        <v>1.6E-2</v>
      </c>
      <c r="Q17">
        <v>1.5</v>
      </c>
      <c r="R17" s="43" t="s">
        <v>28</v>
      </c>
      <c r="S17" s="35" t="s">
        <v>28</v>
      </c>
      <c r="T17" s="37">
        <v>28.345905988136501</v>
      </c>
      <c r="U17" s="22">
        <f>M17</f>
        <v>1.6E-2</v>
      </c>
      <c r="V17" s="31">
        <v>29.810390815948224</v>
      </c>
      <c r="W17" s="22">
        <v>2.8887754947271985E-2</v>
      </c>
      <c r="X17" s="54">
        <v>0.95282489645750601</v>
      </c>
      <c r="Y17" s="56">
        <v>0.70222223917643201</v>
      </c>
    </row>
    <row r="18" spans="1:25" x14ac:dyDescent="0.3">
      <c r="A18" s="5">
        <f>A17+1</f>
        <v>16</v>
      </c>
      <c r="B18" s="5" t="s">
        <v>61</v>
      </c>
      <c r="C18">
        <v>1</v>
      </c>
      <c r="D18">
        <v>2.5000000000000001E-3</v>
      </c>
      <c r="E18">
        <v>1</v>
      </c>
      <c r="F18">
        <v>1</v>
      </c>
      <c r="G18">
        <v>0.5</v>
      </c>
      <c r="H18" s="32">
        <v>953.38008119164704</v>
      </c>
      <c r="I18">
        <v>7.54</v>
      </c>
      <c r="J18" s="30">
        <v>39.401583402406601</v>
      </c>
      <c r="K18" s="36">
        <v>39.401583402406601</v>
      </c>
      <c r="L18" s="5">
        <v>25</v>
      </c>
      <c r="M18">
        <v>1.6E-2</v>
      </c>
      <c r="N18">
        <v>3</v>
      </c>
      <c r="O18">
        <f>L18</f>
        <v>25</v>
      </c>
      <c r="P18">
        <f>M18</f>
        <v>1.6E-2</v>
      </c>
      <c r="Q18">
        <v>1.5</v>
      </c>
      <c r="R18" s="43" t="s">
        <v>28</v>
      </c>
      <c r="S18" s="35" t="s">
        <v>28</v>
      </c>
      <c r="T18" s="31">
        <v>22.456657820366399</v>
      </c>
      <c r="U18" s="22">
        <f>M18</f>
        <v>1.6E-2</v>
      </c>
      <c r="V18" s="31">
        <v>25.256870702552117</v>
      </c>
      <c r="W18" s="22">
        <v>1.7961078418687663E-2</v>
      </c>
      <c r="X18" s="54">
        <v>0.94534772565699399</v>
      </c>
      <c r="Y18" s="56">
        <v>0.68266662597656202</v>
      </c>
    </row>
    <row r="19" spans="1:25" x14ac:dyDescent="0.3">
      <c r="A19" s="5">
        <f>A18+1</f>
        <v>17</v>
      </c>
      <c r="B19" s="5" t="s">
        <v>61</v>
      </c>
      <c r="C19">
        <v>1</v>
      </c>
      <c r="D19">
        <v>2.5000000000000001E-3</v>
      </c>
      <c r="E19">
        <v>1</v>
      </c>
      <c r="F19">
        <v>1</v>
      </c>
      <c r="G19">
        <v>0.5</v>
      </c>
      <c r="H19" s="32">
        <v>935.38657887658906</v>
      </c>
      <c r="I19">
        <v>7.54</v>
      </c>
      <c r="J19" s="30">
        <v>39.753439372443196</v>
      </c>
      <c r="K19" s="36">
        <v>39.753439372443196</v>
      </c>
      <c r="L19" s="5">
        <v>30</v>
      </c>
      <c r="M19">
        <v>1.6E-2</v>
      </c>
      <c r="N19">
        <v>3</v>
      </c>
      <c r="O19">
        <f>L19</f>
        <v>30</v>
      </c>
      <c r="P19">
        <f>M19</f>
        <v>1.6E-2</v>
      </c>
      <c r="Q19">
        <v>1.5</v>
      </c>
      <c r="R19" s="43" t="s">
        <v>28</v>
      </c>
      <c r="S19" s="35" t="s">
        <v>28</v>
      </c>
      <c r="T19" s="31">
        <v>23.8933535494239</v>
      </c>
      <c r="U19" s="22">
        <f>M19</f>
        <v>1.6E-2</v>
      </c>
      <c r="V19" s="31">
        <v>30.489294278240809</v>
      </c>
      <c r="W19" s="22">
        <v>2.074263277930526E-2</v>
      </c>
      <c r="X19" s="54">
        <v>0.97388530741661405</v>
      </c>
      <c r="Y19" s="56">
        <v>0.70044438680012999</v>
      </c>
    </row>
    <row r="20" spans="1:25" x14ac:dyDescent="0.3">
      <c r="A20" s="5">
        <f>A19+1</f>
        <v>18</v>
      </c>
      <c r="B20" s="5" t="s">
        <v>61</v>
      </c>
      <c r="C20">
        <v>1</v>
      </c>
      <c r="D20">
        <v>2.5000000000000001E-3</v>
      </c>
      <c r="E20">
        <v>1</v>
      </c>
      <c r="F20">
        <v>1</v>
      </c>
      <c r="G20">
        <v>0.5</v>
      </c>
      <c r="H20" s="32">
        <v>918.06087122050803</v>
      </c>
      <c r="I20">
        <v>7.54</v>
      </c>
      <c r="J20" s="30">
        <v>40.101459083786501</v>
      </c>
      <c r="K20" s="36">
        <v>40.101459083786501</v>
      </c>
      <c r="L20" s="5">
        <v>35</v>
      </c>
      <c r="M20">
        <v>1.6E-2</v>
      </c>
      <c r="N20">
        <v>3</v>
      </c>
      <c r="O20">
        <f>L20</f>
        <v>35</v>
      </c>
      <c r="P20">
        <f>M20</f>
        <v>1.6E-2</v>
      </c>
      <c r="Q20">
        <v>1.5</v>
      </c>
      <c r="R20" s="43" t="s">
        <v>28</v>
      </c>
      <c r="S20" s="35" t="s">
        <v>28</v>
      </c>
      <c r="T20" s="31">
        <v>25.283563304274399</v>
      </c>
      <c r="U20" s="22">
        <f>M20</f>
        <v>1.6E-2</v>
      </c>
      <c r="V20" s="31">
        <v>35.526971588790623</v>
      </c>
      <c r="W20" s="22">
        <v>2.3620549946166434E-2</v>
      </c>
      <c r="X20" s="54">
        <v>0.97444775133196304</v>
      </c>
      <c r="Y20" s="56">
        <v>0.70755554199218695</v>
      </c>
    </row>
    <row r="21" spans="1:25" x14ac:dyDescent="0.3">
      <c r="A21" s="5">
        <f>A20+1</f>
        <v>19</v>
      </c>
      <c r="B21" s="5" t="s">
        <v>61</v>
      </c>
      <c r="C21">
        <v>1</v>
      </c>
      <c r="D21">
        <v>2.5000000000000001E-3</v>
      </c>
      <c r="E21">
        <v>1</v>
      </c>
      <c r="F21">
        <v>1</v>
      </c>
      <c r="G21">
        <v>0.5</v>
      </c>
      <c r="H21" s="32">
        <v>901.65074158889797</v>
      </c>
      <c r="I21">
        <v>7.54</v>
      </c>
      <c r="J21" s="30">
        <v>40.439813646471997</v>
      </c>
      <c r="K21" s="36">
        <v>40.439813646471997</v>
      </c>
      <c r="L21" s="5">
        <v>40</v>
      </c>
      <c r="M21">
        <v>1.6E-2</v>
      </c>
      <c r="N21">
        <v>3</v>
      </c>
      <c r="O21">
        <f>L21</f>
        <v>40</v>
      </c>
      <c r="P21">
        <f>M21</f>
        <v>1.6E-2</v>
      </c>
      <c r="Q21">
        <v>1.5</v>
      </c>
      <c r="R21" s="43" t="s">
        <v>28</v>
      </c>
      <c r="S21" s="35" t="s">
        <v>28</v>
      </c>
      <c r="T21" s="31">
        <v>26.5188779365503</v>
      </c>
      <c r="U21" s="22">
        <f>M21</f>
        <v>1.6E-2</v>
      </c>
      <c r="V21" s="31">
        <v>40.269004886296202</v>
      </c>
      <c r="W21" s="22">
        <v>2.6723379770703971E-2</v>
      </c>
      <c r="X21" s="54">
        <v>0.984637654932072</v>
      </c>
      <c r="Y21" s="56">
        <v>0.72</v>
      </c>
    </row>
    <row r="22" spans="1:25" x14ac:dyDescent="0.3">
      <c r="A22" s="5">
        <f>A21+1</f>
        <v>20</v>
      </c>
      <c r="B22" s="5" t="s">
        <v>61</v>
      </c>
      <c r="C22">
        <v>1</v>
      </c>
      <c r="D22">
        <v>2.5000000000000001E-3</v>
      </c>
      <c r="E22">
        <v>1</v>
      </c>
      <c r="F22">
        <v>1</v>
      </c>
      <c r="G22">
        <v>0.5</v>
      </c>
      <c r="H22" s="32">
        <v>885.53488016585402</v>
      </c>
      <c r="I22">
        <v>7.54</v>
      </c>
      <c r="J22" s="30">
        <v>40.780734904004497</v>
      </c>
      <c r="K22" s="36">
        <v>40.780734904004497</v>
      </c>
      <c r="L22" s="5">
        <v>45</v>
      </c>
      <c r="M22">
        <v>1.6E-2</v>
      </c>
      <c r="N22">
        <v>3</v>
      </c>
      <c r="O22">
        <f>L22</f>
        <v>45</v>
      </c>
      <c r="P22">
        <f>M22</f>
        <v>1.6E-2</v>
      </c>
      <c r="Q22">
        <v>1.5</v>
      </c>
      <c r="R22" s="43" t="s">
        <v>28</v>
      </c>
      <c r="S22" s="35" t="s">
        <v>28</v>
      </c>
      <c r="T22" s="31">
        <v>27.823982813975501</v>
      </c>
      <c r="U22" s="22">
        <f>M22</f>
        <v>1.6E-2</v>
      </c>
      <c r="V22" s="31">
        <v>44.931892263885551</v>
      </c>
      <c r="W22" s="22">
        <v>2.9782044960956312E-2</v>
      </c>
      <c r="X22" s="54">
        <v>0.98135258796821001</v>
      </c>
      <c r="Y22" s="56">
        <v>0.72355555216471301</v>
      </c>
    </row>
    <row r="23" spans="1:25" x14ac:dyDescent="0.3">
      <c r="A23" s="5">
        <f>A22+1</f>
        <v>21</v>
      </c>
      <c r="B23" s="5" t="s">
        <v>62</v>
      </c>
      <c r="C23">
        <v>1</v>
      </c>
      <c r="D23">
        <v>2.5000000000000001E-3</v>
      </c>
      <c r="E23">
        <v>1</v>
      </c>
      <c r="F23">
        <v>1</v>
      </c>
      <c r="G23">
        <v>0.5</v>
      </c>
      <c r="H23" s="32">
        <v>953.11585523817405</v>
      </c>
      <c r="I23">
        <v>7.54</v>
      </c>
      <c r="J23" s="30">
        <v>39.406681732462197</v>
      </c>
      <c r="K23" s="36">
        <v>39.406681732462197</v>
      </c>
      <c r="L23" s="5">
        <v>25</v>
      </c>
      <c r="M23">
        <v>1.6E-2</v>
      </c>
      <c r="N23">
        <v>3</v>
      </c>
      <c r="O23">
        <f>L23</f>
        <v>25</v>
      </c>
      <c r="P23">
        <f>M23</f>
        <v>1.6E-2</v>
      </c>
      <c r="Q23">
        <v>1.5</v>
      </c>
      <c r="R23" s="43" t="s">
        <v>28</v>
      </c>
      <c r="S23" s="35" t="s">
        <v>28</v>
      </c>
      <c r="T23" s="31">
        <v>22.5497523364584</v>
      </c>
      <c r="U23" s="22">
        <f>M23</f>
        <v>1.6E-2</v>
      </c>
      <c r="V23" s="31">
        <v>25.105109310030489</v>
      </c>
      <c r="W23" s="22">
        <v>1.7947310740443669E-2</v>
      </c>
      <c r="X23" s="54">
        <v>0.94534772565699399</v>
      </c>
      <c r="Y23" s="56">
        <v>0.65777776082356698</v>
      </c>
    </row>
    <row r="24" spans="1:25" x14ac:dyDescent="0.3">
      <c r="A24" s="5">
        <f>A23+1</f>
        <v>22</v>
      </c>
      <c r="B24" s="5" t="s">
        <v>62</v>
      </c>
      <c r="C24">
        <v>1</v>
      </c>
      <c r="D24">
        <v>2.5000000000000001E-3</v>
      </c>
      <c r="E24">
        <v>1</v>
      </c>
      <c r="F24">
        <v>1</v>
      </c>
      <c r="G24">
        <v>0.5</v>
      </c>
      <c r="H24" s="32">
        <v>934.66662749318903</v>
      </c>
      <c r="I24">
        <v>7.54</v>
      </c>
      <c r="J24" s="30">
        <v>39.767717887410498</v>
      </c>
      <c r="K24" s="36">
        <v>39.767717887410498</v>
      </c>
      <c r="L24" s="5">
        <v>30</v>
      </c>
      <c r="M24">
        <v>1.6E-2</v>
      </c>
      <c r="N24">
        <v>3</v>
      </c>
      <c r="O24">
        <f>L24</f>
        <v>30</v>
      </c>
      <c r="P24">
        <f>M24</f>
        <v>1.6E-2</v>
      </c>
      <c r="Q24">
        <v>1.5</v>
      </c>
      <c r="R24" s="43" t="s">
        <v>28</v>
      </c>
      <c r="S24" s="35" t="s">
        <v>28</v>
      </c>
      <c r="T24" s="31">
        <v>24.1550669687343</v>
      </c>
      <c r="U24" s="22">
        <f>M24</f>
        <v>1.6E-2</v>
      </c>
      <c r="V24" s="31">
        <v>30.159116675806398</v>
      </c>
      <c r="W24" s="22">
        <v>2.066555564334862E-2</v>
      </c>
      <c r="X24" s="54">
        <v>0.92598930869120599</v>
      </c>
      <c r="Y24" s="56">
        <v>0.67022221883138</v>
      </c>
    </row>
    <row r="25" spans="1:25" x14ac:dyDescent="0.3">
      <c r="A25" s="5">
        <f>A24+1</f>
        <v>23</v>
      </c>
      <c r="B25" s="5" t="s">
        <v>62</v>
      </c>
      <c r="C25">
        <v>1</v>
      </c>
      <c r="D25">
        <v>2.5000000000000001E-3</v>
      </c>
      <c r="E25">
        <v>1</v>
      </c>
      <c r="F25">
        <v>1</v>
      </c>
      <c r="G25">
        <v>0.5</v>
      </c>
      <c r="H25" s="32">
        <v>917.25515327793698</v>
      </c>
      <c r="I25">
        <v>7.54</v>
      </c>
      <c r="J25" s="30">
        <v>40.1178705723513</v>
      </c>
      <c r="K25" s="36">
        <v>40.1178705723513</v>
      </c>
      <c r="L25" s="5">
        <v>35</v>
      </c>
      <c r="M25">
        <v>1.6E-2</v>
      </c>
      <c r="N25">
        <v>3</v>
      </c>
      <c r="O25">
        <f>L25</f>
        <v>35</v>
      </c>
      <c r="P25">
        <f>M25</f>
        <v>1.6E-2</v>
      </c>
      <c r="Q25">
        <v>1.5</v>
      </c>
      <c r="R25" s="43" t="s">
        <v>28</v>
      </c>
      <c r="S25" s="35" t="s">
        <v>28</v>
      </c>
      <c r="T25" s="31">
        <v>25.585486478435399</v>
      </c>
      <c r="U25" s="22">
        <f>M25</f>
        <v>1.6E-2</v>
      </c>
      <c r="V25" s="31">
        <v>34.997196758235667</v>
      </c>
      <c r="W25" s="22">
        <v>2.3593547171384427E-2</v>
      </c>
      <c r="X25" s="54">
        <v>0.94431019201241795</v>
      </c>
      <c r="Y25" s="56">
        <v>0.68622222900390595</v>
      </c>
    </row>
    <row r="26" spans="1:25" x14ac:dyDescent="0.3">
      <c r="A26" s="5">
        <f>A25+1</f>
        <v>24</v>
      </c>
      <c r="B26" s="5" t="s">
        <v>62</v>
      </c>
      <c r="C26">
        <v>1</v>
      </c>
      <c r="D26">
        <v>2.5000000000000001E-3</v>
      </c>
      <c r="E26">
        <v>1</v>
      </c>
      <c r="F26">
        <v>1</v>
      </c>
      <c r="G26">
        <v>0.5</v>
      </c>
      <c r="H26" s="32">
        <v>900.34110747893999</v>
      </c>
      <c r="I26">
        <v>7.54</v>
      </c>
      <c r="J26" s="30">
        <v>40.467193712951698</v>
      </c>
      <c r="K26" s="36">
        <v>40.467193712951698</v>
      </c>
      <c r="L26" s="5">
        <v>40</v>
      </c>
      <c r="M26">
        <v>1.6E-2</v>
      </c>
      <c r="N26">
        <v>3</v>
      </c>
      <c r="O26">
        <f>L26</f>
        <v>40</v>
      </c>
      <c r="P26">
        <f>M26</f>
        <v>1.6E-2</v>
      </c>
      <c r="Q26">
        <v>1.5</v>
      </c>
      <c r="R26" s="43" t="s">
        <v>28</v>
      </c>
      <c r="S26" s="35" t="s">
        <v>28</v>
      </c>
      <c r="T26" s="31">
        <v>27.0244200139296</v>
      </c>
      <c r="U26" s="22">
        <f>M26</f>
        <v>1.6E-2</v>
      </c>
      <c r="V26" s="31">
        <v>39.640812683458371</v>
      </c>
      <c r="W26" s="22">
        <v>2.6574258441966092E-2</v>
      </c>
      <c r="X26" s="54">
        <v>0.94816959363829201</v>
      </c>
      <c r="Y26" s="56">
        <v>0.69333333333333302</v>
      </c>
    </row>
    <row r="27" spans="1:25" x14ac:dyDescent="0.3">
      <c r="A27" s="5">
        <f>A26+1</f>
        <v>25</v>
      </c>
      <c r="B27" s="5" t="s">
        <v>62</v>
      </c>
      <c r="C27">
        <v>1</v>
      </c>
      <c r="D27">
        <v>2.5000000000000001E-3</v>
      </c>
      <c r="E27">
        <v>1</v>
      </c>
      <c r="F27">
        <v>1</v>
      </c>
      <c r="G27">
        <v>0.5</v>
      </c>
      <c r="H27" s="32">
        <v>884.22178881498803</v>
      </c>
      <c r="I27">
        <v>7.54</v>
      </c>
      <c r="J27" s="30">
        <v>40.808901082821599</v>
      </c>
      <c r="K27" s="36">
        <v>40.808901082821599</v>
      </c>
      <c r="L27" s="5">
        <v>45</v>
      </c>
      <c r="M27">
        <v>1.6E-2</v>
      </c>
      <c r="N27">
        <v>3</v>
      </c>
      <c r="O27">
        <f>L27</f>
        <v>45</v>
      </c>
      <c r="P27">
        <f>M27</f>
        <v>1.6E-2</v>
      </c>
      <c r="Q27">
        <v>1.5</v>
      </c>
      <c r="R27" s="43" t="s">
        <v>28</v>
      </c>
      <c r="S27" s="35" t="s">
        <v>28</v>
      </c>
      <c r="T27" s="31">
        <v>28.345905988136501</v>
      </c>
      <c r="U27" s="22">
        <f>M27</f>
        <v>1.6E-2</v>
      </c>
      <c r="V27" s="31">
        <v>44.057188983901504</v>
      </c>
      <c r="W27" s="22">
        <v>2.9722777706974096E-2</v>
      </c>
      <c r="X27" s="54">
        <v>0.95282489645750601</v>
      </c>
      <c r="Y27" s="56">
        <v>0.70222223917643201</v>
      </c>
    </row>
    <row r="28" spans="1:25" x14ac:dyDescent="0.3">
      <c r="A28" s="5">
        <f>A27+1</f>
        <v>26</v>
      </c>
      <c r="B28" s="5" t="s">
        <v>57</v>
      </c>
      <c r="C28">
        <v>1</v>
      </c>
      <c r="D28">
        <v>2.5000000000000001E-3</v>
      </c>
      <c r="E28">
        <v>1</v>
      </c>
      <c r="F28">
        <v>1</v>
      </c>
      <c r="G28">
        <v>0.5</v>
      </c>
      <c r="H28" s="32">
        <v>938.54548293981998</v>
      </c>
      <c r="I28">
        <v>7.54</v>
      </c>
      <c r="J28" s="30">
        <v>39.922315604791798</v>
      </c>
      <c r="K28" s="36">
        <v>39.922315604791798</v>
      </c>
      <c r="L28" s="5">
        <v>35</v>
      </c>
      <c r="M28">
        <v>6.0000000000000001E-3</v>
      </c>
      <c r="N28">
        <v>3</v>
      </c>
      <c r="O28">
        <f>L28</f>
        <v>35</v>
      </c>
      <c r="P28">
        <f>M28</f>
        <v>6.0000000000000001E-3</v>
      </c>
      <c r="Q28">
        <v>1.5</v>
      </c>
      <c r="R28" s="43" t="s">
        <v>28</v>
      </c>
      <c r="S28" s="35" t="s">
        <v>28</v>
      </c>
      <c r="T28" s="31">
        <v>21.434174231171198</v>
      </c>
      <c r="U28" s="22">
        <f>M28</f>
        <v>6.0000000000000001E-3</v>
      </c>
      <c r="V28" s="31">
        <v>34.881066943463118</v>
      </c>
      <c r="W28" s="22">
        <v>1.679573841013703E-2</v>
      </c>
      <c r="X28" s="54">
        <v>0.80189712571657701</v>
      </c>
      <c r="Y28" s="56">
        <v>0.47533629847626802</v>
      </c>
    </row>
    <row r="29" spans="1:25" x14ac:dyDescent="0.3">
      <c r="A29" s="5">
        <f>A28+1</f>
        <v>27</v>
      </c>
      <c r="B29" s="5" t="s">
        <v>57</v>
      </c>
      <c r="C29">
        <v>1</v>
      </c>
      <c r="D29">
        <v>2.5000000000000001E-3</v>
      </c>
      <c r="E29">
        <v>1</v>
      </c>
      <c r="F29">
        <v>1</v>
      </c>
      <c r="G29">
        <v>0.5</v>
      </c>
      <c r="H29" s="32">
        <v>925.71750543112501</v>
      </c>
      <c r="I29">
        <v>7.54</v>
      </c>
      <c r="J29" s="30">
        <v>40.063058775474602</v>
      </c>
      <c r="K29" s="36">
        <v>40.063058775474602</v>
      </c>
      <c r="L29" s="5">
        <v>35</v>
      </c>
      <c r="M29">
        <v>1.0999999999999999E-2</v>
      </c>
      <c r="N29">
        <v>3</v>
      </c>
      <c r="O29">
        <f>L29</f>
        <v>35</v>
      </c>
      <c r="P29">
        <f>M29</f>
        <v>1.0999999999999999E-2</v>
      </c>
      <c r="Q29">
        <v>1.5</v>
      </c>
      <c r="R29" s="43" t="s">
        <v>28</v>
      </c>
      <c r="S29" s="35" t="s">
        <v>28</v>
      </c>
      <c r="T29" s="31">
        <v>24.276478913281199</v>
      </c>
      <c r="U29" s="22">
        <f>M29</f>
        <v>1.0999999999999999E-2</v>
      </c>
      <c r="V29" s="31">
        <v>34.562609349020107</v>
      </c>
      <c r="W29" s="22">
        <v>1.9749491684924181E-2</v>
      </c>
      <c r="X29" s="54">
        <v>0.81078540858524595</v>
      </c>
      <c r="Y29" s="56">
        <v>0.54798205518600795</v>
      </c>
    </row>
    <row r="30" spans="1:25" x14ac:dyDescent="0.3">
      <c r="A30" s="5">
        <f>A29+1</f>
        <v>28</v>
      </c>
      <c r="B30" s="5" t="s">
        <v>57</v>
      </c>
      <c r="C30">
        <v>1</v>
      </c>
      <c r="D30">
        <v>2.5000000000000001E-3</v>
      </c>
      <c r="E30">
        <v>1</v>
      </c>
      <c r="F30">
        <v>1</v>
      </c>
      <c r="G30">
        <v>0.5</v>
      </c>
      <c r="H30" s="32">
        <v>914.04370866246097</v>
      </c>
      <c r="I30">
        <v>7.54</v>
      </c>
      <c r="J30" s="30">
        <v>40.183488091444602</v>
      </c>
      <c r="K30" s="36">
        <v>40.183488091444602</v>
      </c>
      <c r="L30" s="5">
        <v>35</v>
      </c>
      <c r="M30">
        <v>1.6E-2</v>
      </c>
      <c r="N30">
        <v>3</v>
      </c>
      <c r="O30">
        <f>L30</f>
        <v>35</v>
      </c>
      <c r="P30">
        <f>M30</f>
        <v>1.6E-2</v>
      </c>
      <c r="Q30">
        <v>1.5</v>
      </c>
      <c r="R30" s="43" t="s">
        <v>28</v>
      </c>
      <c r="S30" s="35" t="s">
        <v>28</v>
      </c>
      <c r="T30" s="31">
        <v>26.793179175079299</v>
      </c>
      <c r="U30" s="22">
        <f>M30</f>
        <v>1.6E-2</v>
      </c>
      <c r="V30" s="31">
        <v>34.442276594536203</v>
      </c>
      <c r="W30" s="22">
        <v>2.2846048958183377E-2</v>
      </c>
      <c r="X30" s="54">
        <v>0.82375995473423702</v>
      </c>
      <c r="Y30" s="56">
        <v>0.59775784764869599</v>
      </c>
    </row>
    <row r="31" spans="1:25" x14ac:dyDescent="0.3">
      <c r="A31" s="5">
        <f>A30+1</f>
        <v>29</v>
      </c>
      <c r="B31" s="5" t="s">
        <v>57</v>
      </c>
      <c r="C31">
        <v>1</v>
      </c>
      <c r="D31">
        <v>2.5000000000000001E-3</v>
      </c>
      <c r="E31">
        <v>1</v>
      </c>
      <c r="F31">
        <v>1</v>
      </c>
      <c r="G31">
        <v>0.5</v>
      </c>
      <c r="H31" s="32">
        <v>903.205126150404</v>
      </c>
      <c r="I31">
        <v>7.54</v>
      </c>
      <c r="J31" s="30">
        <v>40.2895002817842</v>
      </c>
      <c r="K31" s="36">
        <v>40.2895002817842</v>
      </c>
      <c r="L31" s="5">
        <v>35</v>
      </c>
      <c r="M31">
        <v>2.1000000000000001E-2</v>
      </c>
      <c r="N31">
        <v>3</v>
      </c>
      <c r="O31">
        <f>L31</f>
        <v>35</v>
      </c>
      <c r="P31">
        <f>M31</f>
        <v>2.1000000000000001E-2</v>
      </c>
      <c r="Q31">
        <v>1.5</v>
      </c>
      <c r="R31" s="43" t="s">
        <v>28</v>
      </c>
      <c r="S31" s="35" t="s">
        <v>28</v>
      </c>
      <c r="T31" s="31">
        <v>29.083585798594601</v>
      </c>
      <c r="U31" s="22">
        <f>M31</f>
        <v>2.1000000000000001E-2</v>
      </c>
      <c r="V31" s="31">
        <v>34.446222240449963</v>
      </c>
      <c r="W31" s="22">
        <v>2.6040565992271954E-2</v>
      </c>
      <c r="X31" s="54">
        <v>0.82919199333148097</v>
      </c>
      <c r="Y31" s="56">
        <v>0.63273540380150795</v>
      </c>
    </row>
    <row r="32" spans="1:25" x14ac:dyDescent="0.3">
      <c r="A32" s="5">
        <f>A31+1</f>
        <v>30</v>
      </c>
      <c r="B32" s="5" t="s">
        <v>57</v>
      </c>
      <c r="C32">
        <v>1</v>
      </c>
      <c r="D32">
        <v>2.5000000000000001E-3</v>
      </c>
      <c r="E32">
        <v>1</v>
      </c>
      <c r="F32">
        <v>1</v>
      </c>
      <c r="G32">
        <v>0.5</v>
      </c>
      <c r="H32" s="32">
        <v>893.18327208555104</v>
      </c>
      <c r="I32">
        <v>7.54</v>
      </c>
      <c r="J32" s="30">
        <v>40.381026300441199</v>
      </c>
      <c r="K32" s="36">
        <v>40.381026300441199</v>
      </c>
      <c r="L32" s="5">
        <v>35</v>
      </c>
      <c r="M32">
        <v>2.5999999999999999E-2</v>
      </c>
      <c r="N32">
        <v>3</v>
      </c>
      <c r="O32">
        <f>L32</f>
        <v>35</v>
      </c>
      <c r="P32">
        <f>M32</f>
        <v>2.5999999999999999E-2</v>
      </c>
      <c r="Q32">
        <v>1.5</v>
      </c>
      <c r="R32" s="43" t="s">
        <v>28</v>
      </c>
      <c r="S32" s="35" t="s">
        <v>28</v>
      </c>
      <c r="T32" s="31">
        <v>31.139182044882201</v>
      </c>
      <c r="U32" s="22">
        <f>M32</f>
        <v>2.5999999999999999E-2</v>
      </c>
      <c r="V32" s="31">
        <v>34.525989759774895</v>
      </c>
      <c r="W32" s="22">
        <v>2.936401173102578E-2</v>
      </c>
      <c r="X32" s="54">
        <v>0.84837601381233196</v>
      </c>
      <c r="Y32" s="56">
        <v>0.66233182510246802</v>
      </c>
    </row>
    <row r="33" spans="1:25" x14ac:dyDescent="0.3">
      <c r="A33" s="5">
        <f>A32+1</f>
        <v>31</v>
      </c>
      <c r="B33" s="5" t="s">
        <v>59</v>
      </c>
      <c r="C33">
        <v>1</v>
      </c>
      <c r="D33">
        <v>2.5000000000000001E-3</v>
      </c>
      <c r="E33">
        <v>1</v>
      </c>
      <c r="F33">
        <v>1</v>
      </c>
      <c r="G33">
        <v>0.5</v>
      </c>
      <c r="H33" s="32">
        <v>944.33831251389495</v>
      </c>
      <c r="I33">
        <v>7.54</v>
      </c>
      <c r="J33" s="30">
        <v>39.806811461127197</v>
      </c>
      <c r="K33" s="36">
        <v>39.806811461127197</v>
      </c>
      <c r="L33" s="5">
        <v>35</v>
      </c>
      <c r="M33">
        <v>6.0000000000000001E-3</v>
      </c>
      <c r="N33">
        <v>3</v>
      </c>
      <c r="O33" s="31">
        <f>T33</f>
        <v>19.3493210077512</v>
      </c>
      <c r="P33">
        <f>M33</f>
        <v>6.0000000000000001E-3</v>
      </c>
      <c r="Q33">
        <v>1.5</v>
      </c>
      <c r="R33" s="43" t="s">
        <v>28</v>
      </c>
      <c r="S33" s="35" t="s">
        <v>28</v>
      </c>
      <c r="T33" s="31">
        <v>19.3493210077512</v>
      </c>
      <c r="U33" s="22">
        <f>M33</f>
        <v>6.0000000000000001E-3</v>
      </c>
      <c r="V33" s="31">
        <v>21.472411683461523</v>
      </c>
      <c r="W33" s="22">
        <v>1.767048078478365E-2</v>
      </c>
      <c r="X33" s="54">
        <v>0.92571947601104898</v>
      </c>
      <c r="Y33" s="56">
        <v>0.54798205518600795</v>
      </c>
    </row>
    <row r="34" spans="1:25" x14ac:dyDescent="0.3">
      <c r="A34" s="5">
        <f>A33+1</f>
        <v>32</v>
      </c>
      <c r="B34" s="5" t="s">
        <v>59</v>
      </c>
      <c r="C34">
        <v>1</v>
      </c>
      <c r="D34">
        <v>2.5000000000000001E-3</v>
      </c>
      <c r="E34">
        <v>1</v>
      </c>
      <c r="F34">
        <v>1</v>
      </c>
      <c r="G34">
        <v>0.5</v>
      </c>
      <c r="H34" s="32">
        <v>929.00908409781198</v>
      </c>
      <c r="I34">
        <v>7.54</v>
      </c>
      <c r="J34" s="30">
        <v>39.9965087044299</v>
      </c>
      <c r="K34" s="36">
        <v>39.9965087044299</v>
      </c>
      <c r="L34" s="5">
        <v>35</v>
      </c>
      <c r="M34">
        <v>1.0999999999999999E-2</v>
      </c>
      <c r="N34">
        <v>3</v>
      </c>
      <c r="O34" s="31">
        <f>T34</f>
        <v>23.063233826827599</v>
      </c>
      <c r="P34">
        <f>M34</f>
        <v>1.0999999999999999E-2</v>
      </c>
      <c r="Q34">
        <v>1.5</v>
      </c>
      <c r="R34" s="43" t="s">
        <v>28</v>
      </c>
      <c r="S34" s="35" t="s">
        <v>28</v>
      </c>
      <c r="T34" s="31">
        <v>23.063233826827599</v>
      </c>
      <c r="U34" s="22">
        <f>M34</f>
        <v>1.0999999999999999E-2</v>
      </c>
      <c r="V34" s="31">
        <v>24.153719169618864</v>
      </c>
      <c r="W34" s="22">
        <v>2.0176568047118884E-2</v>
      </c>
      <c r="X34" s="54">
        <v>0.90171461328639502</v>
      </c>
      <c r="Y34" s="56">
        <v>0.60986543955445705</v>
      </c>
    </row>
    <row r="35" spans="1:25" x14ac:dyDescent="0.3">
      <c r="A35" s="5">
        <f>A34+1</f>
        <v>33</v>
      </c>
      <c r="B35" s="5" t="s">
        <v>59</v>
      </c>
      <c r="C35">
        <v>1</v>
      </c>
      <c r="D35">
        <v>2.5000000000000001E-3</v>
      </c>
      <c r="E35">
        <v>1</v>
      </c>
      <c r="F35">
        <v>1</v>
      </c>
      <c r="G35">
        <v>0.5</v>
      </c>
      <c r="H35" s="32">
        <v>916.231349701505</v>
      </c>
      <c r="I35">
        <v>7.54</v>
      </c>
      <c r="J35" s="30">
        <v>40.138753806822102</v>
      </c>
      <c r="K35" s="36">
        <v>40.138753806822102</v>
      </c>
      <c r="L35" s="5">
        <v>35</v>
      </c>
      <c r="M35">
        <v>1.6E-2</v>
      </c>
      <c r="N35">
        <v>3</v>
      </c>
      <c r="O35" s="31">
        <f>T35</f>
        <v>25.969752336458399</v>
      </c>
      <c r="P35">
        <f>M35</f>
        <v>1.6E-2</v>
      </c>
      <c r="Q35">
        <v>1.5</v>
      </c>
      <c r="R35" s="43" t="s">
        <v>28</v>
      </c>
      <c r="S35" s="35" t="s">
        <v>28</v>
      </c>
      <c r="T35" s="31">
        <v>25.969752336458399</v>
      </c>
      <c r="U35" s="22">
        <f>M35</f>
        <v>1.6E-2</v>
      </c>
      <c r="V35" s="31">
        <v>26.444221994367531</v>
      </c>
      <c r="W35" s="22">
        <v>2.313450672636503E-2</v>
      </c>
      <c r="X35" s="54">
        <v>0.90412677958635801</v>
      </c>
      <c r="Y35" s="56">
        <v>0.658295961133881</v>
      </c>
    </row>
    <row r="36" spans="1:25" x14ac:dyDescent="0.3">
      <c r="A36" s="5">
        <f>A35+1</f>
        <v>34</v>
      </c>
      <c r="B36" s="5" t="s">
        <v>59</v>
      </c>
      <c r="C36">
        <v>1</v>
      </c>
      <c r="D36">
        <v>2.5000000000000001E-3</v>
      </c>
      <c r="E36">
        <v>1</v>
      </c>
      <c r="F36">
        <v>1</v>
      </c>
      <c r="G36">
        <v>0.5</v>
      </c>
      <c r="H36" s="32">
        <v>904.61759284017705</v>
      </c>
      <c r="I36">
        <v>7.54</v>
      </c>
      <c r="J36" s="30">
        <v>40.260326907109601</v>
      </c>
      <c r="K36" s="36">
        <v>40.260326907109601</v>
      </c>
      <c r="L36" s="5">
        <v>35</v>
      </c>
      <c r="M36">
        <v>2.1000000000000001E-2</v>
      </c>
      <c r="N36">
        <v>3</v>
      </c>
      <c r="O36" s="31">
        <f>T36</f>
        <v>28.5414814957802</v>
      </c>
      <c r="P36">
        <f>M36</f>
        <v>2.1000000000000001E-2</v>
      </c>
      <c r="Q36">
        <v>1.5</v>
      </c>
      <c r="R36" s="43" t="s">
        <v>28</v>
      </c>
      <c r="S36" s="35" t="s">
        <v>28</v>
      </c>
      <c r="T36" s="31">
        <v>28.5414814957802</v>
      </c>
      <c r="U36" s="22">
        <f>M36</f>
        <v>2.1000000000000001E-2</v>
      </c>
      <c r="V36" s="31">
        <v>28.673925349843618</v>
      </c>
      <c r="W36" s="22">
        <v>2.6223929169631056E-2</v>
      </c>
      <c r="X36" s="54">
        <v>0.91351660282281799</v>
      </c>
      <c r="Y36" s="56">
        <v>0.69058289854197297</v>
      </c>
    </row>
    <row r="37" spans="1:25" x14ac:dyDescent="0.3">
      <c r="A37" s="5">
        <f>A36+1</f>
        <v>35</v>
      </c>
      <c r="B37" s="5" t="s">
        <v>59</v>
      </c>
      <c r="C37">
        <v>1</v>
      </c>
      <c r="D37">
        <v>2.5000000000000001E-3</v>
      </c>
      <c r="E37">
        <v>1</v>
      </c>
      <c r="F37">
        <v>1</v>
      </c>
      <c r="G37">
        <v>0.5</v>
      </c>
      <c r="H37" s="32">
        <v>893.94432167869797</v>
      </c>
      <c r="I37">
        <v>7.54</v>
      </c>
      <c r="J37" s="30">
        <v>40.365168120100797</v>
      </c>
      <c r="K37" s="36">
        <v>40.365168120100797</v>
      </c>
      <c r="L37" s="5">
        <v>35</v>
      </c>
      <c r="M37">
        <v>2.5999999999999999E-2</v>
      </c>
      <c r="N37">
        <v>3</v>
      </c>
      <c r="O37" s="31">
        <f>T37</f>
        <v>30.841747429004599</v>
      </c>
      <c r="P37">
        <f>M37</f>
        <v>2.5999999999999999E-2</v>
      </c>
      <c r="Q37">
        <v>1.5</v>
      </c>
      <c r="R37" s="43" t="s">
        <v>28</v>
      </c>
      <c r="S37" s="35" t="s">
        <v>28</v>
      </c>
      <c r="T37" s="31">
        <v>30.841747429004599</v>
      </c>
      <c r="U37" s="22">
        <f>M37</f>
        <v>2.5999999999999999E-2</v>
      </c>
      <c r="V37" s="31">
        <v>30.73771037286275</v>
      </c>
      <c r="W37" s="22">
        <v>2.9465643466669945E-2</v>
      </c>
      <c r="X37" s="54">
        <v>0.91363570718251097</v>
      </c>
      <c r="Y37" s="56">
        <v>0.71345291410781797</v>
      </c>
    </row>
    <row r="38" spans="1:25" x14ac:dyDescent="0.3">
      <c r="A38" s="5">
        <f>A37+1</f>
        <v>36</v>
      </c>
      <c r="B38" s="5" t="s">
        <v>60</v>
      </c>
      <c r="C38">
        <v>1</v>
      </c>
      <c r="D38">
        <v>2.5000000000000001E-3</v>
      </c>
      <c r="E38">
        <v>1</v>
      </c>
      <c r="F38">
        <v>1</v>
      </c>
      <c r="G38">
        <v>0.5</v>
      </c>
      <c r="H38" s="32">
        <v>944.33831251389495</v>
      </c>
      <c r="I38">
        <v>7.54</v>
      </c>
      <c r="J38" s="30">
        <v>39.806811461127197</v>
      </c>
      <c r="K38" s="36">
        <v>39.806811461127197</v>
      </c>
      <c r="L38" s="5">
        <v>35</v>
      </c>
      <c r="M38">
        <v>6.0000000000000001E-3</v>
      </c>
      <c r="N38">
        <v>3</v>
      </c>
      <c r="O38" s="31">
        <f>T38</f>
        <v>19.3493210077512</v>
      </c>
      <c r="P38">
        <f>M38</f>
        <v>6.0000000000000001E-3</v>
      </c>
      <c r="Q38">
        <v>1.5</v>
      </c>
      <c r="R38" s="43" t="s">
        <v>28</v>
      </c>
      <c r="S38" s="35" t="s">
        <v>28</v>
      </c>
      <c r="T38" s="31">
        <v>19.3493210077512</v>
      </c>
      <c r="U38" s="22">
        <f>M38</f>
        <v>6.0000000000000001E-3</v>
      </c>
      <c r="V38" s="31">
        <v>22.017760625239831</v>
      </c>
      <c r="W38" s="22">
        <v>1.7447883217299887E-2</v>
      </c>
      <c r="X38" s="54">
        <v>0.92571947601104898</v>
      </c>
      <c r="Y38" s="56">
        <v>0.54798205518600795</v>
      </c>
    </row>
    <row r="39" spans="1:25" x14ac:dyDescent="0.3">
      <c r="A39" s="5">
        <f>A38+1</f>
        <v>37</v>
      </c>
      <c r="B39" s="5" t="s">
        <v>60</v>
      </c>
      <c r="C39">
        <v>1</v>
      </c>
      <c r="D39">
        <v>2.5000000000000001E-3</v>
      </c>
      <c r="E39">
        <v>1</v>
      </c>
      <c r="F39">
        <v>1</v>
      </c>
      <c r="G39">
        <v>0.5</v>
      </c>
      <c r="H39" s="32">
        <v>929.86159792675596</v>
      </c>
      <c r="I39">
        <v>7.54</v>
      </c>
      <c r="J39" s="30">
        <v>39.979327099888899</v>
      </c>
      <c r="K39" s="36">
        <v>39.979327099888899</v>
      </c>
      <c r="L39" s="5">
        <v>35</v>
      </c>
      <c r="M39">
        <v>1.0999999999999999E-2</v>
      </c>
      <c r="N39">
        <v>3</v>
      </c>
      <c r="O39" s="31">
        <f>T39</f>
        <v>22.750138320645998</v>
      </c>
      <c r="P39">
        <f>M39</f>
        <v>1.0999999999999999E-2</v>
      </c>
      <c r="Q39">
        <v>1.5</v>
      </c>
      <c r="R39" s="43" t="s">
        <v>28</v>
      </c>
      <c r="S39" s="35" t="s">
        <v>28</v>
      </c>
      <c r="T39" s="31">
        <v>22.750138320645998</v>
      </c>
      <c r="U39" s="22">
        <f>M39</f>
        <v>1.0999999999999999E-2</v>
      </c>
      <c r="V39" s="31">
        <v>24.528191630207431</v>
      </c>
      <c r="W39" s="22">
        <v>2.0149396300725375E-2</v>
      </c>
      <c r="X39" s="54">
        <v>0.92444691446168203</v>
      </c>
      <c r="Y39" s="56">
        <v>0.62600894674759799</v>
      </c>
    </row>
    <row r="40" spans="1:25" x14ac:dyDescent="0.3">
      <c r="A40" s="5">
        <f>A39+1</f>
        <v>38</v>
      </c>
      <c r="B40" s="5" t="s">
        <v>60</v>
      </c>
      <c r="C40">
        <v>1</v>
      </c>
      <c r="D40">
        <v>2.5000000000000001E-3</v>
      </c>
      <c r="E40">
        <v>1</v>
      </c>
      <c r="F40">
        <v>1</v>
      </c>
      <c r="G40">
        <v>0.5</v>
      </c>
      <c r="H40" s="32">
        <v>917.21855695637305</v>
      </c>
      <c r="I40">
        <v>7.54</v>
      </c>
      <c r="J40" s="30">
        <v>40.1186164814916</v>
      </c>
      <c r="K40" s="36">
        <v>40.1186164814916</v>
      </c>
      <c r="L40" s="5">
        <v>35</v>
      </c>
      <c r="M40">
        <v>1.6E-2</v>
      </c>
      <c r="N40">
        <v>3</v>
      </c>
      <c r="O40" s="31">
        <f>T40</f>
        <v>25.599210259079101</v>
      </c>
      <c r="P40">
        <f>M40</f>
        <v>1.6E-2</v>
      </c>
      <c r="Q40">
        <v>1.5</v>
      </c>
      <c r="R40" s="43" t="s">
        <v>28</v>
      </c>
      <c r="S40" s="35" t="s">
        <v>28</v>
      </c>
      <c r="T40" s="31">
        <v>25.599210259079101</v>
      </c>
      <c r="U40" s="22">
        <f>M40</f>
        <v>1.6E-2</v>
      </c>
      <c r="V40" s="31">
        <v>26.697013135128486</v>
      </c>
      <c r="W40" s="22">
        <v>2.3180981206494852E-2</v>
      </c>
      <c r="X40" s="54">
        <v>0.94431019201241795</v>
      </c>
      <c r="Y40" s="56">
        <v>0.68520178934951903</v>
      </c>
    </row>
    <row r="41" spans="1:25" x14ac:dyDescent="0.3">
      <c r="A41" s="5">
        <f>A40+1</f>
        <v>39</v>
      </c>
      <c r="B41" s="5" t="s">
        <v>60</v>
      </c>
      <c r="C41">
        <v>1</v>
      </c>
      <c r="D41">
        <v>2.5000000000000001E-3</v>
      </c>
      <c r="E41">
        <v>1</v>
      </c>
      <c r="F41">
        <v>1</v>
      </c>
      <c r="G41">
        <v>0.5</v>
      </c>
      <c r="H41" s="32">
        <v>905.42283805661395</v>
      </c>
      <c r="I41">
        <v>7.54</v>
      </c>
      <c r="J41" s="30">
        <v>40.243724142312097</v>
      </c>
      <c r="K41" s="36">
        <v>40.243724142312097</v>
      </c>
      <c r="L41" s="5">
        <v>35</v>
      </c>
      <c r="M41">
        <v>2.1000000000000001E-2</v>
      </c>
      <c r="N41">
        <v>3</v>
      </c>
      <c r="O41" s="31">
        <f>T41</f>
        <v>28.233042840730601</v>
      </c>
      <c r="P41">
        <f>M41</f>
        <v>2.1000000000000001E-2</v>
      </c>
      <c r="Q41">
        <v>1.5</v>
      </c>
      <c r="R41" s="43" t="s">
        <v>28</v>
      </c>
      <c r="S41" s="35" t="s">
        <v>28</v>
      </c>
      <c r="T41" s="31">
        <v>28.233042840730601</v>
      </c>
      <c r="U41" s="22">
        <f>M41</f>
        <v>2.1000000000000001E-2</v>
      </c>
      <c r="V41" s="31">
        <v>28.831072884724723</v>
      </c>
      <c r="W41" s="22">
        <v>2.6285156362663882E-2</v>
      </c>
      <c r="X41" s="54">
        <v>0.95567890756848695</v>
      </c>
      <c r="Y41" s="56">
        <v>0.72421518381151995</v>
      </c>
    </row>
    <row r="42" spans="1:25" x14ac:dyDescent="0.3">
      <c r="A42" s="5">
        <f>A41+1</f>
        <v>40</v>
      </c>
      <c r="B42" s="5" t="s">
        <v>60</v>
      </c>
      <c r="C42">
        <v>1</v>
      </c>
      <c r="D42">
        <v>2.5000000000000001E-3</v>
      </c>
      <c r="E42">
        <v>1</v>
      </c>
      <c r="F42">
        <v>1</v>
      </c>
      <c r="G42">
        <v>0.5</v>
      </c>
      <c r="H42" s="32">
        <v>894.452273639277</v>
      </c>
      <c r="I42">
        <v>7.54</v>
      </c>
      <c r="J42" s="30">
        <v>40.354594444730999</v>
      </c>
      <c r="K42" s="36">
        <v>40.354594444730999</v>
      </c>
      <c r="L42" s="5">
        <v>35</v>
      </c>
      <c r="M42">
        <v>2.5999999999999999E-2</v>
      </c>
      <c r="N42">
        <v>3</v>
      </c>
      <c r="O42" s="31">
        <f>T42</f>
        <v>30.643457685086101</v>
      </c>
      <c r="P42">
        <f>M42</f>
        <v>2.5999999999999999E-2</v>
      </c>
      <c r="Q42">
        <v>1.5</v>
      </c>
      <c r="R42" s="43" t="s">
        <v>28</v>
      </c>
      <c r="S42" s="35" t="s">
        <v>28</v>
      </c>
      <c r="T42" s="31">
        <v>30.643457685086101</v>
      </c>
      <c r="U42" s="22">
        <f>M42</f>
        <v>2.5999999999999999E-2</v>
      </c>
      <c r="V42" s="31">
        <v>30.897372150729367</v>
      </c>
      <c r="W42" s="22">
        <v>2.9481145951607435E-2</v>
      </c>
      <c r="X42" s="54">
        <v>0.95714216942929797</v>
      </c>
      <c r="Y42" s="56">
        <v>0.74708517371796801</v>
      </c>
    </row>
    <row r="43" spans="1:25" x14ac:dyDescent="0.3">
      <c r="A43" s="5">
        <f>A42+1</f>
        <v>41</v>
      </c>
      <c r="B43" s="5" t="s">
        <v>61</v>
      </c>
      <c r="C43">
        <v>1</v>
      </c>
      <c r="D43">
        <v>2.5000000000000001E-3</v>
      </c>
      <c r="E43">
        <v>1</v>
      </c>
      <c r="F43">
        <v>1</v>
      </c>
      <c r="G43">
        <v>0.5</v>
      </c>
      <c r="H43" s="32">
        <v>947.05608286038</v>
      </c>
      <c r="I43">
        <v>7.54</v>
      </c>
      <c r="J43" s="30">
        <v>39.752969426819298</v>
      </c>
      <c r="K43" s="36">
        <v>39.752969426819298</v>
      </c>
      <c r="L43" s="5">
        <v>35</v>
      </c>
      <c r="M43">
        <v>6.0000000000000001E-3</v>
      </c>
      <c r="N43">
        <v>3</v>
      </c>
      <c r="O43">
        <f>L43</f>
        <v>35</v>
      </c>
      <c r="P43">
        <f>M43</f>
        <v>6.0000000000000001E-3</v>
      </c>
      <c r="Q43">
        <v>1.5</v>
      </c>
      <c r="R43" s="43" t="s">
        <v>28</v>
      </c>
      <c r="S43" s="35" t="s">
        <v>28</v>
      </c>
      <c r="T43" s="31">
        <v>18.378293479035001</v>
      </c>
      <c r="U43" s="22">
        <f>M43</f>
        <v>6.0000000000000001E-3</v>
      </c>
      <c r="V43" s="31">
        <v>36.29979010889943</v>
      </c>
      <c r="W43" s="22">
        <v>1.8642228311352163E-2</v>
      </c>
      <c r="X43" s="54">
        <v>0.97878619756582197</v>
      </c>
      <c r="Y43" s="56">
        <v>0.58161434045555505</v>
      </c>
    </row>
    <row r="44" spans="1:25" x14ac:dyDescent="0.3">
      <c r="A44" s="5">
        <f>A43+1</f>
        <v>42</v>
      </c>
      <c r="B44" s="5" t="s">
        <v>61</v>
      </c>
      <c r="C44">
        <v>1</v>
      </c>
      <c r="D44">
        <v>2.5000000000000001E-3</v>
      </c>
      <c r="E44">
        <v>1</v>
      </c>
      <c r="F44">
        <v>1</v>
      </c>
      <c r="G44">
        <v>0.5</v>
      </c>
      <c r="H44" s="32">
        <v>931.73089002113602</v>
      </c>
      <c r="I44">
        <v>7.54</v>
      </c>
      <c r="J44" s="30">
        <v>39.941731752016103</v>
      </c>
      <c r="K44" s="36">
        <v>39.941731752016103</v>
      </c>
      <c r="L44" s="5">
        <v>35</v>
      </c>
      <c r="M44">
        <v>1.0999999999999999E-2</v>
      </c>
      <c r="N44">
        <v>3</v>
      </c>
      <c r="O44">
        <f>L44</f>
        <v>35</v>
      </c>
      <c r="P44">
        <f>M44</f>
        <v>1.0999999999999999E-2</v>
      </c>
      <c r="Q44">
        <v>1.5</v>
      </c>
      <c r="R44" s="43" t="s">
        <v>28</v>
      </c>
      <c r="S44" s="35" t="s">
        <v>28</v>
      </c>
      <c r="T44" s="31">
        <v>22.065241900873801</v>
      </c>
      <c r="U44" s="22">
        <f>M44</f>
        <v>1.0999999999999999E-2</v>
      </c>
      <c r="V44" s="31">
        <v>35.516452670274163</v>
      </c>
      <c r="W44" s="22">
        <v>2.1129406575658208E-2</v>
      </c>
      <c r="X44" s="54">
        <v>0.97748895053735296</v>
      </c>
      <c r="Y44" s="56">
        <v>0.660986528559807</v>
      </c>
    </row>
    <row r="45" spans="1:25" x14ac:dyDescent="0.3">
      <c r="A45" s="5">
        <f>A44+1</f>
        <v>43</v>
      </c>
      <c r="B45" s="5" t="s">
        <v>61</v>
      </c>
      <c r="C45">
        <v>1</v>
      </c>
      <c r="D45">
        <v>2.5000000000000001E-3</v>
      </c>
      <c r="E45">
        <v>1</v>
      </c>
      <c r="F45">
        <v>1</v>
      </c>
      <c r="G45">
        <v>0.5</v>
      </c>
      <c r="H45" s="32">
        <v>918.09752200399703</v>
      </c>
      <c r="I45">
        <v>7.54</v>
      </c>
      <c r="J45" s="30">
        <v>40.100713039407196</v>
      </c>
      <c r="K45" s="36">
        <v>40.100713039407196</v>
      </c>
      <c r="L45" s="5">
        <v>35</v>
      </c>
      <c r="M45">
        <v>1.6E-2</v>
      </c>
      <c r="N45">
        <v>3</v>
      </c>
      <c r="O45">
        <f>L45</f>
        <v>35</v>
      </c>
      <c r="P45">
        <f>M45</f>
        <v>1.6E-2</v>
      </c>
      <c r="Q45">
        <v>1.5</v>
      </c>
      <c r="R45" s="43" t="s">
        <v>28</v>
      </c>
      <c r="S45" s="35" t="s">
        <v>28</v>
      </c>
      <c r="T45" s="31">
        <v>25.2698395236308</v>
      </c>
      <c r="U45" s="22">
        <f>M45</f>
        <v>1.6E-2</v>
      </c>
      <c r="V45" s="31">
        <v>35.045504930293767</v>
      </c>
      <c r="W45" s="22">
        <v>2.3828355770390788E-2</v>
      </c>
      <c r="X45" s="54">
        <v>0.97444775133196304</v>
      </c>
      <c r="Y45" s="56">
        <v>0.70941702447983401</v>
      </c>
    </row>
    <row r="46" spans="1:25" x14ac:dyDescent="0.3">
      <c r="A46" s="5">
        <f>A45+1</f>
        <v>44</v>
      </c>
      <c r="B46" s="5" t="s">
        <v>61</v>
      </c>
      <c r="C46">
        <v>1</v>
      </c>
      <c r="D46">
        <v>2.5000000000000001E-3</v>
      </c>
      <c r="E46">
        <v>1</v>
      </c>
      <c r="F46">
        <v>1</v>
      </c>
      <c r="G46">
        <v>0.5</v>
      </c>
      <c r="H46" s="32">
        <v>905.91143162095898</v>
      </c>
      <c r="I46">
        <v>7.54</v>
      </c>
      <c r="J46" s="30">
        <v>40.2336604051929</v>
      </c>
      <c r="K46" s="36">
        <v>40.2336604051929</v>
      </c>
      <c r="L46" s="5">
        <v>35</v>
      </c>
      <c r="M46">
        <v>2.1000000000000001E-2</v>
      </c>
      <c r="N46">
        <v>3</v>
      </c>
      <c r="O46">
        <f>L46</f>
        <v>35</v>
      </c>
      <c r="P46">
        <f>M46</f>
        <v>2.1000000000000001E-2</v>
      </c>
      <c r="Q46">
        <v>1.5</v>
      </c>
      <c r="R46" s="43" t="s">
        <v>28</v>
      </c>
      <c r="S46" s="35" t="s">
        <v>28</v>
      </c>
      <c r="T46" s="31">
        <v>28.0461103225188</v>
      </c>
      <c r="U46" s="22">
        <f>M46</f>
        <v>2.1000000000000001E-2</v>
      </c>
      <c r="V46" s="31">
        <v>34.785444801079151</v>
      </c>
      <c r="W46" s="22">
        <v>2.6745514084750711E-2</v>
      </c>
      <c r="X46" s="54">
        <v>0.98378711073226499</v>
      </c>
      <c r="Y46" s="56">
        <v>0.74439455497324802</v>
      </c>
    </row>
    <row r="47" spans="1:25" x14ac:dyDescent="0.3">
      <c r="A47" s="5">
        <f>A46+1</f>
        <v>45</v>
      </c>
      <c r="B47" s="5" t="s">
        <v>61</v>
      </c>
      <c r="C47">
        <v>1</v>
      </c>
      <c r="D47">
        <v>2.5000000000000001E-3</v>
      </c>
      <c r="E47">
        <v>1</v>
      </c>
      <c r="F47">
        <v>1</v>
      </c>
      <c r="G47">
        <v>0.5</v>
      </c>
      <c r="H47" s="32">
        <v>894.73633344732195</v>
      </c>
      <c r="I47">
        <v>7.54</v>
      </c>
      <c r="J47" s="30">
        <v>40.348685084057699</v>
      </c>
      <c r="K47" s="36">
        <v>40.348685084057699</v>
      </c>
      <c r="L47" s="5">
        <v>35</v>
      </c>
      <c r="M47">
        <v>2.5999999999999999E-2</v>
      </c>
      <c r="N47">
        <v>3</v>
      </c>
      <c r="O47">
        <f>L47</f>
        <v>35</v>
      </c>
      <c r="P47">
        <f>M47</f>
        <v>2.5999999999999999E-2</v>
      </c>
      <c r="Q47">
        <v>1.5</v>
      </c>
      <c r="R47" s="43" t="s">
        <v>28</v>
      </c>
      <c r="S47" s="35" t="s">
        <v>28</v>
      </c>
      <c r="T47" s="31">
        <v>30.532648710543501</v>
      </c>
      <c r="U47" s="22">
        <f>M47</f>
        <v>2.5999999999999999E-2</v>
      </c>
      <c r="V47" s="31">
        <v>34.694749527552041</v>
      </c>
      <c r="W47" s="22">
        <v>2.9792207041196148E-2</v>
      </c>
      <c r="X47" s="54">
        <v>0.97889540055269098</v>
      </c>
      <c r="Y47" s="56">
        <v>0.765919273996433</v>
      </c>
    </row>
    <row r="48" spans="1:25" x14ac:dyDescent="0.3">
      <c r="A48" s="5">
        <f>A47+1</f>
        <v>46</v>
      </c>
      <c r="B48" s="5" t="s">
        <v>62</v>
      </c>
      <c r="C48">
        <v>1</v>
      </c>
      <c r="D48">
        <v>2.5000000000000001E-3</v>
      </c>
      <c r="E48">
        <v>1</v>
      </c>
      <c r="F48">
        <v>1</v>
      </c>
      <c r="G48">
        <v>0.5</v>
      </c>
      <c r="H48" s="32">
        <v>944.33831251389495</v>
      </c>
      <c r="I48">
        <v>7.54</v>
      </c>
      <c r="J48" s="30">
        <v>39.806811461127197</v>
      </c>
      <c r="K48" s="36">
        <v>39.806811461127197</v>
      </c>
      <c r="L48" s="5">
        <v>35</v>
      </c>
      <c r="M48">
        <v>6.0000000000000001E-3</v>
      </c>
      <c r="N48">
        <v>3</v>
      </c>
      <c r="O48">
        <f>L48</f>
        <v>35</v>
      </c>
      <c r="P48">
        <f>M48</f>
        <v>6.0000000000000001E-3</v>
      </c>
      <c r="Q48">
        <v>1.5</v>
      </c>
      <c r="R48" s="43" t="s">
        <v>28</v>
      </c>
      <c r="S48" s="35" t="s">
        <v>28</v>
      </c>
      <c r="T48" s="31">
        <v>19.3493210077512</v>
      </c>
      <c r="U48" s="22">
        <f>M48</f>
        <v>6.0000000000000001E-3</v>
      </c>
      <c r="V48" s="31">
        <v>37.353915782827869</v>
      </c>
      <c r="W48" s="22">
        <v>1.7447883217299887E-2</v>
      </c>
      <c r="X48" s="54">
        <v>0.92571947601104898</v>
      </c>
      <c r="Y48" s="56">
        <v>0.54798205518600795</v>
      </c>
    </row>
    <row r="49" spans="1:25" x14ac:dyDescent="0.3">
      <c r="A49" s="5">
        <f>A48+1</f>
        <v>47</v>
      </c>
      <c r="B49" s="5" t="s">
        <v>62</v>
      </c>
      <c r="C49">
        <v>1</v>
      </c>
      <c r="D49">
        <v>2.5000000000000001E-3</v>
      </c>
      <c r="E49">
        <v>1</v>
      </c>
      <c r="F49">
        <v>1</v>
      </c>
      <c r="G49">
        <v>0.5</v>
      </c>
      <c r="H49" s="32">
        <v>929.86159792675596</v>
      </c>
      <c r="I49">
        <v>7.54</v>
      </c>
      <c r="J49" s="30">
        <v>39.979327099888899</v>
      </c>
      <c r="K49" s="36">
        <v>39.979327099888899</v>
      </c>
      <c r="L49" s="5">
        <v>35</v>
      </c>
      <c r="M49">
        <v>1.0999999999999999E-2</v>
      </c>
      <c r="N49">
        <v>3</v>
      </c>
      <c r="O49">
        <f>L49</f>
        <v>35</v>
      </c>
      <c r="P49">
        <f>M49</f>
        <v>1.0999999999999999E-2</v>
      </c>
      <c r="Q49">
        <v>1.5</v>
      </c>
      <c r="R49" s="43" t="s">
        <v>28</v>
      </c>
      <c r="S49" s="35" t="s">
        <v>28</v>
      </c>
      <c r="T49" s="31">
        <v>22.750138320645998</v>
      </c>
      <c r="U49" s="22">
        <f>M49</f>
        <v>1.0999999999999999E-2</v>
      </c>
      <c r="V49" s="31">
        <v>36.252190373505591</v>
      </c>
      <c r="W49" s="22">
        <v>2.0283330607326976E-2</v>
      </c>
      <c r="X49" s="54">
        <v>0.92444691446168203</v>
      </c>
      <c r="Y49" s="56">
        <v>0.62600894674759799</v>
      </c>
    </row>
    <row r="50" spans="1:25" x14ac:dyDescent="0.3">
      <c r="A50" s="5">
        <f>A49+1</f>
        <v>48</v>
      </c>
      <c r="B50" s="5" t="s">
        <v>62</v>
      </c>
      <c r="C50">
        <v>1</v>
      </c>
      <c r="D50">
        <v>2.5000000000000001E-3</v>
      </c>
      <c r="E50">
        <v>1</v>
      </c>
      <c r="F50">
        <v>1</v>
      </c>
      <c r="G50">
        <v>0.5</v>
      </c>
      <c r="H50" s="32">
        <v>917.21855695637305</v>
      </c>
      <c r="I50">
        <v>7.54</v>
      </c>
      <c r="J50" s="30">
        <v>40.1186164814916</v>
      </c>
      <c r="K50" s="36">
        <v>40.1186164814916</v>
      </c>
      <c r="L50" s="5">
        <v>35</v>
      </c>
      <c r="M50">
        <v>1.6E-2</v>
      </c>
      <c r="N50">
        <v>3</v>
      </c>
      <c r="O50">
        <f>L50</f>
        <v>35</v>
      </c>
      <c r="P50">
        <f>M50</f>
        <v>1.6E-2</v>
      </c>
      <c r="Q50">
        <v>1.5</v>
      </c>
      <c r="R50" s="43" t="s">
        <v>28</v>
      </c>
      <c r="S50" s="35" t="s">
        <v>28</v>
      </c>
      <c r="T50" s="31">
        <v>25.599210259079101</v>
      </c>
      <c r="U50" s="22">
        <f>M50</f>
        <v>1.6E-2</v>
      </c>
      <c r="V50" s="31">
        <v>35.504139090672155</v>
      </c>
      <c r="W50" s="22">
        <v>2.3375412100232473E-2</v>
      </c>
      <c r="X50" s="54">
        <v>0.94431019201241795</v>
      </c>
      <c r="Y50" s="56">
        <v>0.68520178934951903</v>
      </c>
    </row>
    <row r="51" spans="1:25" x14ac:dyDescent="0.3">
      <c r="A51" s="5">
        <f>A50+1</f>
        <v>49</v>
      </c>
      <c r="B51" s="5" t="s">
        <v>62</v>
      </c>
      <c r="C51">
        <v>1</v>
      </c>
      <c r="D51">
        <v>2.5000000000000001E-3</v>
      </c>
      <c r="E51">
        <v>1</v>
      </c>
      <c r="F51">
        <v>1</v>
      </c>
      <c r="G51">
        <v>0.5</v>
      </c>
      <c r="H51" s="32">
        <v>905.42283805661395</v>
      </c>
      <c r="I51">
        <v>7.54</v>
      </c>
      <c r="J51" s="30">
        <v>40.243724142312097</v>
      </c>
      <c r="K51" s="36">
        <v>40.243724142312097</v>
      </c>
      <c r="L51" s="5">
        <v>35</v>
      </c>
      <c r="M51">
        <v>2.1000000000000001E-2</v>
      </c>
      <c r="N51">
        <v>3</v>
      </c>
      <c r="O51">
        <f>L51</f>
        <v>35</v>
      </c>
      <c r="P51">
        <f>M51</f>
        <v>2.1000000000000001E-2</v>
      </c>
      <c r="Q51">
        <v>1.5</v>
      </c>
      <c r="R51" s="43" t="s">
        <v>28</v>
      </c>
      <c r="S51" s="35" t="s">
        <v>28</v>
      </c>
      <c r="T51" s="31">
        <v>28.233042840730601</v>
      </c>
      <c r="U51" s="22">
        <f>M51</f>
        <v>2.1000000000000001E-2</v>
      </c>
      <c r="V51" s="31">
        <v>35.077620720694298</v>
      </c>
      <c r="W51" s="22">
        <v>2.6473407697269032E-2</v>
      </c>
      <c r="X51" s="54">
        <v>0.95567890756848695</v>
      </c>
      <c r="Y51" s="56">
        <v>0.72421518381151995</v>
      </c>
    </row>
    <row r="52" spans="1:25" x14ac:dyDescent="0.3">
      <c r="A52" s="5">
        <f>A51+1</f>
        <v>50</v>
      </c>
      <c r="B52" s="5" t="s">
        <v>62</v>
      </c>
      <c r="C52">
        <v>1</v>
      </c>
      <c r="D52">
        <v>2.5000000000000001E-3</v>
      </c>
      <c r="E52">
        <v>1</v>
      </c>
      <c r="F52">
        <v>1</v>
      </c>
      <c r="G52">
        <v>0.5</v>
      </c>
      <c r="H52" s="32">
        <v>894.452273639277</v>
      </c>
      <c r="I52">
        <v>7.54</v>
      </c>
      <c r="J52" s="30">
        <v>40.354594444730999</v>
      </c>
      <c r="K52" s="36">
        <v>40.354594444730999</v>
      </c>
      <c r="L52" s="5">
        <v>35</v>
      </c>
      <c r="M52">
        <v>2.5999999999999999E-2</v>
      </c>
      <c r="N52">
        <v>3</v>
      </c>
      <c r="O52">
        <f>L52</f>
        <v>35</v>
      </c>
      <c r="P52">
        <f>M52</f>
        <v>2.5999999999999999E-2</v>
      </c>
      <c r="Q52">
        <v>1.5</v>
      </c>
      <c r="R52" s="43" t="s">
        <v>28</v>
      </c>
      <c r="S52" s="35" t="s">
        <v>28</v>
      </c>
      <c r="T52" s="31">
        <v>30.643457685086101</v>
      </c>
      <c r="U52" s="22">
        <f>M52</f>
        <v>2.5999999999999999E-2</v>
      </c>
      <c r="V52" s="31">
        <v>34.872484469726544</v>
      </c>
      <c r="W52" s="22">
        <v>2.9627849296361416E-2</v>
      </c>
      <c r="X52" s="54">
        <v>0.95714216942929797</v>
      </c>
      <c r="Y52" s="56">
        <v>0.74708517371796801</v>
      </c>
    </row>
    <row r="53" spans="1:25" x14ac:dyDescent="0.3">
      <c r="A53" s="5">
        <f>A52+1</f>
        <v>51</v>
      </c>
      <c r="B53" s="5" t="s">
        <v>57</v>
      </c>
      <c r="C53">
        <v>1</v>
      </c>
      <c r="D53">
        <v>2.5000000000000001E-3</v>
      </c>
      <c r="E53">
        <v>1</v>
      </c>
      <c r="F53">
        <v>1</v>
      </c>
      <c r="G53">
        <v>0.5</v>
      </c>
      <c r="H53" s="32">
        <v>306.04472505264101</v>
      </c>
      <c r="I53">
        <v>7.54</v>
      </c>
      <c r="J53" s="30">
        <v>40.099966989146097</v>
      </c>
      <c r="K53" s="36">
        <v>40.099966989146097</v>
      </c>
      <c r="L53" s="5">
        <v>35</v>
      </c>
      <c r="M53">
        <v>1.6E-2</v>
      </c>
      <c r="N53">
        <v>1</v>
      </c>
      <c r="O53">
        <f>L53</f>
        <v>35</v>
      </c>
      <c r="P53">
        <f>M53</f>
        <v>1.6E-2</v>
      </c>
      <c r="Q53">
        <v>0.5</v>
      </c>
      <c r="R53" s="43" t="s">
        <v>28</v>
      </c>
      <c r="S53" s="35" t="s">
        <v>28</v>
      </c>
      <c r="T53" s="31">
        <v>25.256115742987099</v>
      </c>
      <c r="U53" s="22">
        <f>M53</f>
        <v>1.6E-2</v>
      </c>
      <c r="V53" s="31">
        <v>35.523825331860678</v>
      </c>
      <c r="W53" s="22">
        <v>2.3643962200598247E-2</v>
      </c>
      <c r="X53" s="54">
        <v>0.97444775133196304</v>
      </c>
      <c r="Y53" s="56">
        <v>0.70967744581822501</v>
      </c>
    </row>
    <row r="54" spans="1:25" x14ac:dyDescent="0.3">
      <c r="A54" s="5">
        <f>A53+1</f>
        <v>52</v>
      </c>
      <c r="B54" s="5" t="s">
        <v>57</v>
      </c>
      <c r="C54">
        <v>1</v>
      </c>
      <c r="D54">
        <v>2.5000000000000001E-3</v>
      </c>
      <c r="E54">
        <v>1</v>
      </c>
      <c r="F54">
        <v>1</v>
      </c>
      <c r="G54">
        <v>0.5</v>
      </c>
      <c r="H54" s="32">
        <v>610.82089980100295</v>
      </c>
      <c r="I54">
        <v>7.54</v>
      </c>
      <c r="J54" s="30">
        <v>40.138753806822102</v>
      </c>
      <c r="K54" s="36">
        <v>40.138753806822102</v>
      </c>
      <c r="L54" s="5">
        <v>35</v>
      </c>
      <c r="M54">
        <v>1.6E-2</v>
      </c>
      <c r="N54">
        <v>2</v>
      </c>
      <c r="O54">
        <f>L54</f>
        <v>35</v>
      </c>
      <c r="P54">
        <f>M54</f>
        <v>1.6E-2</v>
      </c>
      <c r="Q54">
        <v>1</v>
      </c>
      <c r="R54" s="43" t="s">
        <v>28</v>
      </c>
      <c r="S54" s="35" t="s">
        <v>28</v>
      </c>
      <c r="T54" s="31">
        <v>25.969752336458399</v>
      </c>
      <c r="U54" s="22">
        <f>M54</f>
        <v>1.6E-2</v>
      </c>
      <c r="V54" s="31">
        <v>34.847663786568894</v>
      </c>
      <c r="W54" s="22">
        <v>2.3344728102846522E-2</v>
      </c>
      <c r="X54" s="54">
        <v>0.90412677958635801</v>
      </c>
      <c r="Y54" s="56">
        <v>0.658064500581792</v>
      </c>
    </row>
    <row r="55" spans="1:25" x14ac:dyDescent="0.3">
      <c r="A55" s="5">
        <f>A54+1</f>
        <v>53</v>
      </c>
      <c r="B55" s="5" t="s">
        <v>57</v>
      </c>
      <c r="C55">
        <v>1</v>
      </c>
      <c r="D55">
        <v>2.5000000000000001E-3</v>
      </c>
      <c r="E55">
        <v>1</v>
      </c>
      <c r="F55">
        <v>1</v>
      </c>
      <c r="G55">
        <v>0.5</v>
      </c>
      <c r="H55" s="32">
        <v>914.18928801536697</v>
      </c>
      <c r="I55">
        <v>7.54</v>
      </c>
      <c r="J55" s="30">
        <v>40.180506463061299</v>
      </c>
      <c r="K55" s="36">
        <v>40.180506463061299</v>
      </c>
      <c r="L55" s="5">
        <v>35</v>
      </c>
      <c r="M55">
        <v>1.6E-2</v>
      </c>
      <c r="N55">
        <v>3</v>
      </c>
      <c r="O55">
        <f>L55</f>
        <v>35</v>
      </c>
      <c r="P55">
        <f>M55</f>
        <v>1.6E-2</v>
      </c>
      <c r="Q55">
        <v>1.5</v>
      </c>
      <c r="R55" s="43" t="s">
        <v>28</v>
      </c>
      <c r="S55" s="35" t="s">
        <v>28</v>
      </c>
      <c r="T55" s="31">
        <v>26.7382840525045</v>
      </c>
      <c r="U55" s="22">
        <f>M55</f>
        <v>1.6E-2</v>
      </c>
      <c r="V55" s="31">
        <v>34.451567736390068</v>
      </c>
      <c r="W55" s="22">
        <v>2.2886543688951919E-2</v>
      </c>
      <c r="X55" s="54">
        <v>0.83380580784075198</v>
      </c>
      <c r="Y55" s="56">
        <v>0.60161288883634001</v>
      </c>
    </row>
    <row r="56" spans="1:25" x14ac:dyDescent="0.3">
      <c r="A56" s="5">
        <f>A55+1</f>
        <v>54</v>
      </c>
      <c r="B56" s="5" t="s">
        <v>57</v>
      </c>
      <c r="C56">
        <v>1</v>
      </c>
      <c r="D56">
        <v>2.5000000000000001E-3</v>
      </c>
      <c r="E56">
        <v>1</v>
      </c>
      <c r="F56">
        <v>1</v>
      </c>
      <c r="G56">
        <v>0.5</v>
      </c>
      <c r="H56" s="32">
        <v>1216.2544790319</v>
      </c>
      <c r="I56">
        <v>7.54</v>
      </c>
      <c r="J56" s="30">
        <v>40.221495630653898</v>
      </c>
      <c r="K56" s="36">
        <v>40.221495630653898</v>
      </c>
      <c r="L56" s="5">
        <v>35</v>
      </c>
      <c r="M56">
        <v>1.6E-2</v>
      </c>
      <c r="N56">
        <v>4</v>
      </c>
      <c r="O56">
        <f>L56</f>
        <v>35</v>
      </c>
      <c r="P56">
        <f>M56</f>
        <v>1.6E-2</v>
      </c>
      <c r="Q56">
        <v>2</v>
      </c>
      <c r="R56" s="43" t="s">
        <v>28</v>
      </c>
      <c r="S56" s="35" t="s">
        <v>28</v>
      </c>
      <c r="T56" s="31">
        <v>27.493091987906901</v>
      </c>
      <c r="U56" s="22">
        <f>M56</f>
        <v>1.6E-2</v>
      </c>
      <c r="V56" s="31">
        <v>34.200162027719678</v>
      </c>
      <c r="W56" s="22">
        <v>2.238013860687656E-2</v>
      </c>
      <c r="X56" s="54">
        <v>0.75343898298863099</v>
      </c>
      <c r="Y56" s="56">
        <v>0.54677421720003905</v>
      </c>
    </row>
    <row r="57" spans="1:25" x14ac:dyDescent="0.3">
      <c r="A57" s="5">
        <f>A56+1</f>
        <v>55</v>
      </c>
      <c r="B57" s="5" t="s">
        <v>57</v>
      </c>
      <c r="C57">
        <v>1</v>
      </c>
      <c r="D57">
        <v>2.5000000000000001E-3</v>
      </c>
      <c r="E57">
        <v>1</v>
      </c>
      <c r="F57">
        <v>1</v>
      </c>
      <c r="G57">
        <v>0.5</v>
      </c>
      <c r="H57" s="32">
        <v>1518.1443772175601</v>
      </c>
      <c r="I57">
        <v>7.54</v>
      </c>
      <c r="J57" s="30">
        <v>40.248315307664399</v>
      </c>
      <c r="K57" s="36">
        <v>40.248315307664399</v>
      </c>
      <c r="L57" s="5">
        <v>35</v>
      </c>
      <c r="M57">
        <v>1.6E-2</v>
      </c>
      <c r="N57">
        <v>5</v>
      </c>
      <c r="O57">
        <f>L57</f>
        <v>35</v>
      </c>
      <c r="P57">
        <f>M57</f>
        <v>1.6E-2</v>
      </c>
      <c r="Q57">
        <v>2.5</v>
      </c>
      <c r="R57" s="43" t="s">
        <v>28</v>
      </c>
      <c r="S57" s="35" t="s">
        <v>28</v>
      </c>
      <c r="T57" s="31">
        <v>27.987148091079401</v>
      </c>
      <c r="U57" s="22">
        <f>M57</f>
        <v>1.6E-2</v>
      </c>
      <c r="V57" s="31">
        <v>34.103339949866168</v>
      </c>
      <c r="W57" s="22">
        <v>2.2020954787281194E-2</v>
      </c>
      <c r="X57" s="54">
        <v>0.70320971745605598</v>
      </c>
      <c r="Y57" s="56">
        <v>0.51129033465456497</v>
      </c>
    </row>
    <row r="58" spans="1:25" x14ac:dyDescent="0.3">
      <c r="A58" s="5">
        <f>A57+1</f>
        <v>56</v>
      </c>
      <c r="B58" s="5" t="s">
        <v>59</v>
      </c>
      <c r="C58">
        <v>1</v>
      </c>
      <c r="D58">
        <v>2.5000000000000001E-3</v>
      </c>
      <c r="E58">
        <v>1</v>
      </c>
      <c r="F58">
        <v>1</v>
      </c>
      <c r="G58">
        <v>0.5</v>
      </c>
      <c r="H58" s="32">
        <v>308.70239038171599</v>
      </c>
      <c r="I58">
        <v>7.54</v>
      </c>
      <c r="J58" s="30">
        <v>39.9386820332805</v>
      </c>
      <c r="K58" s="36">
        <v>39.9386820332805</v>
      </c>
      <c r="L58" s="5">
        <v>35</v>
      </c>
      <c r="M58">
        <v>1.6E-2</v>
      </c>
      <c r="N58">
        <v>1</v>
      </c>
      <c r="O58" s="31">
        <f>T58</f>
        <v>22.2917791239521</v>
      </c>
      <c r="P58">
        <f>M58</f>
        <v>1.6E-2</v>
      </c>
      <c r="Q58">
        <v>0.5</v>
      </c>
      <c r="R58" s="43" t="s">
        <v>28</v>
      </c>
      <c r="S58" s="35" t="s">
        <v>28</v>
      </c>
      <c r="T58" s="31">
        <v>22.2917791239521</v>
      </c>
      <c r="U58" s="22">
        <f>M58</f>
        <v>1.6E-2</v>
      </c>
      <c r="V58" s="31">
        <v>39.656253527681379</v>
      </c>
      <c r="W58" s="22">
        <v>2.4343530992205702E-2</v>
      </c>
      <c r="X58" s="54">
        <v>1.2758233445274201</v>
      </c>
      <c r="Y58" s="56">
        <v>0.92580646749093498</v>
      </c>
    </row>
    <row r="59" spans="1:25" x14ac:dyDescent="0.3">
      <c r="A59" s="5">
        <f>A58+1</f>
        <v>57</v>
      </c>
      <c r="B59" s="5" t="s">
        <v>59</v>
      </c>
      <c r="C59">
        <v>1</v>
      </c>
      <c r="D59">
        <v>2.5000000000000001E-3</v>
      </c>
      <c r="E59">
        <v>1</v>
      </c>
      <c r="F59">
        <v>1</v>
      </c>
      <c r="G59">
        <v>0.5</v>
      </c>
      <c r="H59" s="32">
        <v>613.70568995778797</v>
      </c>
      <c r="I59">
        <v>7.54</v>
      </c>
      <c r="J59" s="30">
        <v>40.050714659880299</v>
      </c>
      <c r="K59" s="36">
        <v>40.050714659880299</v>
      </c>
      <c r="L59" s="5">
        <v>35</v>
      </c>
      <c r="M59">
        <v>1.6E-2</v>
      </c>
      <c r="N59">
        <v>2</v>
      </c>
      <c r="O59" s="31">
        <f>T59</f>
        <v>24.3503462205042</v>
      </c>
      <c r="P59">
        <f>M59</f>
        <v>1.6E-2</v>
      </c>
      <c r="Q59">
        <v>1</v>
      </c>
      <c r="R59" s="43" t="s">
        <v>28</v>
      </c>
      <c r="S59" s="35" t="s">
        <v>28</v>
      </c>
      <c r="T59" s="31">
        <v>24.3503462205042</v>
      </c>
      <c r="U59" s="22">
        <f>M59</f>
        <v>1.6E-2</v>
      </c>
      <c r="V59" s="31">
        <v>37.35251099187014</v>
      </c>
      <c r="W59" s="22">
        <v>2.3627156305984158E-2</v>
      </c>
      <c r="X59" s="54">
        <v>1.0648604292906001</v>
      </c>
      <c r="Y59" s="56">
        <v>0.77580645210909105</v>
      </c>
    </row>
    <row r="60" spans="1:25" x14ac:dyDescent="0.3">
      <c r="A60" s="5">
        <f>A59+1</f>
        <v>58</v>
      </c>
      <c r="B60" s="5" t="s">
        <v>59</v>
      </c>
      <c r="C60">
        <v>1</v>
      </c>
      <c r="D60">
        <v>2.5000000000000001E-3</v>
      </c>
      <c r="E60">
        <v>1</v>
      </c>
      <c r="F60">
        <v>1</v>
      </c>
      <c r="G60">
        <v>0.5</v>
      </c>
      <c r="H60" s="32">
        <v>916.41403595228599</v>
      </c>
      <c r="I60">
        <v>7.54</v>
      </c>
      <c r="J60" s="30">
        <v>40.135024995666697</v>
      </c>
      <c r="K60" s="36">
        <v>40.135024995666697</v>
      </c>
      <c r="L60" s="5">
        <v>35</v>
      </c>
      <c r="M60">
        <v>1.6E-2</v>
      </c>
      <c r="N60">
        <v>3</v>
      </c>
      <c r="O60" s="31">
        <f>T60</f>
        <v>25.901133433239998</v>
      </c>
      <c r="P60">
        <f>M60</f>
        <v>1.6E-2</v>
      </c>
      <c r="Q60">
        <v>1.5</v>
      </c>
      <c r="R60" s="43" t="s">
        <v>28</v>
      </c>
      <c r="S60" s="35" t="s">
        <v>28</v>
      </c>
      <c r="T60" s="31">
        <v>25.901133433239998</v>
      </c>
      <c r="U60" s="22">
        <f>M60</f>
        <v>1.6E-2</v>
      </c>
      <c r="V60" s="31">
        <v>35.511024849797764</v>
      </c>
      <c r="W60" s="22">
        <v>2.3129200713049195E-2</v>
      </c>
      <c r="X60" s="54">
        <v>0.91417263269287297</v>
      </c>
      <c r="Y60" s="56">
        <v>0.662903259381873</v>
      </c>
    </row>
    <row r="61" spans="1:25" x14ac:dyDescent="0.3">
      <c r="A61" s="5">
        <f>A60+1</f>
        <v>59</v>
      </c>
      <c r="B61" s="5" t="s">
        <v>59</v>
      </c>
      <c r="C61">
        <v>1</v>
      </c>
      <c r="D61">
        <v>2.5000000000000001E-3</v>
      </c>
      <c r="E61">
        <v>1</v>
      </c>
      <c r="F61">
        <v>1</v>
      </c>
      <c r="G61">
        <v>0.5</v>
      </c>
      <c r="H61" s="32">
        <v>1217.3191742040001</v>
      </c>
      <c r="I61">
        <v>7.54</v>
      </c>
      <c r="J61" s="30">
        <v>40.2051020913174</v>
      </c>
      <c r="K61" s="36">
        <v>40.2051020913174</v>
      </c>
      <c r="L61" s="5">
        <v>35</v>
      </c>
      <c r="M61">
        <v>1.6E-2</v>
      </c>
      <c r="N61">
        <v>4</v>
      </c>
      <c r="O61" s="31">
        <f>T61</f>
        <v>27.191168813746</v>
      </c>
      <c r="P61">
        <f>M61</f>
        <v>1.6E-2</v>
      </c>
      <c r="Q61">
        <v>2</v>
      </c>
      <c r="R61" s="43" t="s">
        <v>28</v>
      </c>
      <c r="S61" s="35" t="s">
        <v>28</v>
      </c>
      <c r="T61" s="31">
        <v>27.191168813746</v>
      </c>
      <c r="U61" s="22">
        <f>M61</f>
        <v>1.6E-2</v>
      </c>
      <c r="V61" s="31">
        <v>33.96595668369195</v>
      </c>
      <c r="W61" s="22">
        <v>2.271937435578944E-2</v>
      </c>
      <c r="X61" s="54">
        <v>0.78357654230817697</v>
      </c>
      <c r="Y61" s="56">
        <v>0.56935482498179502</v>
      </c>
    </row>
    <row r="62" spans="1:25" x14ac:dyDescent="0.3">
      <c r="A62" s="5">
        <f>A61+1</f>
        <v>60</v>
      </c>
      <c r="B62" s="5" t="s">
        <v>59</v>
      </c>
      <c r="C62">
        <v>1</v>
      </c>
      <c r="D62">
        <v>2.5000000000000001E-3</v>
      </c>
      <c r="E62">
        <v>1</v>
      </c>
      <c r="F62">
        <v>1</v>
      </c>
      <c r="G62">
        <v>0.5</v>
      </c>
      <c r="H62" s="32">
        <v>1517.11964738202</v>
      </c>
      <c r="I62">
        <v>7.54</v>
      </c>
      <c r="J62" s="30">
        <v>40.260977518268099</v>
      </c>
      <c r="K62" s="36">
        <v>40.260977518268099</v>
      </c>
      <c r="L62" s="5">
        <v>35</v>
      </c>
      <c r="M62">
        <v>1.6E-2</v>
      </c>
      <c r="N62">
        <v>5</v>
      </c>
      <c r="O62" s="31">
        <f>T62</f>
        <v>28.220452362022002</v>
      </c>
      <c r="P62">
        <f>M62</f>
        <v>1.6E-2</v>
      </c>
      <c r="Q62">
        <v>2.5</v>
      </c>
      <c r="R62" s="43" t="s">
        <v>28</v>
      </c>
      <c r="S62" s="35" t="s">
        <v>28</v>
      </c>
      <c r="T62" s="31">
        <v>28.220452362022002</v>
      </c>
      <c r="U62" s="22">
        <f>M62</f>
        <v>1.6E-2</v>
      </c>
      <c r="V62" s="31">
        <v>32.854035103676836</v>
      </c>
      <c r="W62" s="22">
        <v>2.2342387901202507E-2</v>
      </c>
      <c r="X62" s="54">
        <v>0.68311801124302596</v>
      </c>
      <c r="Y62" s="56">
        <v>0.49354842414551497</v>
      </c>
    </row>
    <row r="63" spans="1:25" x14ac:dyDescent="0.3">
      <c r="A63" s="5">
        <f>A62+1</f>
        <v>61</v>
      </c>
      <c r="B63" s="5" t="s">
        <v>60</v>
      </c>
      <c r="C63">
        <v>1</v>
      </c>
      <c r="D63">
        <v>2.5000000000000001E-3</v>
      </c>
      <c r="E63">
        <v>1</v>
      </c>
      <c r="F63">
        <v>1</v>
      </c>
      <c r="G63">
        <v>0.5</v>
      </c>
      <c r="H63" s="32">
        <v>308.19505809912403</v>
      </c>
      <c r="I63">
        <v>7.54</v>
      </c>
      <c r="J63" s="30">
        <v>39.969317478627801</v>
      </c>
      <c r="K63" s="36">
        <v>39.969317478627801</v>
      </c>
      <c r="L63" s="5">
        <v>35</v>
      </c>
      <c r="M63">
        <v>1.6E-2</v>
      </c>
      <c r="N63">
        <v>1</v>
      </c>
      <c r="O63" s="31">
        <f>T63</f>
        <v>22.854454130343001</v>
      </c>
      <c r="P63">
        <f>M63</f>
        <v>1.6E-2</v>
      </c>
      <c r="Q63">
        <v>0.5</v>
      </c>
      <c r="R63" s="43" t="s">
        <v>28</v>
      </c>
      <c r="S63" s="35" t="s">
        <v>28</v>
      </c>
      <c r="T63" s="31">
        <v>22.854454130343001</v>
      </c>
      <c r="U63" s="22">
        <f>M63</f>
        <v>1.6E-2</v>
      </c>
      <c r="V63" s="31">
        <v>38.879884723919872</v>
      </c>
      <c r="W63" s="22">
        <v>2.4207782517253595E-2</v>
      </c>
      <c r="X63" s="54">
        <v>1.2155482258883299</v>
      </c>
      <c r="Y63" s="56">
        <v>0.88548388767275399</v>
      </c>
    </row>
    <row r="64" spans="1:25" x14ac:dyDescent="0.3">
      <c r="A64" s="5">
        <f>A63+1</f>
        <v>62</v>
      </c>
      <c r="B64" s="5" t="s">
        <v>60</v>
      </c>
      <c r="C64">
        <v>1</v>
      </c>
      <c r="D64">
        <v>2.5000000000000001E-3</v>
      </c>
      <c r="E64">
        <v>1</v>
      </c>
      <c r="F64">
        <v>1</v>
      </c>
      <c r="G64">
        <v>0.5</v>
      </c>
      <c r="H64" s="32">
        <v>613.77931963675201</v>
      </c>
      <c r="I64">
        <v>7.54</v>
      </c>
      <c r="J64" s="30">
        <v>40.0484753081683</v>
      </c>
      <c r="K64" s="36">
        <v>40.0484753081683</v>
      </c>
      <c r="L64" s="5">
        <v>35</v>
      </c>
      <c r="M64">
        <v>1.6E-2</v>
      </c>
      <c r="N64">
        <v>2</v>
      </c>
      <c r="O64" s="31">
        <f>T64</f>
        <v>24.309174878573099</v>
      </c>
      <c r="P64">
        <f>M64</f>
        <v>1.6E-2</v>
      </c>
      <c r="Q64">
        <v>1</v>
      </c>
      <c r="R64" s="43" t="s">
        <v>28</v>
      </c>
      <c r="S64" s="35" t="s">
        <v>28</v>
      </c>
      <c r="T64" s="31">
        <v>24.309174878573099</v>
      </c>
      <c r="U64" s="22">
        <f>M64</f>
        <v>1.6E-2</v>
      </c>
      <c r="V64" s="31">
        <v>37.361484825648198</v>
      </c>
      <c r="W64" s="22">
        <v>2.3656642735002179E-2</v>
      </c>
      <c r="X64" s="54">
        <v>1.0749062823971101</v>
      </c>
      <c r="Y64" s="56">
        <v>0.77903220927264705</v>
      </c>
    </row>
    <row r="65" spans="1:25" x14ac:dyDescent="0.3">
      <c r="A65" s="5">
        <f>A64+1</f>
        <v>63</v>
      </c>
      <c r="B65" s="5" t="s">
        <v>60</v>
      </c>
      <c r="C65">
        <v>1</v>
      </c>
      <c r="D65">
        <v>2.5000000000000001E-3</v>
      </c>
      <c r="E65">
        <v>1</v>
      </c>
      <c r="F65">
        <v>1</v>
      </c>
      <c r="G65">
        <v>0.5</v>
      </c>
      <c r="H65" s="32">
        <v>917.10878218314804</v>
      </c>
      <c r="I65">
        <v>7.54</v>
      </c>
      <c r="J65" s="30">
        <v>40.120854173644098</v>
      </c>
      <c r="K65" s="36">
        <v>40.120854173644098</v>
      </c>
      <c r="L65" s="5">
        <v>35</v>
      </c>
      <c r="M65">
        <v>1.6E-2</v>
      </c>
      <c r="N65">
        <v>3</v>
      </c>
      <c r="O65" s="31">
        <f>T65</f>
        <v>25.640381601010098</v>
      </c>
      <c r="P65">
        <f>M65</f>
        <v>1.6E-2</v>
      </c>
      <c r="Q65">
        <v>1.5</v>
      </c>
      <c r="R65" s="43" t="s">
        <v>28</v>
      </c>
      <c r="S65" s="35" t="s">
        <v>28</v>
      </c>
      <c r="T65" s="31">
        <v>25.640381601010098</v>
      </c>
      <c r="U65" s="22">
        <f>M65</f>
        <v>1.6E-2</v>
      </c>
      <c r="V65" s="31">
        <v>35.988741626275903</v>
      </c>
      <c r="W65" s="22">
        <v>2.3144429227497154E-2</v>
      </c>
      <c r="X65" s="54">
        <v>0.94431019201241795</v>
      </c>
      <c r="Y65" s="56">
        <v>0.68225801770901395</v>
      </c>
    </row>
    <row r="66" spans="1:25" x14ac:dyDescent="0.3">
      <c r="A66" s="5">
        <f>A65+1</f>
        <v>64</v>
      </c>
      <c r="B66" s="5" t="s">
        <v>60</v>
      </c>
      <c r="C66">
        <v>1</v>
      </c>
      <c r="D66">
        <v>2.5000000000000001E-3</v>
      </c>
      <c r="E66">
        <v>1</v>
      </c>
      <c r="F66">
        <v>1</v>
      </c>
      <c r="G66">
        <v>0.5</v>
      </c>
      <c r="H66" s="32">
        <v>1219.21030331927</v>
      </c>
      <c r="I66">
        <v>7.54</v>
      </c>
      <c r="J66" s="30">
        <v>40.176033844509597</v>
      </c>
      <c r="K66" s="36">
        <v>40.176033844509597</v>
      </c>
      <c r="L66" s="5">
        <v>35</v>
      </c>
      <c r="M66">
        <v>1.6E-2</v>
      </c>
      <c r="N66">
        <v>4</v>
      </c>
      <c r="O66" s="31">
        <f>T66</f>
        <v>26.655941368642399</v>
      </c>
      <c r="P66">
        <f>M66</f>
        <v>1.6E-2</v>
      </c>
      <c r="Q66">
        <v>2</v>
      </c>
      <c r="R66" s="43" t="s">
        <v>28</v>
      </c>
      <c r="S66" s="35" t="s">
        <v>28</v>
      </c>
      <c r="T66" s="31">
        <v>26.655941368642399</v>
      </c>
      <c r="U66" s="22">
        <f>M66</f>
        <v>1.6E-2</v>
      </c>
      <c r="V66" s="31">
        <v>34.859102857140037</v>
      </c>
      <c r="W66" s="22">
        <v>2.2786618064636315E-2</v>
      </c>
      <c r="X66" s="54">
        <v>0.83380580784075198</v>
      </c>
      <c r="Y66" s="56">
        <v>0.60806452621819795</v>
      </c>
    </row>
    <row r="67" spans="1:25" x14ac:dyDescent="0.3">
      <c r="A67" s="5">
        <f>A66+1</f>
        <v>65</v>
      </c>
      <c r="B67" s="5" t="s">
        <v>60</v>
      </c>
      <c r="C67">
        <v>1</v>
      </c>
      <c r="D67">
        <v>2.5000000000000001E-3</v>
      </c>
      <c r="E67">
        <v>1</v>
      </c>
      <c r="F67">
        <v>1</v>
      </c>
      <c r="G67">
        <v>0.5</v>
      </c>
      <c r="H67" s="32">
        <v>1520.31809878988</v>
      </c>
      <c r="I67">
        <v>7.54</v>
      </c>
      <c r="J67" s="30">
        <v>40.221495630653898</v>
      </c>
      <c r="K67" s="36">
        <v>40.221495630653898</v>
      </c>
      <c r="L67" s="5">
        <v>35</v>
      </c>
      <c r="M67">
        <v>1.6E-2</v>
      </c>
      <c r="N67">
        <v>5</v>
      </c>
      <c r="O67" s="31">
        <f>T67</f>
        <v>27.493091987906901</v>
      </c>
      <c r="P67">
        <f>M67</f>
        <v>1.6E-2</v>
      </c>
      <c r="Q67">
        <v>2.5</v>
      </c>
      <c r="R67" s="43" t="s">
        <v>28</v>
      </c>
      <c r="S67" s="35" t="s">
        <v>28</v>
      </c>
      <c r="T67" s="31">
        <v>27.493091987906901</v>
      </c>
      <c r="U67" s="22">
        <f>M67</f>
        <v>1.6E-2</v>
      </c>
      <c r="V67" s="31">
        <v>33.863939707531749</v>
      </c>
      <c r="W67" s="22">
        <v>2.2517346001304932E-2</v>
      </c>
      <c r="X67" s="54">
        <v>0.75343898298863099</v>
      </c>
      <c r="Y67" s="56">
        <v>0.54677421720003905</v>
      </c>
    </row>
    <row r="68" spans="1:25" x14ac:dyDescent="0.3">
      <c r="A68" s="5">
        <f>A67+1</f>
        <v>66</v>
      </c>
      <c r="B68" s="5" t="s">
        <v>61</v>
      </c>
      <c r="C68">
        <v>1</v>
      </c>
      <c r="D68">
        <v>2.5000000000000001E-3</v>
      </c>
      <c r="E68">
        <v>1</v>
      </c>
      <c r="F68">
        <v>1</v>
      </c>
      <c r="G68">
        <v>0.5</v>
      </c>
      <c r="H68" s="32">
        <v>308.81393708783901</v>
      </c>
      <c r="I68">
        <v>7.54</v>
      </c>
      <c r="J68" s="30">
        <v>39.931955849072502</v>
      </c>
      <c r="K68" s="36">
        <v>39.931955849072502</v>
      </c>
      <c r="L68" s="5">
        <v>35</v>
      </c>
      <c r="M68">
        <v>1.6E-2</v>
      </c>
      <c r="N68">
        <v>1</v>
      </c>
      <c r="O68">
        <f>L68</f>
        <v>35</v>
      </c>
      <c r="P68">
        <f>M68</f>
        <v>1.6E-2</v>
      </c>
      <c r="Q68">
        <v>0.5</v>
      </c>
      <c r="R68" s="43" t="s">
        <v>28</v>
      </c>
      <c r="S68" s="35" t="s">
        <v>28</v>
      </c>
      <c r="T68" s="31">
        <v>22.168265098159001</v>
      </c>
      <c r="U68" s="22">
        <f>M68</f>
        <v>1.6E-2</v>
      </c>
      <c r="V68" s="31">
        <v>39.398255101037734</v>
      </c>
      <c r="W68" s="22">
        <v>2.4548061334845647E-2</v>
      </c>
      <c r="X68" s="54">
        <v>1.28586919763393</v>
      </c>
      <c r="Y68" s="56">
        <v>0.93548389280003597</v>
      </c>
    </row>
    <row r="69" spans="1:25" x14ac:dyDescent="0.3">
      <c r="A69" s="5">
        <f>A68+1</f>
        <v>67</v>
      </c>
      <c r="B69" s="5" t="s">
        <v>61</v>
      </c>
      <c r="C69">
        <v>1</v>
      </c>
      <c r="D69">
        <v>2.5000000000000001E-3</v>
      </c>
      <c r="E69">
        <v>1</v>
      </c>
      <c r="F69">
        <v>1</v>
      </c>
      <c r="G69">
        <v>0.5</v>
      </c>
      <c r="H69" s="32">
        <v>614.56559413990499</v>
      </c>
      <c r="I69">
        <v>7.54</v>
      </c>
      <c r="J69" s="30">
        <v>40.024585589455398</v>
      </c>
      <c r="K69" s="36">
        <v>40.024585589455398</v>
      </c>
      <c r="L69" s="5">
        <v>35</v>
      </c>
      <c r="M69">
        <v>1.6E-2</v>
      </c>
      <c r="N69">
        <v>2</v>
      </c>
      <c r="O69">
        <f>L69</f>
        <v>35</v>
      </c>
      <c r="P69">
        <f>M69</f>
        <v>1.6E-2</v>
      </c>
      <c r="Q69">
        <v>1</v>
      </c>
      <c r="R69" s="43" t="s">
        <v>28</v>
      </c>
      <c r="S69" s="35" t="s">
        <v>28</v>
      </c>
      <c r="T69" s="31">
        <v>23.870013897975401</v>
      </c>
      <c r="U69" s="22">
        <f>M69</f>
        <v>1.6E-2</v>
      </c>
      <c r="V69" s="31">
        <v>37.194888948919349</v>
      </c>
      <c r="W69" s="22">
        <v>2.407823200478609E-2</v>
      </c>
      <c r="X69" s="54">
        <v>1.1150896948231701</v>
      </c>
      <c r="Y69" s="56">
        <v>0.81129027312719104</v>
      </c>
    </row>
    <row r="70" spans="1:25" x14ac:dyDescent="0.3">
      <c r="A70" s="5">
        <f>A69+1</f>
        <v>68</v>
      </c>
      <c r="B70" s="5" t="s">
        <v>61</v>
      </c>
      <c r="C70">
        <v>1</v>
      </c>
      <c r="D70">
        <v>2.5000000000000001E-3</v>
      </c>
      <c r="E70">
        <v>1</v>
      </c>
      <c r="F70">
        <v>1</v>
      </c>
      <c r="G70">
        <v>0.5</v>
      </c>
      <c r="H70" s="32">
        <v>918.06087122050803</v>
      </c>
      <c r="I70">
        <v>7.54</v>
      </c>
      <c r="J70" s="30">
        <v>40.101459083786501</v>
      </c>
      <c r="K70" s="36">
        <v>40.101459083786501</v>
      </c>
      <c r="L70" s="5">
        <v>35</v>
      </c>
      <c r="M70">
        <v>1.6E-2</v>
      </c>
      <c r="N70">
        <v>3</v>
      </c>
      <c r="O70">
        <f>L70</f>
        <v>35</v>
      </c>
      <c r="P70">
        <f>M70</f>
        <v>1.6E-2</v>
      </c>
      <c r="Q70">
        <v>1.5</v>
      </c>
      <c r="R70" s="43" t="s">
        <v>28</v>
      </c>
      <c r="S70" s="35" t="s">
        <v>28</v>
      </c>
      <c r="T70" s="31">
        <v>25.283563304274399</v>
      </c>
      <c r="U70" s="22">
        <f>M70</f>
        <v>1.6E-2</v>
      </c>
      <c r="V70" s="31">
        <v>35.545251207390187</v>
      </c>
      <c r="W70" s="22">
        <v>2.3613083114387361E-2</v>
      </c>
      <c r="X70" s="54">
        <v>0.97444775133196304</v>
      </c>
      <c r="Y70" s="56">
        <v>0.70806453647276002</v>
      </c>
    </row>
    <row r="71" spans="1:25" x14ac:dyDescent="0.3">
      <c r="A71" s="5">
        <f>A70+1</f>
        <v>69</v>
      </c>
      <c r="B71" s="5" t="s">
        <v>61</v>
      </c>
      <c r="C71">
        <v>1</v>
      </c>
      <c r="D71">
        <v>2.5000000000000001E-3</v>
      </c>
      <c r="E71">
        <v>1</v>
      </c>
      <c r="F71">
        <v>1</v>
      </c>
      <c r="G71">
        <v>0.5</v>
      </c>
      <c r="H71" s="32">
        <v>1220.61961512834</v>
      </c>
      <c r="I71">
        <v>7.54</v>
      </c>
      <c r="J71" s="30">
        <v>40.154413210252002</v>
      </c>
      <c r="K71" s="36">
        <v>40.154413210252002</v>
      </c>
      <c r="L71" s="5">
        <v>35</v>
      </c>
      <c r="M71">
        <v>1.6E-2</v>
      </c>
      <c r="N71">
        <v>4</v>
      </c>
      <c r="O71">
        <f>L71</f>
        <v>35</v>
      </c>
      <c r="P71">
        <f>M71</f>
        <v>1.6E-2</v>
      </c>
      <c r="Q71">
        <v>2</v>
      </c>
      <c r="R71" s="43" t="s">
        <v>28</v>
      </c>
      <c r="S71" s="35" t="s">
        <v>28</v>
      </c>
      <c r="T71" s="31">
        <v>26.257951729975701</v>
      </c>
      <c r="U71" s="22">
        <f>M71</f>
        <v>1.6E-2</v>
      </c>
      <c r="V71" s="31">
        <v>34.29659826185047</v>
      </c>
      <c r="W71" s="22">
        <v>2.3337381646493349E-2</v>
      </c>
      <c r="X71" s="54">
        <v>0.87398922026681203</v>
      </c>
      <c r="Y71" s="56">
        <v>0.63709677138181298</v>
      </c>
    </row>
    <row r="72" spans="1:25" x14ac:dyDescent="0.3">
      <c r="A72" s="5">
        <f>A71+1</f>
        <v>70</v>
      </c>
      <c r="B72" s="5" t="s">
        <v>61</v>
      </c>
      <c r="C72">
        <v>1</v>
      </c>
      <c r="D72">
        <v>2.5000000000000001E-3</v>
      </c>
      <c r="E72">
        <v>1</v>
      </c>
      <c r="F72">
        <v>1</v>
      </c>
      <c r="G72">
        <v>0.5</v>
      </c>
      <c r="H72" s="32">
        <v>1521.9517012225599</v>
      </c>
      <c r="I72">
        <v>7.54</v>
      </c>
      <c r="J72" s="30">
        <v>40.201375891369601</v>
      </c>
      <c r="K72" s="36">
        <v>40.201375891369601</v>
      </c>
      <c r="L72" s="5">
        <v>35</v>
      </c>
      <c r="M72">
        <v>1.6E-2</v>
      </c>
      <c r="N72">
        <v>5</v>
      </c>
      <c r="O72">
        <f>L72</f>
        <v>35</v>
      </c>
      <c r="P72">
        <f>M72</f>
        <v>1.6E-2</v>
      </c>
      <c r="Q72">
        <v>2.5</v>
      </c>
      <c r="R72" s="43" t="s">
        <v>28</v>
      </c>
      <c r="S72" s="35" t="s">
        <v>28</v>
      </c>
      <c r="T72" s="31">
        <v>27.122549910527599</v>
      </c>
      <c r="U72" s="22">
        <f>M72</f>
        <v>1.6E-2</v>
      </c>
      <c r="V72" s="31">
        <v>33.41900838825719</v>
      </c>
      <c r="W72" s="22">
        <v>2.2998178667632031E-2</v>
      </c>
      <c r="X72" s="54">
        <v>0.79362239541469204</v>
      </c>
      <c r="Y72" s="56">
        <v>0.57419358378187602</v>
      </c>
    </row>
    <row r="73" spans="1:25" x14ac:dyDescent="0.3">
      <c r="A73" s="5">
        <f>A72+1</f>
        <v>71</v>
      </c>
      <c r="B73" s="5" t="s">
        <v>62</v>
      </c>
      <c r="C73">
        <v>1</v>
      </c>
      <c r="D73">
        <v>2.5000000000000001E-3</v>
      </c>
      <c r="E73">
        <v>1</v>
      </c>
      <c r="F73">
        <v>1</v>
      </c>
      <c r="G73">
        <v>0.5</v>
      </c>
      <c r="H73" s="32">
        <v>307.985096793624</v>
      </c>
      <c r="I73">
        <v>7.54</v>
      </c>
      <c r="J73" s="30">
        <v>39.982017067064902</v>
      </c>
      <c r="K73" s="36">
        <v>39.982017067064902</v>
      </c>
      <c r="L73" s="5">
        <v>35</v>
      </c>
      <c r="M73">
        <v>1.6E-2</v>
      </c>
      <c r="N73">
        <v>1</v>
      </c>
      <c r="O73">
        <f>L73</f>
        <v>35</v>
      </c>
      <c r="P73">
        <f>M73</f>
        <v>1.6E-2</v>
      </c>
      <c r="Q73">
        <v>0.5</v>
      </c>
      <c r="R73" s="43" t="s">
        <v>28</v>
      </c>
      <c r="S73" s="35" t="s">
        <v>28</v>
      </c>
      <c r="T73" s="31">
        <v>23.087758401285601</v>
      </c>
      <c r="U73" s="22">
        <f>M73</f>
        <v>1.6E-2</v>
      </c>
      <c r="V73" s="31">
        <v>38.048174716200762</v>
      </c>
      <c r="W73" s="22">
        <v>2.4359518136119182E-2</v>
      </c>
      <c r="X73" s="54">
        <v>1.19545651967529</v>
      </c>
      <c r="Y73" s="56">
        <v>0.867741946400018</v>
      </c>
    </row>
    <row r="74" spans="1:25" x14ac:dyDescent="0.3">
      <c r="A74" s="5">
        <f>A73+1</f>
        <v>72</v>
      </c>
      <c r="B74" s="5" t="s">
        <v>62</v>
      </c>
      <c r="C74">
        <v>1</v>
      </c>
      <c r="D74">
        <v>2.5000000000000001E-3</v>
      </c>
      <c r="E74">
        <v>1</v>
      </c>
      <c r="F74">
        <v>1</v>
      </c>
      <c r="G74">
        <v>0.5</v>
      </c>
      <c r="H74" s="32">
        <v>613.77931963675201</v>
      </c>
      <c r="I74">
        <v>7.54</v>
      </c>
      <c r="J74" s="30">
        <v>40.0484753081683</v>
      </c>
      <c r="K74" s="36">
        <v>40.0484753081683</v>
      </c>
      <c r="L74" s="5">
        <v>35</v>
      </c>
      <c r="M74">
        <v>1.6E-2</v>
      </c>
      <c r="N74">
        <v>2</v>
      </c>
      <c r="O74">
        <f>L74</f>
        <v>35</v>
      </c>
      <c r="P74">
        <f>M74</f>
        <v>1.6E-2</v>
      </c>
      <c r="Q74">
        <v>1</v>
      </c>
      <c r="R74" s="43" t="s">
        <v>28</v>
      </c>
      <c r="S74" s="35" t="s">
        <v>28</v>
      </c>
      <c r="T74" s="31">
        <v>24.309174878573099</v>
      </c>
      <c r="U74" s="22">
        <f>M74</f>
        <v>1.6E-2</v>
      </c>
      <c r="V74" s="31">
        <v>36.328718089423333</v>
      </c>
      <c r="W74" s="22">
        <v>2.4078297870222976E-2</v>
      </c>
      <c r="X74" s="54">
        <v>1.0749062823971101</v>
      </c>
      <c r="Y74" s="56">
        <v>0.77903220927264705</v>
      </c>
    </row>
    <row r="75" spans="1:25" x14ac:dyDescent="0.3">
      <c r="A75" s="5">
        <f>A74+1</f>
        <v>73</v>
      </c>
      <c r="B75" s="5" t="s">
        <v>62</v>
      </c>
      <c r="C75">
        <v>1</v>
      </c>
      <c r="D75">
        <v>2.5000000000000001E-3</v>
      </c>
      <c r="E75">
        <v>1</v>
      </c>
      <c r="F75">
        <v>1</v>
      </c>
      <c r="G75">
        <v>0.5</v>
      </c>
      <c r="H75" s="32">
        <v>917.54800902954696</v>
      </c>
      <c r="I75">
        <v>7.54</v>
      </c>
      <c r="J75" s="30">
        <v>40.1119030875969</v>
      </c>
      <c r="K75" s="36">
        <v>40.1119030875969</v>
      </c>
      <c r="L75" s="5">
        <v>35</v>
      </c>
      <c r="M75">
        <v>1.6E-2</v>
      </c>
      <c r="N75">
        <v>3</v>
      </c>
      <c r="O75">
        <f>L75</f>
        <v>35</v>
      </c>
      <c r="P75">
        <f>M75</f>
        <v>1.6E-2</v>
      </c>
      <c r="Q75">
        <v>1.5</v>
      </c>
      <c r="R75" s="43" t="s">
        <v>28</v>
      </c>
      <c r="S75" s="35" t="s">
        <v>28</v>
      </c>
      <c r="T75" s="31">
        <v>25.475696233286001</v>
      </c>
      <c r="U75" s="22">
        <f>M75</f>
        <v>1.6E-2</v>
      </c>
      <c r="V75" s="31">
        <v>35.041192377717294</v>
      </c>
      <c r="W75" s="22">
        <v>2.3664108859707399E-2</v>
      </c>
      <c r="X75" s="54">
        <v>0.95435604511893302</v>
      </c>
      <c r="Y75" s="56">
        <v>0.69354841389095301</v>
      </c>
    </row>
    <row r="76" spans="1:25" x14ac:dyDescent="0.3">
      <c r="A76" s="5">
        <f>A75+1</f>
        <v>74</v>
      </c>
      <c r="B76" s="5" t="s">
        <v>62</v>
      </c>
      <c r="C76">
        <v>1</v>
      </c>
      <c r="D76">
        <v>2.5000000000000001E-3</v>
      </c>
      <c r="E76">
        <v>1</v>
      </c>
      <c r="F76">
        <v>1</v>
      </c>
      <c r="G76">
        <v>0.5</v>
      </c>
      <c r="H76" s="32">
        <v>1219.98752846306</v>
      </c>
      <c r="I76">
        <v>7.54</v>
      </c>
      <c r="J76" s="30">
        <v>40.164105829080299</v>
      </c>
      <c r="K76" s="36">
        <v>40.164105829080299</v>
      </c>
      <c r="L76" s="5">
        <v>35</v>
      </c>
      <c r="M76">
        <v>1.6E-2</v>
      </c>
      <c r="N76">
        <v>4</v>
      </c>
      <c r="O76">
        <f>L76</f>
        <v>35</v>
      </c>
      <c r="P76">
        <f>M76</f>
        <v>1.6E-2</v>
      </c>
      <c r="Q76">
        <v>2</v>
      </c>
      <c r="R76" s="43" t="s">
        <v>28</v>
      </c>
      <c r="S76" s="35" t="s">
        <v>28</v>
      </c>
      <c r="T76" s="31">
        <v>26.436360878343599</v>
      </c>
      <c r="U76" s="22">
        <f>M76</f>
        <v>1.6E-2</v>
      </c>
      <c r="V76" s="31">
        <v>34.088994561801627</v>
      </c>
      <c r="W76" s="22">
        <v>2.3278256838557481E-2</v>
      </c>
      <c r="X76" s="54">
        <v>0.86394336716029696</v>
      </c>
      <c r="Y76" s="56">
        <v>0.62419355814546995</v>
      </c>
    </row>
    <row r="77" spans="1:25" x14ac:dyDescent="0.3">
      <c r="A77" s="5">
        <f>A76+1</f>
        <v>75</v>
      </c>
      <c r="B77" s="5" t="s">
        <v>62</v>
      </c>
      <c r="C77">
        <v>1</v>
      </c>
      <c r="D77">
        <v>2.5000000000000001E-3</v>
      </c>
      <c r="E77">
        <v>1</v>
      </c>
      <c r="F77">
        <v>1</v>
      </c>
      <c r="G77">
        <v>0.5</v>
      </c>
      <c r="H77" s="32">
        <v>1521.9517012225599</v>
      </c>
      <c r="I77">
        <v>7.54</v>
      </c>
      <c r="J77" s="30">
        <v>40.201375891369601</v>
      </c>
      <c r="K77" s="36">
        <v>40.201375891369601</v>
      </c>
      <c r="L77" s="5">
        <v>35</v>
      </c>
      <c r="M77">
        <v>1.6E-2</v>
      </c>
      <c r="N77">
        <v>5</v>
      </c>
      <c r="O77">
        <f>L77</f>
        <v>35</v>
      </c>
      <c r="P77">
        <f>M77</f>
        <v>1.6E-2</v>
      </c>
      <c r="Q77">
        <v>2.5</v>
      </c>
      <c r="R77" s="43" t="s">
        <v>28</v>
      </c>
      <c r="S77" s="35" t="s">
        <v>28</v>
      </c>
      <c r="T77" s="31">
        <v>27.122549910527599</v>
      </c>
      <c r="U77" s="22">
        <f>M77</f>
        <v>1.6E-2</v>
      </c>
      <c r="V77" s="31">
        <v>33.41900838825719</v>
      </c>
      <c r="W77" s="22">
        <v>2.2998178667632031E-2</v>
      </c>
      <c r="X77" s="54">
        <v>0.79362239541469204</v>
      </c>
      <c r="Y77" s="56">
        <v>0.57419358378187602</v>
      </c>
    </row>
    <row r="78" spans="1:25" x14ac:dyDescent="0.3">
      <c r="A78" s="5">
        <f>A77+1</f>
        <v>76</v>
      </c>
      <c r="B78" s="5" t="s">
        <v>57</v>
      </c>
      <c r="C78">
        <v>1</v>
      </c>
      <c r="D78">
        <v>2.5000000000000001E-3</v>
      </c>
      <c r="E78">
        <v>1</v>
      </c>
      <c r="F78">
        <v>1</v>
      </c>
      <c r="G78">
        <v>0.2</v>
      </c>
      <c r="H78" s="32">
        <v>910.98364356192894</v>
      </c>
      <c r="I78">
        <v>7.54</v>
      </c>
      <c r="J78" s="30">
        <v>40.246318407599198</v>
      </c>
      <c r="K78" s="36">
        <v>40.246318407599198</v>
      </c>
      <c r="L78" s="5">
        <v>35</v>
      </c>
      <c r="M78">
        <v>1.6E-2</v>
      </c>
      <c r="N78">
        <v>3</v>
      </c>
      <c r="O78">
        <f>L78</f>
        <v>35</v>
      </c>
      <c r="P78">
        <f>M78</f>
        <v>1.6E-2</v>
      </c>
      <c r="Q78">
        <v>0.60000000000000009</v>
      </c>
      <c r="R78" s="43" t="s">
        <v>28</v>
      </c>
      <c r="S78" s="35" t="s">
        <v>28</v>
      </c>
      <c r="T78" s="31">
        <v>27.950357572062799</v>
      </c>
      <c r="U78" s="22">
        <f>M78</f>
        <v>1.6E-2</v>
      </c>
      <c r="V78" s="31">
        <v>32.581814015364237</v>
      </c>
      <c r="W78" s="22">
        <v>3.1214277142834923E-2</v>
      </c>
      <c r="X78" s="54">
        <v>0.70320971745605598</v>
      </c>
      <c r="Y78" s="56">
        <v>0.51368078645402004</v>
      </c>
    </row>
    <row r="79" spans="1:25" x14ac:dyDescent="0.3">
      <c r="A79" s="5">
        <f>A78+1</f>
        <v>77</v>
      </c>
      <c r="B79" s="5" t="s">
        <v>57</v>
      </c>
      <c r="C79">
        <v>1</v>
      </c>
      <c r="D79">
        <v>2.5000000000000001E-3</v>
      </c>
      <c r="E79">
        <v>1</v>
      </c>
      <c r="F79">
        <v>1</v>
      </c>
      <c r="G79">
        <v>0.35</v>
      </c>
      <c r="H79" s="32">
        <v>913.58327150610398</v>
      </c>
      <c r="I79">
        <v>7.54</v>
      </c>
      <c r="J79" s="30">
        <v>40.1929228093178</v>
      </c>
      <c r="K79" s="36">
        <v>40.1929228093178</v>
      </c>
      <c r="L79" s="5">
        <v>35</v>
      </c>
      <c r="M79">
        <v>1.6E-2</v>
      </c>
      <c r="N79">
        <v>3</v>
      </c>
      <c r="O79">
        <f>L79</f>
        <v>35</v>
      </c>
      <c r="P79">
        <f>M79</f>
        <v>1.6E-2</v>
      </c>
      <c r="Q79">
        <v>1.0499999999999998</v>
      </c>
      <c r="R79" s="43" t="s">
        <v>28</v>
      </c>
      <c r="S79" s="35" t="s">
        <v>28</v>
      </c>
      <c r="T79" s="31">
        <v>26.966894296410899</v>
      </c>
      <c r="U79" s="22">
        <f>M79</f>
        <v>1.6E-2</v>
      </c>
      <c r="V79" s="31">
        <v>37.126705433753045</v>
      </c>
      <c r="W79" s="22">
        <v>2.438459080410196E-2</v>
      </c>
      <c r="X79" s="54">
        <v>0.803668248521207</v>
      </c>
      <c r="Y79" s="56">
        <v>0.58534203581479405</v>
      </c>
    </row>
    <row r="80" spans="1:25" x14ac:dyDescent="0.3">
      <c r="A80" s="5">
        <f>A79+1</f>
        <v>78</v>
      </c>
      <c r="B80" s="5" t="s">
        <v>57</v>
      </c>
      <c r="C80">
        <v>1</v>
      </c>
      <c r="D80">
        <v>2.5000000000000001E-3</v>
      </c>
      <c r="E80">
        <v>1</v>
      </c>
      <c r="F80">
        <v>1</v>
      </c>
      <c r="G80">
        <v>0.5</v>
      </c>
      <c r="H80" s="32">
        <v>913.96240001891204</v>
      </c>
      <c r="I80">
        <v>7.54</v>
      </c>
      <c r="J80" s="30">
        <v>40.185153677653197</v>
      </c>
      <c r="K80" s="36">
        <v>40.185153677653197</v>
      </c>
      <c r="L80" s="5">
        <v>35</v>
      </c>
      <c r="M80">
        <v>1.6E-2</v>
      </c>
      <c r="N80">
        <v>3</v>
      </c>
      <c r="O80">
        <f>L80</f>
        <v>35</v>
      </c>
      <c r="P80">
        <f>M80</f>
        <v>1.6E-2</v>
      </c>
      <c r="Q80">
        <v>1.5</v>
      </c>
      <c r="R80" s="43" t="s">
        <v>28</v>
      </c>
      <c r="S80" s="35" t="s">
        <v>28</v>
      </c>
      <c r="T80" s="31">
        <v>26.823845237403201</v>
      </c>
      <c r="U80" s="22">
        <f>M80</f>
        <v>1.6E-2</v>
      </c>
      <c r="V80" s="31">
        <v>34.604949588091984</v>
      </c>
      <c r="W80" s="22">
        <v>2.2754907814530129E-2</v>
      </c>
      <c r="X80" s="54">
        <v>0.82375995473423702</v>
      </c>
      <c r="Y80" s="56">
        <v>0.59576548032668897</v>
      </c>
    </row>
    <row r="81" spans="1:25" x14ac:dyDescent="0.3">
      <c r="A81" s="5">
        <f>A80+1</f>
        <v>79</v>
      </c>
      <c r="B81" s="5" t="s">
        <v>57</v>
      </c>
      <c r="C81">
        <v>1</v>
      </c>
      <c r="D81">
        <v>2.5000000000000001E-3</v>
      </c>
      <c r="E81">
        <v>1</v>
      </c>
      <c r="F81">
        <v>1</v>
      </c>
      <c r="G81">
        <v>0.65</v>
      </c>
      <c r="H81" s="32">
        <v>914.19948503647504</v>
      </c>
      <c r="I81">
        <v>7.54</v>
      </c>
      <c r="J81" s="30">
        <v>40.180297641946403</v>
      </c>
      <c r="K81" s="36">
        <v>40.180297641946403</v>
      </c>
      <c r="L81" s="5">
        <v>35</v>
      </c>
      <c r="M81">
        <v>1.6E-2</v>
      </c>
      <c r="N81">
        <v>3</v>
      </c>
      <c r="O81">
        <f>L81</f>
        <v>35</v>
      </c>
      <c r="P81">
        <f>M81</f>
        <v>1.6E-2</v>
      </c>
      <c r="Q81">
        <v>1.9500000000000002</v>
      </c>
      <c r="R81" s="43" t="s">
        <v>28</v>
      </c>
      <c r="S81" s="35" t="s">
        <v>28</v>
      </c>
      <c r="T81" s="31">
        <v>26.734439486318799</v>
      </c>
      <c r="U81" s="22">
        <f>M81</f>
        <v>1.6E-2</v>
      </c>
      <c r="V81" s="31">
        <v>35.306774743418444</v>
      </c>
      <c r="W81" s="22">
        <v>2.1002764641054102E-2</v>
      </c>
      <c r="X81" s="54">
        <v>0.83380580784075198</v>
      </c>
      <c r="Y81" s="56">
        <v>0.60228013935948699</v>
      </c>
    </row>
    <row r="82" spans="1:25" x14ac:dyDescent="0.3">
      <c r="A82" s="5">
        <f>A81+1</f>
        <v>80</v>
      </c>
      <c r="B82" s="5" t="s">
        <v>57</v>
      </c>
      <c r="C82">
        <v>1</v>
      </c>
      <c r="D82">
        <v>2.5000000000000001E-3</v>
      </c>
      <c r="E82">
        <v>1</v>
      </c>
      <c r="F82">
        <v>1</v>
      </c>
      <c r="G82">
        <v>0.8</v>
      </c>
      <c r="H82" s="32">
        <v>914.05722244958099</v>
      </c>
      <c r="I82">
        <v>7.54</v>
      </c>
      <c r="J82" s="30">
        <v>40.183211285489797</v>
      </c>
      <c r="K82" s="36">
        <v>40.183211285489797</v>
      </c>
      <c r="L82" s="5">
        <v>35</v>
      </c>
      <c r="M82">
        <v>1.6E-2</v>
      </c>
      <c r="N82">
        <v>3</v>
      </c>
      <c r="O82">
        <f>L82</f>
        <v>35</v>
      </c>
      <c r="P82">
        <f>M82</f>
        <v>1.6E-2</v>
      </c>
      <c r="Q82">
        <v>2.4000000000000004</v>
      </c>
      <c r="R82" s="43" t="s">
        <v>28</v>
      </c>
      <c r="S82" s="35" t="s">
        <v>28</v>
      </c>
      <c r="T82" s="31">
        <v>26.788082794242101</v>
      </c>
      <c r="U82" s="22">
        <f>M82</f>
        <v>1.6E-2</v>
      </c>
      <c r="V82" s="31">
        <v>36.784276409072305</v>
      </c>
      <c r="W82" s="22">
        <v>1.9415303773001831E-2</v>
      </c>
      <c r="X82" s="54">
        <v>0.82375995473423702</v>
      </c>
      <c r="Y82" s="56">
        <v>0.59837135388038898</v>
      </c>
    </row>
    <row r="83" spans="1:25" x14ac:dyDescent="0.3">
      <c r="A83" s="5">
        <f>A82+1</f>
        <v>81</v>
      </c>
      <c r="B83" s="5" t="s">
        <v>59</v>
      </c>
      <c r="C83">
        <v>1</v>
      </c>
      <c r="D83">
        <v>2.5000000000000001E-3</v>
      </c>
      <c r="E83">
        <v>1</v>
      </c>
      <c r="F83">
        <v>1</v>
      </c>
      <c r="G83">
        <v>0.2</v>
      </c>
      <c r="H83" s="32">
        <v>911.92757458768801</v>
      </c>
      <c r="I83">
        <v>7.54</v>
      </c>
      <c r="J83" s="30">
        <v>40.226905306293602</v>
      </c>
      <c r="K83" s="36">
        <v>40.226905306293602</v>
      </c>
      <c r="L83" s="5">
        <v>35</v>
      </c>
      <c r="M83">
        <v>1.6E-2</v>
      </c>
      <c r="N83">
        <v>3</v>
      </c>
      <c r="O83" s="31">
        <f>T83</f>
        <v>27.592734554001499</v>
      </c>
      <c r="P83">
        <f>M83</f>
        <v>1.6E-2</v>
      </c>
      <c r="Q83">
        <v>0.60000000000000009</v>
      </c>
      <c r="R83" s="43" t="s">
        <v>28</v>
      </c>
      <c r="S83" s="35" t="s">
        <v>28</v>
      </c>
      <c r="T83" s="31">
        <v>27.592734554001499</v>
      </c>
      <c r="U83" s="22">
        <f>M83</f>
        <v>1.6E-2</v>
      </c>
      <c r="V83" s="31">
        <v>28.857210424450717</v>
      </c>
      <c r="W83" s="22">
        <v>3.0487387561145711E-2</v>
      </c>
      <c r="X83" s="54">
        <v>0.74339312988211603</v>
      </c>
      <c r="Y83" s="56">
        <v>0.53973942258521002</v>
      </c>
    </row>
    <row r="84" spans="1:25" x14ac:dyDescent="0.3">
      <c r="A84" s="5">
        <f>A83+1</f>
        <v>82</v>
      </c>
      <c r="B84" s="5" t="s">
        <v>59</v>
      </c>
      <c r="C84">
        <v>1</v>
      </c>
      <c r="D84">
        <v>2.5000000000000001E-3</v>
      </c>
      <c r="E84">
        <v>1</v>
      </c>
      <c r="F84">
        <v>1</v>
      </c>
      <c r="G84">
        <v>0.35</v>
      </c>
      <c r="H84" s="32">
        <v>914.91133824499798</v>
      </c>
      <c r="I84">
        <v>7.54</v>
      </c>
      <c r="J84" s="30">
        <v>40.1657280409569</v>
      </c>
      <c r="K84" s="36">
        <v>40.1657280409569</v>
      </c>
      <c r="L84" s="5">
        <v>35</v>
      </c>
      <c r="M84">
        <v>1.6E-2</v>
      </c>
      <c r="N84">
        <v>3</v>
      </c>
      <c r="O84" s="31">
        <f>T84</f>
        <v>26.4662222330657</v>
      </c>
      <c r="P84">
        <f>M84</f>
        <v>1.6E-2</v>
      </c>
      <c r="Q84">
        <v>1.0499999999999998</v>
      </c>
      <c r="R84" s="43" t="s">
        <v>28</v>
      </c>
      <c r="S84" s="35" t="s">
        <v>28</v>
      </c>
      <c r="T84" s="31">
        <v>26.4662222330657</v>
      </c>
      <c r="U84" s="22">
        <f>M84</f>
        <v>1.6E-2</v>
      </c>
      <c r="V84" s="31">
        <v>27.12498145649587</v>
      </c>
      <c r="W84" s="22">
        <v>2.5619739046563027E-2</v>
      </c>
      <c r="X84" s="54">
        <v>0.853897514053782</v>
      </c>
      <c r="Y84" s="56">
        <v>0.62182411645788005</v>
      </c>
    </row>
    <row r="85" spans="1:25" x14ac:dyDescent="0.3">
      <c r="A85" s="5">
        <f>A84+1</f>
        <v>83</v>
      </c>
      <c r="B85" s="5" t="s">
        <v>59</v>
      </c>
      <c r="C85">
        <v>1</v>
      </c>
      <c r="D85">
        <v>2.5000000000000001E-3</v>
      </c>
      <c r="E85">
        <v>1</v>
      </c>
      <c r="F85">
        <v>1</v>
      </c>
      <c r="G85">
        <v>0.5</v>
      </c>
      <c r="H85" s="32">
        <v>916.19494044231203</v>
      </c>
      <c r="I85">
        <v>7.54</v>
      </c>
      <c r="J85" s="30">
        <v>40.139497083025198</v>
      </c>
      <c r="K85" s="36">
        <v>40.139497083025198</v>
      </c>
      <c r="L85" s="5">
        <v>35</v>
      </c>
      <c r="M85">
        <v>1.6E-2</v>
      </c>
      <c r="N85">
        <v>3</v>
      </c>
      <c r="O85" s="31">
        <f>T85</f>
        <v>25.9834306913882</v>
      </c>
      <c r="P85">
        <f>M85</f>
        <v>1.6E-2</v>
      </c>
      <c r="Q85">
        <v>1.5</v>
      </c>
      <c r="R85" s="43" t="s">
        <v>28</v>
      </c>
      <c r="S85" s="35" t="s">
        <v>28</v>
      </c>
      <c r="T85" s="31">
        <v>25.9834306913882</v>
      </c>
      <c r="U85" s="22">
        <f>M85</f>
        <v>1.6E-2</v>
      </c>
      <c r="V85" s="31">
        <v>27.14524223268992</v>
      </c>
      <c r="W85" s="22">
        <v>2.2841135183828711E-2</v>
      </c>
      <c r="X85" s="54">
        <v>0.90412677958635801</v>
      </c>
      <c r="Y85" s="56">
        <v>0.65700331002701995</v>
      </c>
    </row>
    <row r="86" spans="1:25" x14ac:dyDescent="0.3">
      <c r="A86" s="5">
        <f>A85+1</f>
        <v>84</v>
      </c>
      <c r="B86" s="5" t="s">
        <v>59</v>
      </c>
      <c r="C86">
        <v>1</v>
      </c>
      <c r="D86">
        <v>2.5000000000000001E-3</v>
      </c>
      <c r="E86">
        <v>1</v>
      </c>
      <c r="F86">
        <v>1</v>
      </c>
      <c r="G86">
        <v>0.65</v>
      </c>
      <c r="H86" s="32">
        <v>916.76636596377705</v>
      </c>
      <c r="I86">
        <v>7.54</v>
      </c>
      <c r="J86" s="30">
        <v>40.1278365690874</v>
      </c>
      <c r="K86" s="36">
        <v>40.1278365690874</v>
      </c>
      <c r="L86" s="5">
        <v>35</v>
      </c>
      <c r="M86">
        <v>1.6E-2</v>
      </c>
      <c r="N86">
        <v>3</v>
      </c>
      <c r="O86" s="31">
        <f>T86</f>
        <v>25.768857089152899</v>
      </c>
      <c r="P86">
        <f>M86</f>
        <v>1.6E-2</v>
      </c>
      <c r="Q86">
        <v>1.9500000000000002</v>
      </c>
      <c r="R86" s="43" t="s">
        <v>28</v>
      </c>
      <c r="S86" s="35" t="s">
        <v>28</v>
      </c>
      <c r="T86" s="31">
        <v>25.768857089152899</v>
      </c>
      <c r="U86" s="22">
        <f>M86</f>
        <v>1.6E-2</v>
      </c>
      <c r="V86" s="31">
        <v>25.519563248040857</v>
      </c>
      <c r="W86" s="22">
        <v>2.1866546743948813E-2</v>
      </c>
      <c r="X86" s="54">
        <v>0.92421848579938803</v>
      </c>
      <c r="Y86" s="56">
        <v>0.67263847679486299</v>
      </c>
    </row>
    <row r="87" spans="1:25" x14ac:dyDescent="0.3">
      <c r="A87" s="5">
        <f>A86+1</f>
        <v>85</v>
      </c>
      <c r="B87" s="5" t="s">
        <v>59</v>
      </c>
      <c r="C87">
        <v>1</v>
      </c>
      <c r="D87">
        <v>2.5000000000000001E-3</v>
      </c>
      <c r="E87">
        <v>1</v>
      </c>
      <c r="F87">
        <v>1</v>
      </c>
      <c r="G87">
        <v>0.8</v>
      </c>
      <c r="H87" s="32">
        <v>917.38606322697501</v>
      </c>
      <c r="I87">
        <v>7.54</v>
      </c>
      <c r="J87" s="30">
        <v>40.115202701879298</v>
      </c>
      <c r="K87" s="36">
        <v>40.115202701879298</v>
      </c>
      <c r="L87" s="5">
        <v>35</v>
      </c>
      <c r="M87">
        <v>1.6E-2</v>
      </c>
      <c r="N87">
        <v>3</v>
      </c>
      <c r="O87" s="31">
        <f>T87</f>
        <v>25.5364019359663</v>
      </c>
      <c r="P87">
        <f>M87</f>
        <v>1.6E-2</v>
      </c>
      <c r="Q87">
        <v>2.4000000000000004</v>
      </c>
      <c r="R87" s="43" t="s">
        <v>28</v>
      </c>
      <c r="S87" s="35" t="s">
        <v>28</v>
      </c>
      <c r="T87" s="31">
        <v>25.5364019359663</v>
      </c>
      <c r="U87" s="22">
        <f>M87</f>
        <v>1.6E-2</v>
      </c>
      <c r="V87" s="31">
        <v>25.086891006888354</v>
      </c>
      <c r="W87" s="22">
        <v>2.098632568872388E-2</v>
      </c>
      <c r="X87" s="54">
        <v>0.95435604511893302</v>
      </c>
      <c r="Y87" s="56">
        <v>0.68957660519100805</v>
      </c>
    </row>
    <row r="88" spans="1:25" x14ac:dyDescent="0.3">
      <c r="A88" s="5">
        <f>A87+1</f>
        <v>86</v>
      </c>
      <c r="B88" s="5" t="s">
        <v>60</v>
      </c>
      <c r="C88">
        <v>1</v>
      </c>
      <c r="D88">
        <v>2.5000000000000001E-3</v>
      </c>
      <c r="E88">
        <v>1</v>
      </c>
      <c r="F88">
        <v>1</v>
      </c>
      <c r="G88">
        <v>0.2</v>
      </c>
      <c r="H88" s="32">
        <v>906.66188060602803</v>
      </c>
      <c r="I88">
        <v>7.54</v>
      </c>
      <c r="J88" s="30">
        <v>40.335567529829603</v>
      </c>
      <c r="K88" s="36">
        <v>40.335567529829603</v>
      </c>
      <c r="L88" s="5">
        <v>35</v>
      </c>
      <c r="M88">
        <v>1.6E-2</v>
      </c>
      <c r="N88">
        <v>3</v>
      </c>
      <c r="O88" s="31">
        <f>T88</f>
        <v>29.595423534742601</v>
      </c>
      <c r="P88">
        <f>M88</f>
        <v>1.6E-2</v>
      </c>
      <c r="Q88">
        <v>0.60000000000000009</v>
      </c>
      <c r="R88" s="43" t="s">
        <v>28</v>
      </c>
      <c r="S88" s="35" t="s">
        <v>28</v>
      </c>
      <c r="T88" s="31">
        <v>29.595423534742601</v>
      </c>
      <c r="U88" s="22">
        <f>M88</f>
        <v>1.6E-2</v>
      </c>
      <c r="V88" s="31">
        <v>28.42664285672884</v>
      </c>
      <c r="W88" s="22">
        <v>2.7420961292462014E-2</v>
      </c>
      <c r="X88" s="54">
        <v>0.54247606775181501</v>
      </c>
      <c r="Y88" s="56">
        <v>0.393811050309962</v>
      </c>
    </row>
    <row r="89" spans="1:25" x14ac:dyDescent="0.3">
      <c r="A89" s="5">
        <f>A88+1</f>
        <v>87</v>
      </c>
      <c r="B89" s="5" t="s">
        <v>60</v>
      </c>
      <c r="C89">
        <v>1</v>
      </c>
      <c r="D89">
        <v>2.5000000000000001E-3</v>
      </c>
      <c r="E89">
        <v>1</v>
      </c>
      <c r="F89">
        <v>1</v>
      </c>
      <c r="G89">
        <v>0.35</v>
      </c>
      <c r="H89" s="32">
        <v>913.58327150610398</v>
      </c>
      <c r="I89">
        <v>7.54</v>
      </c>
      <c r="J89" s="30">
        <v>40.1929228093178</v>
      </c>
      <c r="K89" s="36">
        <v>40.1929228093178</v>
      </c>
      <c r="L89" s="5">
        <v>35</v>
      </c>
      <c r="M89">
        <v>1.6E-2</v>
      </c>
      <c r="N89">
        <v>3</v>
      </c>
      <c r="O89" s="31">
        <f>T89</f>
        <v>26.966894296410899</v>
      </c>
      <c r="P89">
        <f>M89</f>
        <v>1.6E-2</v>
      </c>
      <c r="Q89">
        <v>1.0499999999999998</v>
      </c>
      <c r="R89" s="43" t="s">
        <v>28</v>
      </c>
      <c r="S89" s="35" t="s">
        <v>28</v>
      </c>
      <c r="T89" s="31">
        <v>26.966894296410899</v>
      </c>
      <c r="U89" s="22">
        <f>M89</f>
        <v>1.6E-2</v>
      </c>
      <c r="V89" s="31">
        <v>27.783379947320888</v>
      </c>
      <c r="W89" s="22">
        <v>2.4971509601615038E-2</v>
      </c>
      <c r="X89" s="54">
        <v>0.803668248521207</v>
      </c>
      <c r="Y89" s="56">
        <v>0.58534203581479405</v>
      </c>
    </row>
    <row r="90" spans="1:25" x14ac:dyDescent="0.3">
      <c r="A90" s="5">
        <f>A89+1</f>
        <v>88</v>
      </c>
      <c r="B90" s="5" t="s">
        <v>60</v>
      </c>
      <c r="C90">
        <v>1</v>
      </c>
      <c r="D90">
        <v>2.5000000000000001E-3</v>
      </c>
      <c r="E90">
        <v>1</v>
      </c>
      <c r="F90">
        <v>1</v>
      </c>
      <c r="G90">
        <v>0.5</v>
      </c>
      <c r="H90" s="32">
        <v>917.14763804316999</v>
      </c>
      <c r="I90">
        <v>7.54</v>
      </c>
      <c r="J90" s="30">
        <v>40.120062076949303</v>
      </c>
      <c r="K90" s="36">
        <v>40.120062076949303</v>
      </c>
      <c r="L90" s="5">
        <v>35</v>
      </c>
      <c r="M90">
        <v>1.6E-2</v>
      </c>
      <c r="N90">
        <v>3</v>
      </c>
      <c r="O90" s="31">
        <f>T90</f>
        <v>25.625807687050699</v>
      </c>
      <c r="P90">
        <f>M90</f>
        <v>1.6E-2</v>
      </c>
      <c r="Q90">
        <v>1.5</v>
      </c>
      <c r="R90" s="43" t="s">
        <v>28</v>
      </c>
      <c r="S90" s="35" t="s">
        <v>28</v>
      </c>
      <c r="T90" s="31">
        <v>25.625807687050699</v>
      </c>
      <c r="U90" s="22">
        <f>M90</f>
        <v>1.6E-2</v>
      </c>
      <c r="V90" s="31">
        <v>26.196369664844767</v>
      </c>
      <c r="W90" s="22">
        <v>2.3375899201663636E-2</v>
      </c>
      <c r="X90" s="54">
        <v>0.94431019201241795</v>
      </c>
      <c r="Y90" s="56">
        <v>0.68306194615821003</v>
      </c>
    </row>
    <row r="91" spans="1:25" x14ac:dyDescent="0.3">
      <c r="A91" s="5">
        <f>A90+1</f>
        <v>89</v>
      </c>
      <c r="B91" s="5" t="s">
        <v>60</v>
      </c>
      <c r="C91">
        <v>1</v>
      </c>
      <c r="D91">
        <v>2.5000000000000001E-3</v>
      </c>
      <c r="E91">
        <v>1</v>
      </c>
      <c r="F91">
        <v>1</v>
      </c>
      <c r="G91">
        <v>0.65</v>
      </c>
      <c r="H91" s="32">
        <v>919.48854174588701</v>
      </c>
      <c r="I91">
        <v>7.54</v>
      </c>
      <c r="J91" s="30">
        <v>40.072429441201997</v>
      </c>
      <c r="K91" s="36">
        <v>40.072429441201997</v>
      </c>
      <c r="L91" s="5">
        <v>35</v>
      </c>
      <c r="M91">
        <v>1.6E-2</v>
      </c>
      <c r="N91">
        <v>3</v>
      </c>
      <c r="O91" s="31">
        <f>T91</f>
        <v>24.749631384063701</v>
      </c>
      <c r="P91">
        <f>M91</f>
        <v>1.6E-2</v>
      </c>
      <c r="Q91">
        <v>1.9500000000000002</v>
      </c>
      <c r="R91" s="43" t="s">
        <v>28</v>
      </c>
      <c r="S91" s="35" t="s">
        <v>28</v>
      </c>
      <c r="T91" s="31">
        <v>24.749631384063701</v>
      </c>
      <c r="U91" s="22">
        <f>M91</f>
        <v>1.6E-2</v>
      </c>
      <c r="V91" s="31">
        <v>26.147445802403094</v>
      </c>
      <c r="W91" s="22">
        <v>2.1831831846432392E-2</v>
      </c>
      <c r="X91" s="54">
        <v>1.03472286997105</v>
      </c>
      <c r="Y91" s="56">
        <v>0.74690559970933701</v>
      </c>
    </row>
    <row r="92" spans="1:25" x14ac:dyDescent="0.3">
      <c r="A92" s="5">
        <f>A91+1</f>
        <v>90</v>
      </c>
      <c r="B92" s="5" t="s">
        <v>60</v>
      </c>
      <c r="C92">
        <v>1</v>
      </c>
      <c r="D92">
        <v>2.5000000000000001E-3</v>
      </c>
      <c r="E92">
        <v>1</v>
      </c>
      <c r="F92">
        <v>1</v>
      </c>
      <c r="G92">
        <v>0.8</v>
      </c>
      <c r="H92" s="32">
        <v>921.74300639126204</v>
      </c>
      <c r="I92">
        <v>7.54</v>
      </c>
      <c r="J92" s="30">
        <v>40.026718455108899</v>
      </c>
      <c r="K92" s="36">
        <v>40.026718455108899</v>
      </c>
      <c r="L92" s="5">
        <v>35</v>
      </c>
      <c r="M92">
        <v>1.6E-2</v>
      </c>
      <c r="N92">
        <v>3</v>
      </c>
      <c r="O92" s="31">
        <f>T92</f>
        <v>23.9092175242377</v>
      </c>
      <c r="P92">
        <f>M92</f>
        <v>1.6E-2</v>
      </c>
      <c r="Q92">
        <v>2.4000000000000004</v>
      </c>
      <c r="R92" s="43" t="s">
        <v>28</v>
      </c>
      <c r="S92" s="35" t="s">
        <v>28</v>
      </c>
      <c r="T92" s="31">
        <v>23.9092175242377</v>
      </c>
      <c r="U92" s="22">
        <f>M92</f>
        <v>1.6E-2</v>
      </c>
      <c r="V92" s="31">
        <v>25.375315770410744</v>
      </c>
      <c r="W92" s="22">
        <v>2.1033357009943961E-2</v>
      </c>
      <c r="X92" s="54">
        <v>1.1150896948231701</v>
      </c>
      <c r="Y92" s="56">
        <v>0.80814337970676298</v>
      </c>
    </row>
    <row r="93" spans="1:25" x14ac:dyDescent="0.3">
      <c r="A93" s="5">
        <f>A92+1</f>
        <v>91</v>
      </c>
      <c r="B93" s="5" t="s">
        <v>61</v>
      </c>
      <c r="C93">
        <v>1</v>
      </c>
      <c r="D93">
        <v>2.5000000000000001E-3</v>
      </c>
      <c r="E93">
        <v>1</v>
      </c>
      <c r="F93">
        <v>1</v>
      </c>
      <c r="G93">
        <v>0.2</v>
      </c>
      <c r="H93" s="32">
        <v>913.34644532010304</v>
      </c>
      <c r="I93">
        <v>7.54</v>
      </c>
      <c r="J93" s="30">
        <v>40.197778197945503</v>
      </c>
      <c r="K93" s="36">
        <v>40.197778197945503</v>
      </c>
      <c r="L93" s="5">
        <v>35</v>
      </c>
      <c r="M93">
        <v>1.6E-2</v>
      </c>
      <c r="N93">
        <v>3</v>
      </c>
      <c r="O93">
        <f>L93</f>
        <v>35</v>
      </c>
      <c r="P93">
        <f>M93</f>
        <v>1.6E-2</v>
      </c>
      <c r="Q93">
        <v>0.60000000000000009</v>
      </c>
      <c r="R93" s="43" t="s">
        <v>28</v>
      </c>
      <c r="S93" s="35" t="s">
        <v>28</v>
      </c>
      <c r="T93" s="31">
        <v>27.056300047495199</v>
      </c>
      <c r="U93" s="22">
        <f>M93</f>
        <v>1.6E-2</v>
      </c>
      <c r="V93" s="31">
        <v>40.484148508489</v>
      </c>
      <c r="W93" s="22">
        <v>2.9750752162112884E-2</v>
      </c>
      <c r="X93" s="54">
        <v>0.79362239541469204</v>
      </c>
      <c r="Y93" s="56">
        <v>0.57882737678199603</v>
      </c>
    </row>
    <row r="94" spans="1:25" x14ac:dyDescent="0.3">
      <c r="A94" s="5">
        <f>A93+1</f>
        <v>92</v>
      </c>
      <c r="B94" s="5" t="s">
        <v>61</v>
      </c>
      <c r="C94">
        <v>1</v>
      </c>
      <c r="D94">
        <v>2.5000000000000001E-3</v>
      </c>
      <c r="E94">
        <v>1</v>
      </c>
      <c r="F94">
        <v>1</v>
      </c>
      <c r="G94">
        <v>0.35</v>
      </c>
      <c r="H94" s="32">
        <v>916.86166011769899</v>
      </c>
      <c r="I94">
        <v>7.54</v>
      </c>
      <c r="J94" s="30">
        <v>40.125893001625997</v>
      </c>
      <c r="K94" s="36">
        <v>40.125893001625997</v>
      </c>
      <c r="L94" s="5">
        <v>35</v>
      </c>
      <c r="M94">
        <v>1.6E-2</v>
      </c>
      <c r="N94">
        <v>3</v>
      </c>
      <c r="O94">
        <f>L94</f>
        <v>35</v>
      </c>
      <c r="P94">
        <f>M94</f>
        <v>1.6E-2</v>
      </c>
      <c r="Q94">
        <v>1.0499999999999998</v>
      </c>
      <c r="R94" s="43" t="s">
        <v>28</v>
      </c>
      <c r="S94" s="35" t="s">
        <v>28</v>
      </c>
      <c r="T94" s="31">
        <v>25.733094659715601</v>
      </c>
      <c r="U94" s="22">
        <f>M94</f>
        <v>1.6E-2</v>
      </c>
      <c r="V94" s="31">
        <v>37.447877499314735</v>
      </c>
      <c r="W94" s="22">
        <v>2.5672374815622907E-2</v>
      </c>
      <c r="X94" s="54">
        <v>0.93426433890590299</v>
      </c>
      <c r="Y94" s="56">
        <v>0.675244350348563</v>
      </c>
    </row>
    <row r="95" spans="1:25" x14ac:dyDescent="0.3">
      <c r="A95" s="5">
        <f>A94+1</f>
        <v>93</v>
      </c>
      <c r="B95" s="5" t="s">
        <v>61</v>
      </c>
      <c r="C95">
        <v>1</v>
      </c>
      <c r="D95">
        <v>2.5000000000000001E-3</v>
      </c>
      <c r="E95">
        <v>1</v>
      </c>
      <c r="F95">
        <v>1</v>
      </c>
      <c r="G95">
        <v>0.5</v>
      </c>
      <c r="H95" s="32">
        <v>917.48146088300098</v>
      </c>
      <c r="I95">
        <v>7.54</v>
      </c>
      <c r="J95" s="30">
        <v>40.1132588928836</v>
      </c>
      <c r="K95" s="36">
        <v>40.1132588928836</v>
      </c>
      <c r="L95" s="5">
        <v>35</v>
      </c>
      <c r="M95">
        <v>1.6E-2</v>
      </c>
      <c r="N95">
        <v>3</v>
      </c>
      <c r="O95">
        <f>L95</f>
        <v>35</v>
      </c>
      <c r="P95">
        <f>M95</f>
        <v>1.6E-2</v>
      </c>
      <c r="Q95">
        <v>1.5</v>
      </c>
      <c r="R95" s="43" t="s">
        <v>28</v>
      </c>
      <c r="S95" s="35" t="s">
        <v>28</v>
      </c>
      <c r="T95" s="31">
        <v>25.500639835899701</v>
      </c>
      <c r="U95" s="22">
        <f>M95</f>
        <v>1.6E-2</v>
      </c>
      <c r="V95" s="31">
        <v>35.194970256189571</v>
      </c>
      <c r="W95" s="22">
        <v>2.3581160368497937E-2</v>
      </c>
      <c r="X95" s="54">
        <v>0.95435604511893302</v>
      </c>
      <c r="Y95" s="56">
        <v>0.69218245389325594</v>
      </c>
    </row>
    <row r="96" spans="1:25" x14ac:dyDescent="0.3">
      <c r="A96" s="5">
        <f>A95+1</f>
        <v>94</v>
      </c>
      <c r="B96" s="5" t="s">
        <v>61</v>
      </c>
      <c r="C96">
        <v>1</v>
      </c>
      <c r="D96">
        <v>2.5000000000000001E-3</v>
      </c>
      <c r="E96">
        <v>1</v>
      </c>
      <c r="F96">
        <v>1</v>
      </c>
      <c r="G96">
        <v>0.65</v>
      </c>
      <c r="H96" s="32">
        <v>916.76636596377705</v>
      </c>
      <c r="I96">
        <v>7.54</v>
      </c>
      <c r="J96" s="30">
        <v>40.1278365690874</v>
      </c>
      <c r="K96" s="36">
        <v>40.1278365690874</v>
      </c>
      <c r="L96" s="5">
        <v>35</v>
      </c>
      <c r="M96">
        <v>1.6E-2</v>
      </c>
      <c r="N96">
        <v>3</v>
      </c>
      <c r="O96">
        <f>L96</f>
        <v>35</v>
      </c>
      <c r="P96">
        <f>M96</f>
        <v>1.6E-2</v>
      </c>
      <c r="Q96">
        <v>1.9500000000000002</v>
      </c>
      <c r="R96" s="43" t="s">
        <v>28</v>
      </c>
      <c r="S96" s="35" t="s">
        <v>28</v>
      </c>
      <c r="T96" s="31">
        <v>25.768857089152899</v>
      </c>
      <c r="U96" s="22">
        <f>M96</f>
        <v>1.6E-2</v>
      </c>
      <c r="V96" s="31">
        <v>34.108139333502237</v>
      </c>
      <c r="W96" s="22">
        <v>2.2090032960150698E-2</v>
      </c>
      <c r="X96" s="54">
        <v>0.92421848579938803</v>
      </c>
      <c r="Y96" s="56">
        <v>0.67263847679486299</v>
      </c>
    </row>
    <row r="97" spans="1:25" x14ac:dyDescent="0.3">
      <c r="A97" s="5">
        <f>A96+1</f>
        <v>95</v>
      </c>
      <c r="B97" s="5" t="s">
        <v>61</v>
      </c>
      <c r="C97">
        <v>1</v>
      </c>
      <c r="D97">
        <v>2.5000000000000001E-3</v>
      </c>
      <c r="E97">
        <v>1</v>
      </c>
      <c r="F97">
        <v>1</v>
      </c>
      <c r="G97">
        <v>0.8</v>
      </c>
      <c r="H97" s="32">
        <v>914.91133824499798</v>
      </c>
      <c r="I97">
        <v>7.54</v>
      </c>
      <c r="J97" s="30">
        <v>40.1657280409569</v>
      </c>
      <c r="K97" s="36">
        <v>40.1657280409569</v>
      </c>
      <c r="L97" s="5">
        <v>35</v>
      </c>
      <c r="M97">
        <v>1.6E-2</v>
      </c>
      <c r="N97">
        <v>3</v>
      </c>
      <c r="O97">
        <f>L97</f>
        <v>35</v>
      </c>
      <c r="P97">
        <f>M97</f>
        <v>1.6E-2</v>
      </c>
      <c r="Q97">
        <v>2.4000000000000004</v>
      </c>
      <c r="R97" s="43" t="s">
        <v>28</v>
      </c>
      <c r="S97" s="35" t="s">
        <v>28</v>
      </c>
      <c r="T97" s="31">
        <v>26.4662222330657</v>
      </c>
      <c r="U97" s="22">
        <f>M97</f>
        <v>1.6E-2</v>
      </c>
      <c r="V97" s="31">
        <v>33.900935699181197</v>
      </c>
      <c r="W97" s="22">
        <v>2.0748206358986263E-2</v>
      </c>
      <c r="X97" s="54">
        <v>0.853897514053782</v>
      </c>
      <c r="Y97" s="56">
        <v>0.62182411645788005</v>
      </c>
    </row>
    <row r="98" spans="1:25" x14ac:dyDescent="0.3">
      <c r="A98" s="5">
        <f>A97+1</f>
        <v>96</v>
      </c>
      <c r="B98" s="5" t="s">
        <v>62</v>
      </c>
      <c r="C98">
        <v>1</v>
      </c>
      <c r="D98">
        <v>2.5000000000000001E-3</v>
      </c>
      <c r="E98">
        <v>1</v>
      </c>
      <c r="F98">
        <v>1</v>
      </c>
      <c r="G98">
        <v>0.2</v>
      </c>
      <c r="H98" s="32">
        <v>908.63072937594904</v>
      </c>
      <c r="I98">
        <v>7.54</v>
      </c>
      <c r="J98" s="30">
        <v>40.294833777299402</v>
      </c>
      <c r="K98" s="36">
        <v>40.294833777299402</v>
      </c>
      <c r="L98" s="5">
        <v>35</v>
      </c>
      <c r="M98">
        <v>1.6E-2</v>
      </c>
      <c r="N98">
        <v>3</v>
      </c>
      <c r="O98">
        <f>L98</f>
        <v>35</v>
      </c>
      <c r="P98">
        <f>M98</f>
        <v>1.6E-2</v>
      </c>
      <c r="Q98">
        <v>0.60000000000000009</v>
      </c>
      <c r="R98" s="43" t="s">
        <v>28</v>
      </c>
      <c r="S98" s="35" t="s">
        <v>28</v>
      </c>
      <c r="T98" s="31">
        <v>28.844415082906501</v>
      </c>
      <c r="U98" s="22">
        <f>M98</f>
        <v>1.6E-2</v>
      </c>
      <c r="V98" s="31">
        <v>34.557696176791715</v>
      </c>
      <c r="W98" s="22">
        <v>2.8592840891453499E-2</v>
      </c>
      <c r="X98" s="54">
        <v>0.62284289260393499</v>
      </c>
      <c r="Y98" s="56">
        <v>0.44853419612604301</v>
      </c>
    </row>
    <row r="99" spans="1:25" x14ac:dyDescent="0.3">
      <c r="A99" s="5">
        <f>A98+1</f>
        <v>97</v>
      </c>
      <c r="B99" s="5" t="s">
        <v>62</v>
      </c>
      <c r="C99">
        <v>1</v>
      </c>
      <c r="D99">
        <v>2.5000000000000001E-3</v>
      </c>
      <c r="E99">
        <v>1</v>
      </c>
      <c r="F99">
        <v>1</v>
      </c>
      <c r="G99">
        <v>0.35</v>
      </c>
      <c r="H99" s="32">
        <v>914.34178535557805</v>
      </c>
      <c r="I99">
        <v>7.54</v>
      </c>
      <c r="J99" s="30">
        <v>40.177383870763599</v>
      </c>
      <c r="K99" s="36">
        <v>40.177383870763599</v>
      </c>
      <c r="L99" s="5">
        <v>35</v>
      </c>
      <c r="M99">
        <v>1.6E-2</v>
      </c>
      <c r="N99">
        <v>3</v>
      </c>
      <c r="O99">
        <f>L99</f>
        <v>35</v>
      </c>
      <c r="P99">
        <f>M99</f>
        <v>1.6E-2</v>
      </c>
      <c r="Q99">
        <v>1.0499999999999998</v>
      </c>
      <c r="R99" s="43" t="s">
        <v>28</v>
      </c>
      <c r="S99" s="35" t="s">
        <v>28</v>
      </c>
      <c r="T99" s="31">
        <v>26.6807954784827</v>
      </c>
      <c r="U99" s="22">
        <f>M99</f>
        <v>1.6E-2</v>
      </c>
      <c r="V99" s="31">
        <v>35.715854898292406</v>
      </c>
      <c r="W99" s="22">
        <v>2.5291029646136127E-2</v>
      </c>
      <c r="X99" s="54">
        <v>0.83380580784075198</v>
      </c>
      <c r="Y99" s="56">
        <v>0.60618897454148901</v>
      </c>
    </row>
    <row r="100" spans="1:25" x14ac:dyDescent="0.3">
      <c r="A100" s="5">
        <f>A99+1</f>
        <v>98</v>
      </c>
      <c r="B100" s="5" t="s">
        <v>62</v>
      </c>
      <c r="C100">
        <v>1</v>
      </c>
      <c r="D100">
        <v>2.5000000000000001E-3</v>
      </c>
      <c r="E100">
        <v>1</v>
      </c>
      <c r="F100">
        <v>1</v>
      </c>
      <c r="G100">
        <v>0.5</v>
      </c>
      <c r="H100" s="32">
        <v>917.14763804316999</v>
      </c>
      <c r="I100">
        <v>7.54</v>
      </c>
      <c r="J100" s="30">
        <v>40.120062076949303</v>
      </c>
      <c r="K100" s="36">
        <v>40.120062076949303</v>
      </c>
      <c r="L100" s="5">
        <v>35</v>
      </c>
      <c r="M100">
        <v>1.6E-2</v>
      </c>
      <c r="N100">
        <v>3</v>
      </c>
      <c r="O100">
        <f>L100</f>
        <v>35</v>
      </c>
      <c r="P100">
        <f>M100</f>
        <v>1.6E-2</v>
      </c>
      <c r="Q100">
        <v>1.5</v>
      </c>
      <c r="R100" s="43" t="s">
        <v>28</v>
      </c>
      <c r="S100" s="35" t="s">
        <v>28</v>
      </c>
      <c r="T100" s="31">
        <v>25.625807687050699</v>
      </c>
      <c r="U100" s="22">
        <f>M100</f>
        <v>1.6E-2</v>
      </c>
      <c r="V100" s="31">
        <v>35.192434625997436</v>
      </c>
      <c r="W100" s="22">
        <v>2.3481267582440402E-2</v>
      </c>
      <c r="X100" s="54">
        <v>0.94431019201241795</v>
      </c>
      <c r="Y100" s="56">
        <v>0.68306194615821003</v>
      </c>
    </row>
    <row r="101" spans="1:25" x14ac:dyDescent="0.3">
      <c r="A101" s="5">
        <f>A100+1</f>
        <v>99</v>
      </c>
      <c r="B101" s="5" t="s">
        <v>62</v>
      </c>
      <c r="C101">
        <v>1</v>
      </c>
      <c r="D101">
        <v>2.5000000000000001E-3</v>
      </c>
      <c r="E101">
        <v>1</v>
      </c>
      <c r="F101">
        <v>1</v>
      </c>
      <c r="G101">
        <v>0.65</v>
      </c>
      <c r="H101" s="32">
        <v>917.91095150009198</v>
      </c>
      <c r="I101">
        <v>7.54</v>
      </c>
      <c r="J101" s="30">
        <v>40.104511213187898</v>
      </c>
      <c r="K101" s="36">
        <v>40.104511213187898</v>
      </c>
      <c r="L101" s="5">
        <v>35</v>
      </c>
      <c r="M101">
        <v>1.6E-2</v>
      </c>
      <c r="N101">
        <v>3</v>
      </c>
      <c r="O101">
        <f>L101</f>
        <v>35</v>
      </c>
      <c r="P101">
        <f>M101</f>
        <v>1.6E-2</v>
      </c>
      <c r="Q101">
        <v>1.9500000000000002</v>
      </c>
      <c r="R101" s="43" t="s">
        <v>28</v>
      </c>
      <c r="S101" s="35" t="s">
        <v>28</v>
      </c>
      <c r="T101" s="31">
        <v>25.339709555311501</v>
      </c>
      <c r="U101" s="22">
        <f>M101</f>
        <v>1.6E-2</v>
      </c>
      <c r="V101" s="31">
        <v>34.71227659608725</v>
      </c>
      <c r="W101" s="22">
        <v>2.2110043019854364E-2</v>
      </c>
      <c r="X101" s="54">
        <v>0.97444775133196304</v>
      </c>
      <c r="Y101" s="56">
        <v>0.70390883518200098</v>
      </c>
    </row>
    <row r="102" spans="1:25" ht="15" thickBot="1" x14ac:dyDescent="0.35">
      <c r="A102" s="7">
        <f>A101+1</f>
        <v>100</v>
      </c>
      <c r="B102" s="7" t="s">
        <v>62</v>
      </c>
      <c r="C102" s="8">
        <v>1</v>
      </c>
      <c r="D102" s="8">
        <v>2.5000000000000001E-3</v>
      </c>
      <c r="E102" s="8">
        <v>1</v>
      </c>
      <c r="F102" s="8">
        <v>1</v>
      </c>
      <c r="G102" s="8">
        <v>0.8</v>
      </c>
      <c r="H102" s="44">
        <v>917.38606322697501</v>
      </c>
      <c r="I102" s="8">
        <v>7.54</v>
      </c>
      <c r="J102" s="47">
        <v>40.115202701879298</v>
      </c>
      <c r="K102" s="38">
        <v>40.115202701879298</v>
      </c>
      <c r="L102" s="7">
        <v>35</v>
      </c>
      <c r="M102" s="8">
        <v>1.6E-2</v>
      </c>
      <c r="N102" s="8">
        <v>3</v>
      </c>
      <c r="O102" s="8">
        <f>L102</f>
        <v>35</v>
      </c>
      <c r="P102" s="8">
        <f>M102</f>
        <v>1.6E-2</v>
      </c>
      <c r="Q102" s="8">
        <v>2.4000000000000004</v>
      </c>
      <c r="R102" s="45" t="s">
        <v>28</v>
      </c>
      <c r="S102" s="46" t="s">
        <v>28</v>
      </c>
      <c r="T102" s="52">
        <v>25.5364019359663</v>
      </c>
      <c r="U102" s="23">
        <f>M102</f>
        <v>1.6E-2</v>
      </c>
      <c r="V102" s="52">
        <v>34.468161979436722</v>
      </c>
      <c r="W102" s="23">
        <v>2.098632568872388E-2</v>
      </c>
      <c r="X102" s="58">
        <v>0.95435604511893302</v>
      </c>
      <c r="Y102" s="60">
        <v>0.68957660519100805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2026-01-28T07:57:32Z</dcterms:modified>
</cp:coreProperties>
</file>