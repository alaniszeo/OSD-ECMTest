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Z\alaniszeo_git\EC-generic-model\Database_for_model_validation\M-IEC\"/>
    </mc:Choice>
  </mc:AlternateContent>
  <xr:revisionPtr revIDLastSave="0" documentId="13_ncr:1_{8A1C0EA2-A394-4589-A0FA-6447D05428FC}" xr6:coauthVersionLast="47" xr6:coauthVersionMax="47" xr10:uidLastSave="{00000000-0000-0000-0000-000000000000}"/>
  <bookViews>
    <workbookView xWindow="-108" yWindow="-108" windowWidth="30936" windowHeight="16776" xr2:uid="{1306219A-737B-4B5D-BCFD-98C34D3C77CC}"/>
  </bookViews>
  <sheets>
    <sheet name="Guzelel2024" sheetId="1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82" i="13" l="1"/>
  <c r="V83" i="13"/>
  <c r="V84" i="13"/>
  <c r="V85" i="13"/>
  <c r="V86" i="13"/>
  <c r="V87" i="13"/>
  <c r="V88" i="13"/>
  <c r="V89" i="13"/>
  <c r="V90" i="13"/>
  <c r="V91" i="13"/>
  <c r="V92" i="13"/>
  <c r="V93" i="13"/>
  <c r="V94" i="13"/>
  <c r="V95" i="13"/>
  <c r="V96" i="13"/>
  <c r="V97" i="13"/>
  <c r="V98" i="13"/>
  <c r="V99" i="13"/>
  <c r="V100" i="13"/>
  <c r="V101" i="13"/>
  <c r="V102" i="13"/>
  <c r="V103" i="13"/>
  <c r="V104" i="13"/>
  <c r="V105" i="13"/>
  <c r="V106" i="13"/>
  <c r="V107" i="13"/>
  <c r="V108" i="13"/>
  <c r="V109" i="13"/>
  <c r="V110" i="13"/>
  <c r="V111" i="13"/>
  <c r="V112" i="13"/>
  <c r="V113" i="13"/>
  <c r="V114" i="13"/>
  <c r="V115" i="13"/>
  <c r="V116" i="13"/>
  <c r="V117" i="13"/>
  <c r="V118" i="13"/>
  <c r="V119" i="13"/>
  <c r="V120" i="13"/>
  <c r="V121" i="13"/>
  <c r="V122" i="13"/>
  <c r="V123" i="13"/>
  <c r="V124" i="13"/>
  <c r="V125" i="13"/>
  <c r="V126" i="13"/>
  <c r="V127" i="13"/>
  <c r="V128" i="13"/>
  <c r="V129" i="13"/>
  <c r="V130" i="13"/>
  <c r="V131" i="13"/>
  <c r="Q82" i="13"/>
  <c r="Q83" i="13"/>
  <c r="Q84" i="13"/>
  <c r="Q85" i="13"/>
  <c r="Q86" i="13"/>
  <c r="Q87" i="13"/>
  <c r="Q88" i="13"/>
  <c r="Q89" i="13"/>
  <c r="Q90" i="13"/>
  <c r="Q91" i="13"/>
  <c r="Q92" i="13"/>
  <c r="Q93" i="13"/>
  <c r="Q94" i="13"/>
  <c r="Q95" i="13"/>
  <c r="Q96" i="13"/>
  <c r="Q97" i="13"/>
  <c r="Q98" i="13"/>
  <c r="Q99" i="13"/>
  <c r="Q100" i="13"/>
  <c r="Q101" i="13"/>
  <c r="Q102" i="13"/>
  <c r="Q103" i="13"/>
  <c r="Q104" i="13"/>
  <c r="Q105" i="13"/>
  <c r="Q106" i="13"/>
  <c r="Q107" i="13"/>
  <c r="Q108" i="13"/>
  <c r="Q109" i="13"/>
  <c r="Q110" i="13"/>
  <c r="Q111" i="13"/>
  <c r="Q112" i="13"/>
  <c r="Q113" i="13"/>
  <c r="Q114" i="13"/>
  <c r="Q115" i="13"/>
  <c r="Q116" i="13"/>
  <c r="Q117" i="13"/>
  <c r="Q118" i="13"/>
  <c r="Q119" i="13"/>
  <c r="Q120" i="13"/>
  <c r="Q121" i="13"/>
  <c r="Q122" i="13"/>
  <c r="Q123" i="13"/>
  <c r="Q124" i="13"/>
  <c r="Q125" i="13"/>
  <c r="Q126" i="13"/>
  <c r="Q127" i="13"/>
  <c r="Q128" i="13"/>
  <c r="Q129" i="13"/>
  <c r="Q130" i="13"/>
  <c r="Q131" i="13"/>
  <c r="P131" i="13"/>
  <c r="P130" i="13"/>
  <c r="P129" i="13"/>
  <c r="P128" i="13"/>
  <c r="P127" i="13"/>
  <c r="P126" i="13"/>
  <c r="P125" i="13"/>
  <c r="P124" i="13"/>
  <c r="P123" i="13"/>
  <c r="P122" i="13"/>
  <c r="P121" i="13"/>
  <c r="P120" i="13"/>
  <c r="P119" i="13"/>
  <c r="P118" i="13"/>
  <c r="P117" i="13"/>
  <c r="P116" i="13"/>
  <c r="P115" i="13"/>
  <c r="P114" i="13"/>
  <c r="P113" i="13"/>
  <c r="P112" i="13"/>
  <c r="P111" i="13"/>
  <c r="P110" i="13"/>
  <c r="P109" i="13"/>
  <c r="P108" i="13"/>
  <c r="P107" i="13"/>
  <c r="P106" i="13"/>
  <c r="P105" i="13"/>
  <c r="P104" i="13"/>
  <c r="P103" i="13"/>
  <c r="P102" i="13"/>
  <c r="P101" i="13"/>
  <c r="P100" i="13"/>
  <c r="P99" i="13"/>
  <c r="P98" i="13"/>
  <c r="P97" i="13"/>
  <c r="P96" i="13"/>
  <c r="P95" i="13"/>
  <c r="P94" i="13"/>
  <c r="P93" i="13"/>
  <c r="P92" i="13"/>
  <c r="P91" i="13"/>
  <c r="P90" i="13"/>
  <c r="P89" i="13"/>
  <c r="P88" i="13"/>
  <c r="P87" i="13"/>
  <c r="P86" i="13"/>
  <c r="P85" i="13"/>
  <c r="P84" i="13"/>
  <c r="P83" i="13"/>
  <c r="P82" i="13"/>
  <c r="V62" i="13"/>
  <c r="V63" i="13"/>
  <c r="V64" i="13"/>
  <c r="V65" i="13"/>
  <c r="V66" i="13"/>
  <c r="V67" i="13"/>
  <c r="V68" i="13"/>
  <c r="V69" i="13"/>
  <c r="V70" i="13"/>
  <c r="V71" i="13"/>
  <c r="V72" i="13"/>
  <c r="V73" i="13"/>
  <c r="V74" i="13"/>
  <c r="V75" i="13"/>
  <c r="V76" i="13"/>
  <c r="V77" i="13"/>
  <c r="V78" i="13"/>
  <c r="V79" i="13"/>
  <c r="V80" i="13"/>
  <c r="V81" i="13"/>
  <c r="Q57" i="13"/>
  <c r="Q58" i="13"/>
  <c r="Q59" i="13"/>
  <c r="Q60" i="13"/>
  <c r="Q61" i="13"/>
  <c r="Q62" i="13"/>
  <c r="Q63" i="13"/>
  <c r="Q64" i="13"/>
  <c r="Q65" i="13"/>
  <c r="Q66" i="13"/>
  <c r="Q67" i="13"/>
  <c r="Q68" i="13"/>
  <c r="Q69" i="13"/>
  <c r="Q70" i="13"/>
  <c r="Q71" i="13"/>
  <c r="Q72" i="13"/>
  <c r="Q73" i="13"/>
  <c r="Q74" i="13"/>
  <c r="Q75" i="13"/>
  <c r="Q76" i="13"/>
  <c r="Q77" i="13"/>
  <c r="Q78" i="13"/>
  <c r="Q79" i="13"/>
  <c r="Q80" i="13"/>
  <c r="Q81" i="13"/>
  <c r="Q33" i="13"/>
  <c r="Q34" i="13"/>
  <c r="Q35" i="13"/>
  <c r="Q36" i="13"/>
  <c r="Q37" i="13"/>
  <c r="Q38" i="13"/>
  <c r="Q39" i="13"/>
  <c r="Q40" i="13"/>
  <c r="Q41" i="13"/>
  <c r="Q42" i="13"/>
  <c r="Q43" i="13"/>
  <c r="Q44" i="13"/>
  <c r="Q45" i="13"/>
  <c r="Q46" i="13"/>
  <c r="Q47" i="13"/>
  <c r="Q48" i="13"/>
  <c r="Q49" i="13"/>
  <c r="Q50" i="13"/>
  <c r="Q51" i="13"/>
  <c r="Q52" i="13"/>
  <c r="Q53" i="13"/>
  <c r="Q54" i="13"/>
  <c r="Q55" i="13"/>
  <c r="Q56" i="13"/>
  <c r="Q32" i="13"/>
  <c r="P81" i="13"/>
  <c r="P80" i="13"/>
  <c r="P79" i="13"/>
  <c r="P78" i="13"/>
  <c r="P77" i="13"/>
  <c r="P76" i="13"/>
  <c r="P75" i="13"/>
  <c r="P74" i="13"/>
  <c r="P73" i="13"/>
  <c r="P72" i="13"/>
  <c r="P71" i="13"/>
  <c r="P70" i="13"/>
  <c r="P69" i="13"/>
  <c r="P68" i="13"/>
  <c r="P67" i="13"/>
  <c r="P66" i="13"/>
  <c r="P65" i="13"/>
  <c r="P64" i="13"/>
  <c r="P63" i="13"/>
  <c r="P62" i="13"/>
  <c r="P61" i="13"/>
  <c r="P60" i="13"/>
  <c r="P59" i="13"/>
  <c r="P58" i="13"/>
  <c r="P57" i="13"/>
  <c r="P48" i="13"/>
  <c r="P49" i="13"/>
  <c r="P50" i="13"/>
  <c r="P51" i="13"/>
  <c r="P52" i="13"/>
  <c r="P53" i="13"/>
  <c r="P54" i="13"/>
  <c r="P55" i="13"/>
  <c r="P56" i="13"/>
  <c r="P47" i="13"/>
  <c r="P33" i="13"/>
  <c r="P34" i="13"/>
  <c r="P35" i="13"/>
  <c r="P36" i="13"/>
  <c r="P32" i="13"/>
  <c r="P38" i="13"/>
  <c r="P39" i="13"/>
  <c r="P40" i="13"/>
  <c r="P41" i="13"/>
  <c r="P42" i="13"/>
  <c r="P43" i="13"/>
  <c r="P44" i="13"/>
  <c r="P45" i="13"/>
  <c r="P46" i="13"/>
  <c r="P37" i="13"/>
  <c r="V61" i="13"/>
  <c r="V60" i="13"/>
  <c r="V59" i="13"/>
  <c r="V58" i="13"/>
  <c r="V57" i="13"/>
  <c r="V33" i="13"/>
  <c r="V34" i="13"/>
  <c r="V35" i="13"/>
  <c r="V36" i="13"/>
  <c r="V37" i="13"/>
  <c r="V38" i="13"/>
  <c r="V39" i="13"/>
  <c r="V40" i="13"/>
  <c r="V41" i="13"/>
  <c r="V42" i="13"/>
  <c r="V43" i="13"/>
  <c r="V44" i="13"/>
  <c r="V45" i="13"/>
  <c r="V46" i="13"/>
  <c r="V47" i="13"/>
  <c r="V48" i="13"/>
  <c r="V49" i="13"/>
  <c r="V50" i="13"/>
  <c r="V51" i="13"/>
  <c r="V52" i="13"/>
  <c r="V53" i="13"/>
  <c r="V54" i="13"/>
  <c r="V55" i="13"/>
  <c r="V56" i="13"/>
  <c r="V32" i="13"/>
  <c r="B47" i="13"/>
  <c r="B48" i="13" s="1"/>
  <c r="B49" i="13" s="1"/>
  <c r="B50" i="13" s="1"/>
  <c r="B51" i="13" s="1"/>
  <c r="B52" i="13" s="1"/>
  <c r="B53" i="13" s="1"/>
  <c r="B54" i="13" s="1"/>
  <c r="B55" i="13" s="1"/>
  <c r="B56" i="13" s="1"/>
  <c r="B57" i="13" s="1"/>
  <c r="B58" i="13" s="1"/>
  <c r="B59" i="13" s="1"/>
  <c r="B60" i="13" s="1"/>
  <c r="B61" i="13" s="1"/>
  <c r="B62" i="13" s="1"/>
  <c r="B63" i="13" s="1"/>
  <c r="B64" i="13" s="1"/>
  <c r="B65" i="13" s="1"/>
  <c r="B66" i="13" s="1"/>
  <c r="B67" i="13" s="1"/>
  <c r="B68" i="13" s="1"/>
  <c r="B69" i="13" s="1"/>
  <c r="B70" i="13" s="1"/>
  <c r="B71" i="13" s="1"/>
  <c r="B72" i="13" s="1"/>
  <c r="B73" i="13" s="1"/>
  <c r="B74" i="13" s="1"/>
  <c r="B75" i="13" s="1"/>
  <c r="B76" i="13" s="1"/>
  <c r="B77" i="13" s="1"/>
  <c r="B78" i="13" s="1"/>
  <c r="B79" i="13" s="1"/>
  <c r="B80" i="13" s="1"/>
  <c r="B81" i="13" s="1"/>
  <c r="B82" i="13" s="1"/>
  <c r="B83" i="13" s="1"/>
  <c r="B84" i="13" s="1"/>
  <c r="B85" i="13" s="1"/>
  <c r="B86" i="13" s="1"/>
  <c r="B87" i="13" s="1"/>
  <c r="B88" i="13" s="1"/>
  <c r="B89" i="13" s="1"/>
  <c r="B90" i="13" s="1"/>
  <c r="B91" i="13" s="1"/>
  <c r="B92" i="13" s="1"/>
  <c r="B93" i="13" s="1"/>
  <c r="B94" i="13" s="1"/>
  <c r="B95" i="13" s="1"/>
  <c r="B96" i="13" s="1"/>
  <c r="B97" i="13" s="1"/>
  <c r="B98" i="13" s="1"/>
  <c r="B99" i="13" s="1"/>
  <c r="B100" i="13" s="1"/>
  <c r="B101" i="13" s="1"/>
  <c r="B102" i="13" s="1"/>
  <c r="B103" i="13" s="1"/>
  <c r="B104" i="13" s="1"/>
  <c r="B105" i="13" s="1"/>
  <c r="B106" i="13" s="1"/>
  <c r="B107" i="13" s="1"/>
  <c r="B108" i="13" s="1"/>
  <c r="B109" i="13" s="1"/>
  <c r="B110" i="13" s="1"/>
  <c r="B111" i="13" s="1"/>
  <c r="B112" i="13" s="1"/>
  <c r="B113" i="13" s="1"/>
  <c r="B114" i="13" s="1"/>
  <c r="B115" i="13" s="1"/>
  <c r="B116" i="13" s="1"/>
  <c r="B117" i="13" s="1"/>
  <c r="B118" i="13" s="1"/>
  <c r="B119" i="13" s="1"/>
  <c r="B120" i="13" s="1"/>
  <c r="B121" i="13" s="1"/>
  <c r="B122" i="13" s="1"/>
  <c r="B123" i="13" s="1"/>
  <c r="B124" i="13" s="1"/>
  <c r="B125" i="13" s="1"/>
  <c r="B126" i="13" s="1"/>
  <c r="B127" i="13" s="1"/>
  <c r="B128" i="13" s="1"/>
  <c r="B129" i="13" s="1"/>
  <c r="B130" i="13" s="1"/>
  <c r="B131" i="13" s="1"/>
</calcChain>
</file>

<file path=xl/sharedStrings.xml><?xml version="1.0" encoding="utf-8"?>
<sst xmlns="http://schemas.openxmlformats.org/spreadsheetml/2006/main" count="387" uniqueCount="80">
  <si>
    <t>Authors</t>
  </si>
  <si>
    <t>Title</t>
  </si>
  <si>
    <t>Year</t>
  </si>
  <si>
    <t>HEX characteristics</t>
  </si>
  <si>
    <t>Data type</t>
  </si>
  <si>
    <t>L</t>
  </si>
  <si>
    <t>m/s</t>
  </si>
  <si>
    <t>-</t>
  </si>
  <si>
    <t>m</t>
  </si>
  <si>
    <t>Configuration</t>
  </si>
  <si>
    <t>Water recirculation</t>
  </si>
  <si>
    <t>Run</t>
  </si>
  <si>
    <t>epsilon_wb</t>
  </si>
  <si>
    <t>Inlet conditions</t>
  </si>
  <si>
    <t>Outlet conditions</t>
  </si>
  <si>
    <t>HEX type</t>
  </si>
  <si>
    <t>Water injection type</t>
  </si>
  <si>
    <t>Geometry</t>
  </si>
  <si>
    <t>Length</t>
  </si>
  <si>
    <t>Height</t>
  </si>
  <si>
    <t>Paper information</t>
  </si>
  <si>
    <t>Operating conditions</t>
  </si>
  <si>
    <t>Water supplied</t>
  </si>
  <si>
    <t>Wall thickness</t>
  </si>
  <si>
    <t>Primary fluid velocity</t>
  </si>
  <si>
    <t>Secondary fluid velocity</t>
  </si>
  <si>
    <t>epsilon_dp</t>
  </si>
  <si>
    <t>kg/kg</t>
  </si>
  <si>
    <t>NA</t>
  </si>
  <si>
    <t>Testing conditions</t>
  </si>
  <si>
    <t>W</t>
  </si>
  <si>
    <t>h_ch</t>
  </si>
  <si>
    <t>Channel height</t>
  </si>
  <si>
    <t>Number of channels</t>
  </si>
  <si>
    <t>SPR</t>
  </si>
  <si>
    <t>Wall material</t>
  </si>
  <si>
    <t>Width</t>
  </si>
  <si>
    <t>Secondary-to-Primary flow rate ratio</t>
  </si>
  <si>
    <t>kg/s</t>
  </si>
  <si>
    <t>Test</t>
  </si>
  <si>
    <t>T_pdi</t>
  </si>
  <si>
    <t>w_pdi</t>
  </si>
  <si>
    <t>v_pdi</t>
  </si>
  <si>
    <t>T_wfi</t>
  </si>
  <si>
    <t>m_dot_wf</t>
  </si>
  <si>
    <t>T_pdo</t>
  </si>
  <si>
    <t>w_pdo</t>
  </si>
  <si>
    <t>T_swo</t>
  </si>
  <si>
    <t>w_wso</t>
  </si>
  <si>
    <t>Numerical, extracted from graphs</t>
  </si>
  <si>
    <t>M-IEC</t>
  </si>
  <si>
    <t>Wet surface</t>
  </si>
  <si>
    <t>Yes</t>
  </si>
  <si>
    <t>Variable</t>
  </si>
  <si>
    <t>D-IEC</t>
  </si>
  <si>
    <t>4 holes M-IEC</t>
  </si>
  <si>
    <t>4 holes D-IEC</t>
  </si>
  <si>
    <t>T0</t>
  </si>
  <si>
    <t>Standard IEC</t>
  </si>
  <si>
    <t>T1</t>
  </si>
  <si>
    <t>T2</t>
  </si>
  <si>
    <t>T3</t>
  </si>
  <si>
    <t>T4</t>
  </si>
  <si>
    <t>Guzelel et al.</t>
  </si>
  <si>
    <t>Performance evaluation of different types of indirect evaporative coolers: A CFD-based comparative study</t>
  </si>
  <si>
    <t>CF</t>
  </si>
  <si>
    <t>Aluminium</t>
  </si>
  <si>
    <t>w_si</t>
  </si>
  <si>
    <t>v_si</t>
  </si>
  <si>
    <t>T_si</t>
  </si>
  <si>
    <t>1-5</t>
  </si>
  <si>
    <t>0.5-2.5</t>
  </si>
  <si>
    <t>0.2-0.8</t>
  </si>
  <si>
    <t>WWR</t>
  </si>
  <si>
    <t>Re</t>
  </si>
  <si>
    <t>Nu</t>
  </si>
  <si>
    <t>h_T_pd</t>
  </si>
  <si>
    <t>h_T_sw</t>
  </si>
  <si>
    <t>Description</t>
  </si>
  <si>
    <t>CFD model of various IEC configurations (cfr. Figure) validated against the experimental data of Riangvilaikul and Kumar (2010) for the D-IEC configuration only. Comparison of those five configurations in terms of dew point effectiveness, water consumption, and cooling capacity for variable operational conditions. Temperature at the primary outlet and the specific humidity at the secondary outlet deduced from the dew point effectiveness and water consumption, respectively. Temperature at the secondary outlet computed through an energy balance on the evaporative exchanger.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</si>
</sst>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73">
    <xf numFmtId="0" fontId="0" fillId="0" borderId="0" xfId="0"/>
    <xf numFmtId="0" fontId="1" fillId="0" borderId="0" xfId="0" applyFont="1"/>
    <xf numFmtId="0" fontId="1" fillId="0" borderId="2"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10" xfId="0" applyFont="1" applyBorder="1"/>
    <xf numFmtId="0" fontId="1" fillId="0" borderId="11" xfId="0" applyFont="1" applyBorder="1"/>
    <xf numFmtId="0" fontId="1" fillId="0" borderId="12" xfId="0" applyFont="1" applyBorder="1"/>
    <xf numFmtId="0" fontId="0" fillId="0" borderId="2" xfId="0" applyBorder="1"/>
    <xf numFmtId="0" fontId="1" fillId="0" borderId="7" xfId="0" applyFont="1" applyBorder="1"/>
    <xf numFmtId="0" fontId="1" fillId="0" borderId="15" xfId="0" applyFont="1" applyBorder="1"/>
    <xf numFmtId="0" fontId="1" fillId="0" borderId="1" xfId="0" applyFont="1" applyBorder="1"/>
    <xf numFmtId="0" fontId="0" fillId="0" borderId="11" xfId="0" applyBorder="1"/>
    <xf numFmtId="0" fontId="0" fillId="0" borderId="12" xfId="0" applyBorder="1"/>
    <xf numFmtId="0" fontId="1" fillId="0" borderId="5" xfId="0" applyFont="1" applyBorder="1"/>
    <xf numFmtId="0" fontId="1" fillId="0" borderId="13" xfId="0" applyFont="1" applyBorder="1"/>
    <xf numFmtId="0" fontId="1" fillId="0" borderId="14" xfId="0" applyFont="1" applyBorder="1"/>
    <xf numFmtId="164" fontId="0" fillId="0" borderId="0" xfId="0" applyNumberFormat="1"/>
    <xf numFmtId="164" fontId="0" fillId="0" borderId="8" xfId="0" applyNumberFormat="1" applyBorder="1"/>
    <xf numFmtId="164" fontId="0" fillId="0" borderId="3" xfId="0" applyNumberFormat="1" applyBorder="1"/>
    <xf numFmtId="0" fontId="0" fillId="0" borderId="0" xfId="0" quotePrefix="1"/>
    <xf numFmtId="0" fontId="1" fillId="0" borderId="5" xfId="0" applyFont="1" applyBorder="1" applyAlignment="1">
      <alignment wrapText="1"/>
    </xf>
    <xf numFmtId="0" fontId="0" fillId="0" borderId="6" xfId="0" applyBorder="1" applyAlignment="1">
      <alignment vertical="center"/>
    </xf>
    <xf numFmtId="0" fontId="1" fillId="0" borderId="8" xfId="0" applyFont="1" applyBorder="1"/>
    <xf numFmtId="0" fontId="1" fillId="0" borderId="9" xfId="0" applyFont="1" applyBorder="1"/>
    <xf numFmtId="2" fontId="0" fillId="0" borderId="0" xfId="0" applyNumberFormat="1"/>
    <xf numFmtId="165" fontId="0" fillId="0" borderId="0" xfId="0" applyNumberFormat="1"/>
    <xf numFmtId="1" fontId="0" fillId="0" borderId="0" xfId="0" applyNumberFormat="1"/>
    <xf numFmtId="164" fontId="0" fillId="0" borderId="3" xfId="0" applyNumberFormat="1" applyBorder="1" applyAlignment="1">
      <alignment horizontal="right"/>
    </xf>
    <xf numFmtId="0" fontId="0" fillId="0" borderId="4" xfId="0" applyBorder="1" applyAlignment="1">
      <alignment horizontal="right"/>
    </xf>
    <xf numFmtId="0" fontId="0" fillId="0" borderId="6" xfId="0" applyBorder="1" applyAlignment="1">
      <alignment horizontal="right"/>
    </xf>
    <xf numFmtId="2" fontId="0" fillId="0" borderId="6" xfId="0" applyNumberFormat="1" applyBorder="1"/>
    <xf numFmtId="165" fontId="0" fillId="0" borderId="5" xfId="0" applyNumberFormat="1" applyBorder="1"/>
    <xf numFmtId="2" fontId="0" fillId="0" borderId="9" xfId="0" applyNumberFormat="1" applyBorder="1"/>
    <xf numFmtId="1" fontId="0" fillId="0" borderId="3" xfId="0" applyNumberFormat="1" applyBorder="1"/>
    <xf numFmtId="165" fontId="0" fillId="0" borderId="2" xfId="0" applyNumberFormat="1" applyBorder="1"/>
    <xf numFmtId="2" fontId="0" fillId="0" borderId="3" xfId="0" applyNumberFormat="1" applyBorder="1"/>
    <xf numFmtId="2" fontId="0" fillId="0" borderId="4" xfId="0" applyNumberFormat="1" applyBorder="1"/>
    <xf numFmtId="164" fontId="0" fillId="0" borderId="0" xfId="0" applyNumberFormat="1" applyAlignment="1">
      <alignment horizontal="right"/>
    </xf>
    <xf numFmtId="1" fontId="0" fillId="0" borderId="8" xfId="0" applyNumberFormat="1" applyBorder="1"/>
    <xf numFmtId="164" fontId="0" fillId="0" borderId="8" xfId="0" applyNumberFormat="1" applyBorder="1" applyAlignment="1">
      <alignment horizontal="right"/>
    </xf>
    <xf numFmtId="0" fontId="0" fillId="0" borderId="9" xfId="0" applyBorder="1" applyAlignment="1">
      <alignment horizontal="right"/>
    </xf>
    <xf numFmtId="2" fontId="0" fillId="0" borderId="8" xfId="0" applyNumberFormat="1" applyBorder="1"/>
    <xf numFmtId="0" fontId="0" fillId="0" borderId="5" xfId="0" applyBorder="1" applyAlignment="1">
      <alignment horizontal="right"/>
    </xf>
    <xf numFmtId="0" fontId="0" fillId="0" borderId="5" xfId="0" applyBorder="1" applyAlignment="1">
      <alignment horizontal="right" vertical="center"/>
    </xf>
    <xf numFmtId="0" fontId="0" fillId="0" borderId="7" xfId="0" applyBorder="1" applyAlignment="1">
      <alignment horizontal="right"/>
    </xf>
    <xf numFmtId="165" fontId="0" fillId="0" borderId="3" xfId="0" applyNumberFormat="1" applyBorder="1"/>
    <xf numFmtId="165" fontId="0" fillId="0" borderId="8" xfId="0" applyNumberFormat="1" applyBorder="1"/>
    <xf numFmtId="16" fontId="0" fillId="0" borderId="2" xfId="0" quotePrefix="1" applyNumberFormat="1" applyBorder="1" applyAlignment="1">
      <alignment horizontal="right"/>
    </xf>
    <xf numFmtId="166" fontId="0" fillId="0" borderId="0" xfId="0" applyNumberFormat="1"/>
    <xf numFmtId="0" fontId="0" fillId="0" borderId="8" xfId="0" applyBorder="1" applyAlignment="1">
      <alignment horizontal="right"/>
    </xf>
    <xf numFmtId="166" fontId="0" fillId="0" borderId="6" xfId="0" applyNumberFormat="1" applyBorder="1"/>
    <xf numFmtId="166" fontId="0" fillId="0" borderId="3" xfId="0" applyNumberFormat="1" applyBorder="1"/>
    <xf numFmtId="166" fontId="0" fillId="0" borderId="8" xfId="0" applyNumberFormat="1" applyBorder="1"/>
    <xf numFmtId="166" fontId="0" fillId="0" borderId="4" xfId="0" applyNumberFormat="1" applyBorder="1"/>
    <xf numFmtId="166" fontId="0" fillId="0" borderId="9" xfId="0" applyNumberFormat="1" applyBorder="1"/>
    <xf numFmtId="0" fontId="0" fillId="0" borderId="5" xfId="0" applyBorder="1" applyAlignment="1">
      <alignment horizontal="left" vertical="top"/>
    </xf>
    <xf numFmtId="0" fontId="1" fillId="0" borderId="13" xfId="0" applyFont="1"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1" fillId="0" borderId="14" xfId="0" applyFont="1" applyBorder="1" applyAlignment="1">
      <alignment horizontal="left" vertical="top"/>
    </xf>
    <xf numFmtId="0" fontId="0" fillId="0" borderId="0" xfId="0" applyAlignment="1">
      <alignment horizontal="left" vertical="top"/>
    </xf>
    <xf numFmtId="0" fontId="0" fillId="0" borderId="6" xfId="0" applyBorder="1" applyAlignment="1">
      <alignment horizontal="left" vertical="top"/>
    </xf>
    <xf numFmtId="0" fontId="1" fillId="0" borderId="15" xfId="0" applyFont="1" applyBorder="1" applyAlignment="1">
      <alignment horizontal="left" vertical="top"/>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592164</xdr:colOff>
      <xdr:row>8</xdr:row>
      <xdr:rowOff>152400</xdr:rowOff>
    </xdr:from>
    <xdr:to>
      <xdr:col>25</xdr:col>
      <xdr:colOff>642627</xdr:colOff>
      <xdr:row>26</xdr:row>
      <xdr:rowOff>106680</xdr:rowOff>
    </xdr:to>
    <xdr:pic>
      <xdr:nvPicPr>
        <xdr:cNvPr id="2" name="Picture 1">
          <a:extLst>
            <a:ext uri="{FF2B5EF4-FFF2-40B4-BE49-F238E27FC236}">
              <a16:creationId xmlns:a16="http://schemas.microsoft.com/office/drawing/2014/main" id="{11971940-918D-E588-73CC-E387BFA09588}"/>
            </a:ext>
          </a:extLst>
        </xdr:cNvPr>
        <xdr:cNvPicPr>
          <a:picLocks noChangeAspect="1"/>
        </xdr:cNvPicPr>
      </xdr:nvPicPr>
      <xdr:blipFill>
        <a:blip xmlns:r="http://schemas.openxmlformats.org/officeDocument/2006/relationships" r:embed="rId1"/>
        <a:stretch>
          <a:fillRect/>
        </a:stretch>
      </xdr:blipFill>
      <xdr:spPr>
        <a:xfrm>
          <a:off x="8547444" y="1463040"/>
          <a:ext cx="9026823" cy="329946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298D9-E2DC-438A-ADCB-112EDF10C30A}">
  <dimension ref="B1:Z132"/>
  <sheetViews>
    <sheetView tabSelected="1" workbookViewId="0">
      <selection activeCell="C8" sqref="C8"/>
    </sheetView>
  </sheetViews>
  <sheetFormatPr defaultColWidth="8.88671875" defaultRowHeight="14.4" x14ac:dyDescent="0.3"/>
  <cols>
    <col min="1" max="1" width="2.6640625" customWidth="1"/>
    <col min="2" max="2" width="22.33203125" bestFit="1" customWidth="1"/>
    <col min="3" max="3" width="14.109375" customWidth="1"/>
    <col min="6" max="6" width="12.44140625" customWidth="1"/>
    <col min="7" max="11" width="9.33203125" customWidth="1"/>
    <col min="12" max="19" width="9.21875" customWidth="1"/>
    <col min="20" max="20" width="9.6640625" bestFit="1" customWidth="1"/>
    <col min="21" max="24" width="9.21875" customWidth="1"/>
    <col min="25" max="25" width="10.5546875" bestFit="1" customWidth="1"/>
    <col min="26" max="26" width="10.21875" bestFit="1" customWidth="1"/>
  </cols>
  <sheetData>
    <row r="1" spans="2:14" ht="15" thickBot="1" x14ac:dyDescent="0.35"/>
    <row r="2" spans="2:14" ht="15" thickBot="1" x14ac:dyDescent="0.35">
      <c r="B2" s="10" t="s">
        <v>20</v>
      </c>
      <c r="C2" s="11"/>
      <c r="D2" s="11"/>
      <c r="E2" s="11"/>
      <c r="F2" s="11"/>
      <c r="G2" s="11"/>
      <c r="H2" s="11"/>
      <c r="I2" s="11"/>
      <c r="J2" s="11"/>
      <c r="K2" s="11"/>
      <c r="L2" s="11"/>
      <c r="M2" s="11"/>
      <c r="N2" s="12"/>
    </row>
    <row r="3" spans="2:14" x14ac:dyDescent="0.3">
      <c r="B3" s="62" t="s">
        <v>0</v>
      </c>
      <c r="C3" s="63" t="s">
        <v>63</v>
      </c>
      <c r="D3" s="64"/>
      <c r="E3" s="64"/>
      <c r="F3" s="64"/>
      <c r="G3" s="64"/>
      <c r="H3" s="64"/>
      <c r="I3" s="64"/>
      <c r="J3" s="64"/>
      <c r="K3" s="64"/>
      <c r="L3" s="64"/>
      <c r="M3" s="64"/>
      <c r="N3" s="65"/>
    </row>
    <row r="4" spans="2:14" x14ac:dyDescent="0.3">
      <c r="B4" s="66" t="s">
        <v>1</v>
      </c>
      <c r="C4" s="61" t="s">
        <v>64</v>
      </c>
      <c r="D4" s="67"/>
      <c r="E4" s="67"/>
      <c r="F4" s="67"/>
      <c r="G4" s="67"/>
      <c r="H4" s="67"/>
      <c r="I4" s="67"/>
      <c r="J4" s="67"/>
      <c r="K4" s="67"/>
      <c r="L4" s="67"/>
      <c r="M4" s="67"/>
      <c r="N4" s="68"/>
    </row>
    <row r="5" spans="2:14" x14ac:dyDescent="0.3">
      <c r="B5" s="66" t="s">
        <v>2</v>
      </c>
      <c r="C5" s="61">
        <v>2024</v>
      </c>
      <c r="D5" s="67"/>
      <c r="E5" s="67"/>
      <c r="F5" s="67"/>
      <c r="G5" s="67"/>
      <c r="H5" s="67"/>
      <c r="I5" s="67"/>
      <c r="J5" s="67"/>
      <c r="K5" s="67"/>
      <c r="L5" s="67"/>
      <c r="M5" s="67"/>
      <c r="N5" s="68"/>
    </row>
    <row r="6" spans="2:14" x14ac:dyDescent="0.3">
      <c r="B6" s="66" t="s">
        <v>4</v>
      </c>
      <c r="C6" s="61" t="s">
        <v>49</v>
      </c>
      <c r="D6" s="67"/>
      <c r="E6" s="67"/>
      <c r="F6" s="67"/>
      <c r="G6" s="67"/>
      <c r="H6" s="67"/>
      <c r="I6" s="67"/>
      <c r="J6" s="67"/>
      <c r="K6" s="67"/>
      <c r="L6" s="67"/>
      <c r="M6" s="67"/>
      <c r="N6" s="68"/>
    </row>
    <row r="7" spans="2:14" ht="75" customHeight="1" thickBot="1" x14ac:dyDescent="0.35">
      <c r="B7" s="69" t="s">
        <v>78</v>
      </c>
      <c r="C7" s="70" t="s">
        <v>79</v>
      </c>
      <c r="D7" s="71"/>
      <c r="E7" s="71"/>
      <c r="F7" s="71"/>
      <c r="G7" s="71"/>
      <c r="H7" s="71"/>
      <c r="I7" s="71"/>
      <c r="J7" s="71"/>
      <c r="K7" s="71"/>
      <c r="L7" s="71"/>
      <c r="M7" s="71"/>
      <c r="N7" s="72"/>
    </row>
    <row r="8" spans="2:14" ht="15" thickBot="1" x14ac:dyDescent="0.35"/>
    <row r="9" spans="2:14" ht="15" thickBot="1" x14ac:dyDescent="0.35">
      <c r="B9" s="10" t="s">
        <v>3</v>
      </c>
      <c r="C9" s="18"/>
    </row>
    <row r="10" spans="2:14" x14ac:dyDescent="0.3">
      <c r="B10" s="20" t="s">
        <v>15</v>
      </c>
      <c r="C10" s="6" t="s">
        <v>53</v>
      </c>
    </row>
    <row r="11" spans="2:14" x14ac:dyDescent="0.3">
      <c r="B11" s="21" t="s">
        <v>16</v>
      </c>
      <c r="C11" s="6" t="s">
        <v>51</v>
      </c>
    </row>
    <row r="12" spans="2:14" x14ac:dyDescent="0.3">
      <c r="B12" s="21" t="s">
        <v>10</v>
      </c>
      <c r="C12" s="6" t="s">
        <v>52</v>
      </c>
    </row>
    <row r="13" spans="2:14" x14ac:dyDescent="0.3">
      <c r="B13" s="21" t="s">
        <v>35</v>
      </c>
      <c r="C13" s="6" t="s">
        <v>66</v>
      </c>
    </row>
    <row r="14" spans="2:14" ht="15" thickBot="1" x14ac:dyDescent="0.35">
      <c r="B14" s="15" t="s">
        <v>9</v>
      </c>
      <c r="C14" s="9" t="s">
        <v>65</v>
      </c>
    </row>
    <row r="15" spans="2:14" ht="15" thickBot="1" x14ac:dyDescent="0.35">
      <c r="B15" s="1"/>
    </row>
    <row r="16" spans="2:14" ht="15" thickBot="1" x14ac:dyDescent="0.35">
      <c r="B16" s="10" t="s">
        <v>17</v>
      </c>
      <c r="C16" s="17"/>
      <c r="D16" s="18"/>
      <c r="F16" s="1"/>
    </row>
    <row r="17" spans="2:26" x14ac:dyDescent="0.3">
      <c r="B17" s="20" t="s">
        <v>18</v>
      </c>
      <c r="C17" s="3">
        <v>1</v>
      </c>
      <c r="D17" s="4" t="s">
        <v>8</v>
      </c>
      <c r="F17" s="1"/>
      <c r="G17" s="25"/>
    </row>
    <row r="18" spans="2:26" x14ac:dyDescent="0.3">
      <c r="B18" s="21" t="s">
        <v>36</v>
      </c>
      <c r="D18" s="6" t="s">
        <v>8</v>
      </c>
      <c r="F18" s="1"/>
    </row>
    <row r="19" spans="2:26" x14ac:dyDescent="0.3">
      <c r="B19" s="21" t="s">
        <v>19</v>
      </c>
      <c r="D19" s="6" t="s">
        <v>8</v>
      </c>
      <c r="F19" s="1"/>
    </row>
    <row r="20" spans="2:26" x14ac:dyDescent="0.3">
      <c r="B20" s="21" t="s">
        <v>32</v>
      </c>
      <c r="C20">
        <v>2.5000000000000001E-3</v>
      </c>
      <c r="D20" s="6" t="s">
        <v>8</v>
      </c>
    </row>
    <row r="21" spans="2:26" x14ac:dyDescent="0.3">
      <c r="B21" s="21" t="s">
        <v>23</v>
      </c>
      <c r="C21">
        <v>5.0000000000000001E-4</v>
      </c>
      <c r="D21" s="6" t="s">
        <v>8</v>
      </c>
    </row>
    <row r="22" spans="2:26" ht="15" thickBot="1" x14ac:dyDescent="0.35">
      <c r="B22" s="15" t="s">
        <v>33</v>
      </c>
      <c r="C22" s="55" t="s">
        <v>28</v>
      </c>
      <c r="D22" s="9" t="s">
        <v>7</v>
      </c>
    </row>
    <row r="23" spans="2:26" ht="15" thickBot="1" x14ac:dyDescent="0.35">
      <c r="B23" s="1"/>
    </row>
    <row r="24" spans="2:26" ht="15" thickBot="1" x14ac:dyDescent="0.35">
      <c r="B24" s="2" t="s">
        <v>21</v>
      </c>
      <c r="C24" s="3"/>
      <c r="D24" s="4"/>
      <c r="F24" s="10" t="s">
        <v>39</v>
      </c>
      <c r="G24" s="17"/>
      <c r="H24" s="17"/>
      <c r="I24" s="17"/>
      <c r="J24" s="17"/>
      <c r="K24" s="18"/>
    </row>
    <row r="25" spans="2:26" x14ac:dyDescent="0.3">
      <c r="B25" s="2" t="s">
        <v>24</v>
      </c>
      <c r="C25" s="53" t="s">
        <v>70</v>
      </c>
      <c r="D25" s="4" t="s">
        <v>6</v>
      </c>
      <c r="F25" s="19" t="s">
        <v>57</v>
      </c>
      <c r="G25" t="s">
        <v>58</v>
      </c>
      <c r="I25" s="2" t="s">
        <v>61</v>
      </c>
      <c r="J25" s="3" t="s">
        <v>50</v>
      </c>
      <c r="K25" s="4"/>
    </row>
    <row r="26" spans="2:26" x14ac:dyDescent="0.3">
      <c r="B26" s="19" t="s">
        <v>25</v>
      </c>
      <c r="C26" s="48" t="s">
        <v>71</v>
      </c>
      <c r="D26" s="6" t="s">
        <v>6</v>
      </c>
      <c r="F26" s="19" t="s">
        <v>59</v>
      </c>
      <c r="G26" t="s">
        <v>54</v>
      </c>
      <c r="I26" s="19" t="s">
        <v>62</v>
      </c>
      <c r="J26" t="s">
        <v>55</v>
      </c>
      <c r="K26" s="6"/>
    </row>
    <row r="27" spans="2:26" ht="29.4" thickBot="1" x14ac:dyDescent="0.35">
      <c r="B27" s="26" t="s">
        <v>37</v>
      </c>
      <c r="C27" s="49" t="s">
        <v>72</v>
      </c>
      <c r="D27" s="27" t="s">
        <v>27</v>
      </c>
      <c r="F27" s="14" t="s">
        <v>60</v>
      </c>
      <c r="G27" s="8" t="s">
        <v>56</v>
      </c>
      <c r="H27" s="8"/>
      <c r="I27" s="14"/>
      <c r="J27" s="8"/>
      <c r="K27" s="9"/>
    </row>
    <row r="28" spans="2:26" ht="15" thickBot="1" x14ac:dyDescent="0.35">
      <c r="B28" s="14" t="s">
        <v>22</v>
      </c>
      <c r="C28" s="50" t="s">
        <v>28</v>
      </c>
      <c r="D28" s="9" t="s">
        <v>38</v>
      </c>
      <c r="I28" s="30"/>
      <c r="J28" s="30"/>
      <c r="K28" s="30"/>
      <c r="L28" s="30"/>
      <c r="M28" s="22"/>
    </row>
    <row r="29" spans="2:26" ht="15" thickBot="1" x14ac:dyDescent="0.35"/>
    <row r="30" spans="2:26" ht="15" thickBot="1" x14ac:dyDescent="0.35">
      <c r="B30" s="2"/>
      <c r="C30" s="10" t="s">
        <v>29</v>
      </c>
      <c r="D30" s="11"/>
      <c r="E30" s="11"/>
      <c r="F30" s="11"/>
      <c r="G30" s="11"/>
      <c r="H30" s="11"/>
      <c r="I30" s="11"/>
      <c r="J30" s="11"/>
      <c r="K30" s="11"/>
      <c r="L30" s="12"/>
      <c r="M30" s="10" t="s">
        <v>13</v>
      </c>
      <c r="N30" s="11"/>
      <c r="O30" s="11"/>
      <c r="P30" s="11"/>
      <c r="Q30" s="11"/>
      <c r="R30" s="11"/>
      <c r="S30" s="11"/>
      <c r="T30" s="12"/>
      <c r="U30" s="16" t="s">
        <v>14</v>
      </c>
      <c r="V30" s="3"/>
      <c r="W30" s="3"/>
      <c r="X30" s="3"/>
      <c r="Y30" s="3"/>
      <c r="Z30" s="18"/>
    </row>
    <row r="31" spans="2:26" ht="15" thickBot="1" x14ac:dyDescent="0.35">
      <c r="B31" s="14" t="s">
        <v>11</v>
      </c>
      <c r="C31" s="14" t="s">
        <v>39</v>
      </c>
      <c r="D31" s="28" t="s">
        <v>5</v>
      </c>
      <c r="E31" s="28" t="s">
        <v>31</v>
      </c>
      <c r="F31" s="28" t="s">
        <v>30</v>
      </c>
      <c r="G31" s="28" t="s">
        <v>73</v>
      </c>
      <c r="H31" s="28" t="s">
        <v>34</v>
      </c>
      <c r="I31" s="28" t="s">
        <v>74</v>
      </c>
      <c r="J31" s="28" t="s">
        <v>75</v>
      </c>
      <c r="K31" s="28" t="s">
        <v>76</v>
      </c>
      <c r="L31" s="29" t="s">
        <v>77</v>
      </c>
      <c r="M31" s="10" t="s">
        <v>40</v>
      </c>
      <c r="N31" s="11" t="s">
        <v>41</v>
      </c>
      <c r="O31" s="11" t="s">
        <v>42</v>
      </c>
      <c r="P31" s="11" t="s">
        <v>69</v>
      </c>
      <c r="Q31" s="11" t="s">
        <v>67</v>
      </c>
      <c r="R31" s="28" t="s">
        <v>68</v>
      </c>
      <c r="S31" s="28" t="s">
        <v>43</v>
      </c>
      <c r="T31" s="29" t="s">
        <v>44</v>
      </c>
      <c r="U31" s="10" t="s">
        <v>45</v>
      </c>
      <c r="V31" s="11" t="s">
        <v>46</v>
      </c>
      <c r="W31" s="11" t="s">
        <v>47</v>
      </c>
      <c r="X31" s="11" t="s">
        <v>48</v>
      </c>
      <c r="Y31" s="11" t="s">
        <v>12</v>
      </c>
      <c r="Z31" s="12" t="s">
        <v>26</v>
      </c>
    </row>
    <row r="32" spans="2:26" x14ac:dyDescent="0.3">
      <c r="B32" s="13">
        <v>1</v>
      </c>
      <c r="C32" s="13" t="s">
        <v>57</v>
      </c>
      <c r="D32" s="3">
        <v>1</v>
      </c>
      <c r="E32" s="3">
        <v>2.5000000000000001E-3</v>
      </c>
      <c r="F32" s="3">
        <v>1</v>
      </c>
      <c r="G32" s="3">
        <v>1</v>
      </c>
      <c r="H32" s="3">
        <v>0.5</v>
      </c>
      <c r="I32" s="39">
        <v>952.22892402019204</v>
      </c>
      <c r="J32" s="3">
        <v>7.54</v>
      </c>
      <c r="K32" s="41">
        <v>39.4238100918813</v>
      </c>
      <c r="L32" s="42">
        <v>39.4238100918813</v>
      </c>
      <c r="M32" s="13">
        <v>25</v>
      </c>
      <c r="N32" s="3">
        <v>1.6E-2</v>
      </c>
      <c r="O32" s="3">
        <v>3</v>
      </c>
      <c r="P32" s="3">
        <f>M32</f>
        <v>25</v>
      </c>
      <c r="Q32" s="3">
        <f>N32</f>
        <v>1.6E-2</v>
      </c>
      <c r="R32" s="3">
        <v>1.5</v>
      </c>
      <c r="S32" s="33" t="s">
        <v>28</v>
      </c>
      <c r="T32" s="34" t="s">
        <v>28</v>
      </c>
      <c r="U32" s="40">
        <v>22.862549910527601</v>
      </c>
      <c r="V32" s="24">
        <f>N32</f>
        <v>1.6E-2</v>
      </c>
      <c r="W32" s="51">
        <v>24.941912609271625</v>
      </c>
      <c r="X32" s="24">
        <v>1.7759745186986257E-2</v>
      </c>
      <c r="Y32" s="57">
        <v>0.79409208955187605</v>
      </c>
      <c r="Z32" s="59">
        <v>0.57422220865885398</v>
      </c>
    </row>
    <row r="33" spans="2:26" x14ac:dyDescent="0.3">
      <c r="B33" s="5">
        <v>2</v>
      </c>
      <c r="C33" s="5" t="s">
        <v>57</v>
      </c>
      <c r="D33">
        <v>1</v>
      </c>
      <c r="E33">
        <v>2.5000000000000001E-3</v>
      </c>
      <c r="F33">
        <v>1</v>
      </c>
      <c r="G33">
        <v>1</v>
      </c>
      <c r="H33">
        <v>0.5</v>
      </c>
      <c r="I33" s="32">
        <v>932.63163180232402</v>
      </c>
      <c r="J33">
        <v>7.54</v>
      </c>
      <c r="K33" s="30">
        <v>39.808161934933104</v>
      </c>
      <c r="L33" s="36">
        <v>39.808161934933104</v>
      </c>
      <c r="M33" s="5">
        <v>30</v>
      </c>
      <c r="N33">
        <v>1.6E-2</v>
      </c>
      <c r="O33">
        <v>3</v>
      </c>
      <c r="P33">
        <f t="shared" ref="P33:P36" si="0">M33</f>
        <v>30</v>
      </c>
      <c r="Q33">
        <f t="shared" ref="Q33:Q96" si="1">N33</f>
        <v>1.6E-2</v>
      </c>
      <c r="R33">
        <v>1.5</v>
      </c>
      <c r="S33" s="43" t="s">
        <v>28</v>
      </c>
      <c r="T33" s="35" t="s">
        <v>28</v>
      </c>
      <c r="U33" s="37">
        <v>24.896588323447101</v>
      </c>
      <c r="V33" s="22">
        <f t="shared" ref="V33:V96" si="2">N33</f>
        <v>1.6E-2</v>
      </c>
      <c r="W33" s="31">
        <v>29.76418435357013</v>
      </c>
      <c r="X33" s="22">
        <v>2.0226474576199673E-2</v>
      </c>
      <c r="Y33" s="54">
        <v>0.81423197833192296</v>
      </c>
      <c r="Z33" s="56">
        <v>0.58488881429036399</v>
      </c>
    </row>
    <row r="34" spans="2:26" x14ac:dyDescent="0.3">
      <c r="B34" s="5">
        <v>3</v>
      </c>
      <c r="C34" s="5" t="s">
        <v>57</v>
      </c>
      <c r="D34">
        <v>1</v>
      </c>
      <c r="E34">
        <v>2.5000000000000001E-3</v>
      </c>
      <c r="F34">
        <v>1</v>
      </c>
      <c r="G34">
        <v>1</v>
      </c>
      <c r="H34">
        <v>0.5</v>
      </c>
      <c r="I34" s="32">
        <v>913.97093306995703</v>
      </c>
      <c r="J34">
        <v>7.54</v>
      </c>
      <c r="K34" s="30">
        <v>40.184978870444397</v>
      </c>
      <c r="L34" s="36">
        <v>40.184978870444397</v>
      </c>
      <c r="M34" s="5">
        <v>35</v>
      </c>
      <c r="N34">
        <v>1.6E-2</v>
      </c>
      <c r="O34">
        <v>3</v>
      </c>
      <c r="P34">
        <f t="shared" si="0"/>
        <v>35</v>
      </c>
      <c r="Q34">
        <f t="shared" si="1"/>
        <v>1.6E-2</v>
      </c>
      <c r="R34">
        <v>1.5</v>
      </c>
      <c r="S34" s="43" t="s">
        <v>28</v>
      </c>
      <c r="T34" s="35" t="s">
        <v>28</v>
      </c>
      <c r="U34" s="37">
        <v>26.820626736366599</v>
      </c>
      <c r="V34" s="22">
        <f t="shared" si="2"/>
        <v>1.6E-2</v>
      </c>
      <c r="W34" s="31">
        <v>34.439235574735982</v>
      </c>
      <c r="X34" s="22">
        <v>2.2825146358462053E-2</v>
      </c>
      <c r="Y34" s="54">
        <v>0.82375995473423702</v>
      </c>
      <c r="Z34" s="56">
        <v>0.59555557250976499</v>
      </c>
    </row>
    <row r="35" spans="2:26" x14ac:dyDescent="0.3">
      <c r="B35" s="5">
        <v>4</v>
      </c>
      <c r="C35" s="5" t="s">
        <v>57</v>
      </c>
      <c r="D35">
        <v>1</v>
      </c>
      <c r="E35">
        <v>2.5000000000000001E-3</v>
      </c>
      <c r="F35">
        <v>1</v>
      </c>
      <c r="G35">
        <v>1</v>
      </c>
      <c r="H35">
        <v>0.5</v>
      </c>
      <c r="I35" s="32">
        <v>896.23824732078901</v>
      </c>
      <c r="J35">
        <v>7.54</v>
      </c>
      <c r="K35" s="30">
        <v>40.553338784952601</v>
      </c>
      <c r="L35" s="36">
        <v>40.553338784952601</v>
      </c>
      <c r="M35" s="5">
        <v>40</v>
      </c>
      <c r="N35">
        <v>1.6E-2</v>
      </c>
      <c r="O35">
        <v>3</v>
      </c>
      <c r="P35">
        <f t="shared" si="0"/>
        <v>40</v>
      </c>
      <c r="Q35">
        <f t="shared" si="1"/>
        <v>1.6E-2</v>
      </c>
      <c r="R35">
        <v>1.5</v>
      </c>
      <c r="S35" s="43" t="s">
        <v>28</v>
      </c>
      <c r="T35" s="35" t="s">
        <v>28</v>
      </c>
      <c r="U35" s="37">
        <v>28.6159413686424</v>
      </c>
      <c r="V35" s="22">
        <f t="shared" si="2"/>
        <v>1.6E-2</v>
      </c>
      <c r="W35" s="31">
        <v>38.908236492576314</v>
      </c>
      <c r="X35" s="22">
        <v>2.5594375419793675E-2</v>
      </c>
      <c r="Y35" s="54">
        <v>0.831471797498194</v>
      </c>
      <c r="Z35" s="56">
        <v>0.60799997965494801</v>
      </c>
    </row>
    <row r="36" spans="2:26" x14ac:dyDescent="0.3">
      <c r="B36" s="5">
        <v>5</v>
      </c>
      <c r="C36" s="5" t="s">
        <v>57</v>
      </c>
      <c r="D36">
        <v>1</v>
      </c>
      <c r="E36">
        <v>2.5000000000000001E-3</v>
      </c>
      <c r="F36">
        <v>1</v>
      </c>
      <c r="G36">
        <v>1</v>
      </c>
      <c r="H36">
        <v>0.5</v>
      </c>
      <c r="I36" s="32">
        <v>879.29615296915597</v>
      </c>
      <c r="J36">
        <v>7.54</v>
      </c>
      <c r="K36" s="30">
        <v>40.915089694990002</v>
      </c>
      <c r="L36" s="36">
        <v>40.915089694990002</v>
      </c>
      <c r="M36" s="5">
        <v>45</v>
      </c>
      <c r="N36">
        <v>1.6E-2</v>
      </c>
      <c r="O36">
        <v>3</v>
      </c>
      <c r="P36">
        <f t="shared" si="0"/>
        <v>45</v>
      </c>
      <c r="Q36">
        <f t="shared" si="1"/>
        <v>1.6E-2</v>
      </c>
      <c r="R36">
        <v>1.5</v>
      </c>
      <c r="S36" s="43" t="s">
        <v>28</v>
      </c>
      <c r="T36" s="35" t="s">
        <v>28</v>
      </c>
      <c r="U36" s="37">
        <v>30.314979781561998</v>
      </c>
      <c r="V36" s="22">
        <f t="shared" si="2"/>
        <v>1.6E-2</v>
      </c>
      <c r="W36" s="31">
        <v>43.292093097459365</v>
      </c>
      <c r="X36" s="22">
        <v>2.845820499825048E-2</v>
      </c>
      <c r="Y36" s="54">
        <v>0.83871413041469101</v>
      </c>
      <c r="Z36" s="56">
        <v>0.61866668701171801</v>
      </c>
    </row>
    <row r="37" spans="2:26" x14ac:dyDescent="0.3">
      <c r="B37" s="5">
        <v>6</v>
      </c>
      <c r="C37" s="5" t="s">
        <v>59</v>
      </c>
      <c r="D37">
        <v>1</v>
      </c>
      <c r="E37">
        <v>2.5000000000000001E-3</v>
      </c>
      <c r="F37">
        <v>1</v>
      </c>
      <c r="G37">
        <v>1</v>
      </c>
      <c r="H37">
        <v>0.5</v>
      </c>
      <c r="I37" s="32">
        <v>952.87287207230997</v>
      </c>
      <c r="J37">
        <v>7.54</v>
      </c>
      <c r="K37" s="30">
        <v>39.411371951360302</v>
      </c>
      <c r="L37" s="36">
        <v>39.411371951360302</v>
      </c>
      <c r="M37" s="5">
        <v>25</v>
      </c>
      <c r="N37">
        <v>1.6E-2</v>
      </c>
      <c r="O37">
        <v>3</v>
      </c>
      <c r="P37" s="31">
        <f>U37</f>
        <v>22.635399291263099</v>
      </c>
      <c r="Q37">
        <f t="shared" si="1"/>
        <v>1.6E-2</v>
      </c>
      <c r="R37">
        <v>1.5</v>
      </c>
      <c r="S37" s="43" t="s">
        <v>28</v>
      </c>
      <c r="T37" s="35" t="s">
        <v>28</v>
      </c>
      <c r="U37" s="37">
        <v>22.635399291263099</v>
      </c>
      <c r="V37" s="22">
        <f t="shared" si="2"/>
        <v>1.6E-2</v>
      </c>
      <c r="W37" s="31">
        <v>22.801131246412261</v>
      </c>
      <c r="X37" s="22">
        <v>1.7856190467074016E-2</v>
      </c>
      <c r="Y37" s="54">
        <v>0.90753381663071397</v>
      </c>
      <c r="Z37" s="56">
        <v>0.63466664632161396</v>
      </c>
    </row>
    <row r="38" spans="2:26" x14ac:dyDescent="0.3">
      <c r="B38" s="5">
        <v>7</v>
      </c>
      <c r="C38" s="5" t="s">
        <v>59</v>
      </c>
      <c r="D38">
        <v>1</v>
      </c>
      <c r="E38">
        <v>2.5000000000000001E-3</v>
      </c>
      <c r="F38">
        <v>1</v>
      </c>
      <c r="G38">
        <v>1</v>
      </c>
      <c r="H38">
        <v>0.5</v>
      </c>
      <c r="I38" s="32">
        <v>934.04339532303698</v>
      </c>
      <c r="J38">
        <v>7.54</v>
      </c>
      <c r="K38" s="30">
        <v>39.780090850407802</v>
      </c>
      <c r="L38" s="36">
        <v>39.780090850407802</v>
      </c>
      <c r="M38" s="5">
        <v>30</v>
      </c>
      <c r="N38">
        <v>1.6E-2</v>
      </c>
      <c r="O38">
        <v>3</v>
      </c>
      <c r="P38" s="31">
        <f t="shared" ref="P38:P46" si="3">U38</f>
        <v>24.38188526547</v>
      </c>
      <c r="Q38">
        <f t="shared" si="1"/>
        <v>1.6E-2</v>
      </c>
      <c r="R38">
        <v>1.5</v>
      </c>
      <c r="S38" s="43" t="s">
        <v>28</v>
      </c>
      <c r="T38" s="35" t="s">
        <v>28</v>
      </c>
      <c r="U38" s="37">
        <v>24.38188526547</v>
      </c>
      <c r="V38" s="22">
        <f t="shared" si="2"/>
        <v>1.6E-2</v>
      </c>
      <c r="W38" s="31">
        <v>24.760444453115436</v>
      </c>
      <c r="X38" s="22">
        <v>2.0410169960040799E-2</v>
      </c>
      <c r="Y38" s="54">
        <v>0.89405864287426795</v>
      </c>
      <c r="Z38" s="56">
        <v>0.64355555216471305</v>
      </c>
    </row>
    <row r="39" spans="2:26" x14ac:dyDescent="0.3">
      <c r="B39" s="5">
        <v>8</v>
      </c>
      <c r="C39" s="5" t="s">
        <v>59</v>
      </c>
      <c r="D39">
        <v>1</v>
      </c>
      <c r="E39">
        <v>2.5000000000000001E-3</v>
      </c>
      <c r="F39">
        <v>1</v>
      </c>
      <c r="G39">
        <v>1</v>
      </c>
      <c r="H39">
        <v>0.5</v>
      </c>
      <c r="I39" s="32">
        <v>916.15829172068595</v>
      </c>
      <c r="J39">
        <v>7.54</v>
      </c>
      <c r="K39" s="30">
        <v>40.140245290164202</v>
      </c>
      <c r="L39" s="36">
        <v>40.140245290164202</v>
      </c>
      <c r="M39" s="5">
        <v>35</v>
      </c>
      <c r="N39">
        <v>1.6E-2</v>
      </c>
      <c r="O39">
        <v>3</v>
      </c>
      <c r="P39" s="31">
        <f t="shared" si="3"/>
        <v>25.997199897745801</v>
      </c>
      <c r="Q39">
        <f t="shared" si="1"/>
        <v>1.6E-2</v>
      </c>
      <c r="R39">
        <v>1.5</v>
      </c>
      <c r="S39" s="43" t="s">
        <v>28</v>
      </c>
      <c r="T39" s="35" t="s">
        <v>28</v>
      </c>
      <c r="U39" s="37">
        <v>25.997199897745801</v>
      </c>
      <c r="V39" s="22">
        <f t="shared" si="2"/>
        <v>1.6E-2</v>
      </c>
      <c r="W39" s="31">
        <v>26.459068962060176</v>
      </c>
      <c r="X39" s="22">
        <v>2.3117272733949701E-2</v>
      </c>
      <c r="Y39" s="54">
        <v>0.90412677958635801</v>
      </c>
      <c r="Z39" s="56">
        <v>0.65599995930989596</v>
      </c>
    </row>
    <row r="40" spans="2:26" x14ac:dyDescent="0.3">
      <c r="B40" s="5">
        <v>9</v>
      </c>
      <c r="C40" s="5" t="s">
        <v>59</v>
      </c>
      <c r="D40">
        <v>1</v>
      </c>
      <c r="E40">
        <v>2.5000000000000001E-3</v>
      </c>
      <c r="F40">
        <v>1</v>
      </c>
      <c r="G40">
        <v>1</v>
      </c>
      <c r="H40">
        <v>0.5</v>
      </c>
      <c r="I40" s="32">
        <v>899.08288911576597</v>
      </c>
      <c r="J40">
        <v>7.54</v>
      </c>
      <c r="K40" s="30">
        <v>40.493552252941697</v>
      </c>
      <c r="L40" s="36">
        <v>40.493552252941697</v>
      </c>
      <c r="M40" s="5">
        <v>40</v>
      </c>
      <c r="N40">
        <v>1.6E-2</v>
      </c>
      <c r="O40">
        <v>3</v>
      </c>
      <c r="P40" s="31">
        <f t="shared" si="3"/>
        <v>27.511238310665298</v>
      </c>
      <c r="Q40">
        <f t="shared" si="1"/>
        <v>1.6E-2</v>
      </c>
      <c r="R40">
        <v>1.5</v>
      </c>
      <c r="S40" s="43" t="s">
        <v>28</v>
      </c>
      <c r="T40" s="35" t="s">
        <v>28</v>
      </c>
      <c r="U40" s="37">
        <v>27.511238310665298</v>
      </c>
      <c r="V40" s="22">
        <f t="shared" si="2"/>
        <v>1.6E-2</v>
      </c>
      <c r="W40" s="31">
        <v>27.975375677926753</v>
      </c>
      <c r="X40" s="22">
        <v>2.5934019870916085E-2</v>
      </c>
      <c r="Y40" s="54">
        <v>0.91170153234451201</v>
      </c>
      <c r="Z40" s="56">
        <v>0.66666666666666596</v>
      </c>
    </row>
    <row r="41" spans="2:26" x14ac:dyDescent="0.3">
      <c r="B41" s="5">
        <v>10</v>
      </c>
      <c r="C41" s="5" t="s">
        <v>59</v>
      </c>
      <c r="D41">
        <v>1</v>
      </c>
      <c r="E41">
        <v>2.5000000000000001E-3</v>
      </c>
      <c r="F41">
        <v>1</v>
      </c>
      <c r="G41">
        <v>1</v>
      </c>
      <c r="H41">
        <v>0.5</v>
      </c>
      <c r="I41" s="32">
        <v>882.55514028856601</v>
      </c>
      <c r="J41">
        <v>7.54</v>
      </c>
      <c r="K41" s="30">
        <v>40.844736937382798</v>
      </c>
      <c r="L41" s="36">
        <v>40.844736937382798</v>
      </c>
      <c r="M41" s="5">
        <v>45</v>
      </c>
      <c r="N41">
        <v>1.6E-2</v>
      </c>
      <c r="O41">
        <v>3</v>
      </c>
      <c r="P41" s="31">
        <f t="shared" si="3"/>
        <v>29.010171846159601</v>
      </c>
      <c r="Q41">
        <f t="shared" si="1"/>
        <v>1.6E-2</v>
      </c>
      <c r="R41">
        <v>1.5</v>
      </c>
      <c r="S41" s="43" t="s">
        <v>28</v>
      </c>
      <c r="T41" s="35" t="s">
        <v>28</v>
      </c>
      <c r="U41" s="37">
        <v>29.010171846159601</v>
      </c>
      <c r="V41" s="22">
        <f t="shared" si="2"/>
        <v>1.6E-2</v>
      </c>
      <c r="W41" s="31">
        <v>29.245960686172268</v>
      </c>
      <c r="X41" s="22">
        <v>2.8852516688271775E-2</v>
      </c>
      <c r="Y41" s="54">
        <v>0.91288612834252103</v>
      </c>
      <c r="Z41" s="56">
        <v>0.67377772013346304</v>
      </c>
    </row>
    <row r="42" spans="2:26" x14ac:dyDescent="0.3">
      <c r="B42" s="5">
        <v>11</v>
      </c>
      <c r="C42" s="5" t="s">
        <v>60</v>
      </c>
      <c r="D42">
        <v>1</v>
      </c>
      <c r="E42">
        <v>2.5000000000000001E-3</v>
      </c>
      <c r="F42">
        <v>1</v>
      </c>
      <c r="G42">
        <v>1</v>
      </c>
      <c r="H42">
        <v>0.5</v>
      </c>
      <c r="I42" s="32">
        <v>953.11585523817405</v>
      </c>
      <c r="J42">
        <v>7.54</v>
      </c>
      <c r="K42" s="30">
        <v>39.406681732462197</v>
      </c>
      <c r="L42" s="36">
        <v>39.406681732462197</v>
      </c>
      <c r="M42" s="5">
        <v>25</v>
      </c>
      <c r="N42">
        <v>1.6E-2</v>
      </c>
      <c r="O42">
        <v>3</v>
      </c>
      <c r="P42" s="31">
        <f t="shared" si="3"/>
        <v>22.5497523364584</v>
      </c>
      <c r="Q42">
        <f t="shared" si="1"/>
        <v>1.6E-2</v>
      </c>
      <c r="R42">
        <v>1.5</v>
      </c>
      <c r="S42" s="43" t="s">
        <v>28</v>
      </c>
      <c r="T42" s="35" t="s">
        <v>28</v>
      </c>
      <c r="U42" s="37">
        <v>22.5497523364584</v>
      </c>
      <c r="V42" s="22">
        <f t="shared" si="2"/>
        <v>1.6E-2</v>
      </c>
      <c r="W42" s="31">
        <v>22.888998423356242</v>
      </c>
      <c r="X42" s="22">
        <v>1.7855170700801039E-2</v>
      </c>
      <c r="Y42" s="54">
        <v>0.94534772565699399</v>
      </c>
      <c r="Z42" s="56">
        <v>0.65777776082356698</v>
      </c>
    </row>
    <row r="43" spans="2:26" x14ac:dyDescent="0.3">
      <c r="B43" s="5">
        <v>12</v>
      </c>
      <c r="C43" s="5" t="s">
        <v>60</v>
      </c>
      <c r="D43">
        <v>1</v>
      </c>
      <c r="E43">
        <v>2.5000000000000001E-3</v>
      </c>
      <c r="F43">
        <v>1</v>
      </c>
      <c r="G43">
        <v>1</v>
      </c>
      <c r="H43">
        <v>0.5</v>
      </c>
      <c r="I43" s="32">
        <v>934.66662749318903</v>
      </c>
      <c r="J43">
        <v>7.54</v>
      </c>
      <c r="K43" s="30">
        <v>39.767717887410498</v>
      </c>
      <c r="L43" s="36">
        <v>39.767717887410498</v>
      </c>
      <c r="M43" s="5">
        <v>30</v>
      </c>
      <c r="N43">
        <v>1.6E-2</v>
      </c>
      <c r="O43">
        <v>3</v>
      </c>
      <c r="P43" s="31">
        <f t="shared" si="3"/>
        <v>24.1550669687343</v>
      </c>
      <c r="Q43">
        <f t="shared" si="1"/>
        <v>1.6E-2</v>
      </c>
      <c r="R43">
        <v>1.5</v>
      </c>
      <c r="S43" s="43" t="s">
        <v>28</v>
      </c>
      <c r="T43" s="35" t="s">
        <v>28</v>
      </c>
      <c r="U43" s="37">
        <v>24.1550669687343</v>
      </c>
      <c r="V43" s="22">
        <f t="shared" si="2"/>
        <v>1.6E-2</v>
      </c>
      <c r="W43" s="31">
        <v>24.918447451803534</v>
      </c>
      <c r="X43" s="22">
        <v>2.0437620139818025E-2</v>
      </c>
      <c r="Y43" s="54">
        <v>0.92598930869120599</v>
      </c>
      <c r="Z43" s="56">
        <v>0.67022221883138</v>
      </c>
    </row>
    <row r="44" spans="2:26" x14ac:dyDescent="0.3">
      <c r="B44" s="5">
        <v>13</v>
      </c>
      <c r="C44" s="5" t="s">
        <v>60</v>
      </c>
      <c r="D44">
        <v>1</v>
      </c>
      <c r="E44">
        <v>2.5000000000000001E-3</v>
      </c>
      <c r="F44">
        <v>1</v>
      </c>
      <c r="G44">
        <v>1</v>
      </c>
      <c r="H44">
        <v>0.5</v>
      </c>
      <c r="I44" s="32">
        <v>917.25515327793698</v>
      </c>
      <c r="J44">
        <v>7.54</v>
      </c>
      <c r="K44" s="30">
        <v>40.1178705723513</v>
      </c>
      <c r="L44" s="36">
        <v>40.1178705723513</v>
      </c>
      <c r="M44" s="5">
        <v>35</v>
      </c>
      <c r="N44">
        <v>1.6E-2</v>
      </c>
      <c r="O44">
        <v>3</v>
      </c>
      <c r="P44" s="31">
        <f t="shared" si="3"/>
        <v>25.585486478435399</v>
      </c>
      <c r="Q44">
        <f t="shared" si="1"/>
        <v>1.6E-2</v>
      </c>
      <c r="R44">
        <v>1.5</v>
      </c>
      <c r="S44" s="43" t="s">
        <v>28</v>
      </c>
      <c r="T44" s="35" t="s">
        <v>28</v>
      </c>
      <c r="U44" s="37">
        <v>25.585486478435399</v>
      </c>
      <c r="V44" s="22">
        <f t="shared" si="2"/>
        <v>1.6E-2</v>
      </c>
      <c r="W44" s="31">
        <v>26.679777142812387</v>
      </c>
      <c r="X44" s="22">
        <v>2.3193627578560701E-2</v>
      </c>
      <c r="Y44" s="54">
        <v>0.94431019201241795</v>
      </c>
      <c r="Z44" s="56">
        <v>0.68622222900390595</v>
      </c>
    </row>
    <row r="45" spans="2:26" x14ac:dyDescent="0.3">
      <c r="B45" s="5">
        <v>14</v>
      </c>
      <c r="C45" s="5" t="s">
        <v>60</v>
      </c>
      <c r="D45">
        <v>1</v>
      </c>
      <c r="E45">
        <v>2.5000000000000001E-3</v>
      </c>
      <c r="F45">
        <v>1</v>
      </c>
      <c r="G45">
        <v>1</v>
      </c>
      <c r="H45">
        <v>0.5</v>
      </c>
      <c r="I45" s="32">
        <v>900.34110747893999</v>
      </c>
      <c r="J45">
        <v>7.54</v>
      </c>
      <c r="K45" s="30">
        <v>40.467193712951698</v>
      </c>
      <c r="L45" s="36">
        <v>40.467193712951698</v>
      </c>
      <c r="M45" s="5">
        <v>40</v>
      </c>
      <c r="N45">
        <v>1.6E-2</v>
      </c>
      <c r="O45">
        <v>3</v>
      </c>
      <c r="P45" s="31">
        <f t="shared" si="3"/>
        <v>27.0244200139296</v>
      </c>
      <c r="Q45">
        <f t="shared" si="1"/>
        <v>1.6E-2</v>
      </c>
      <c r="R45">
        <v>1.5</v>
      </c>
      <c r="S45" s="43" t="s">
        <v>28</v>
      </c>
      <c r="T45" s="35" t="s">
        <v>28</v>
      </c>
      <c r="U45" s="37">
        <v>27.0244200139296</v>
      </c>
      <c r="V45" s="22">
        <f t="shared" si="2"/>
        <v>1.6E-2</v>
      </c>
      <c r="W45" s="31">
        <v>28.325490216398936</v>
      </c>
      <c r="X45" s="22">
        <v>2.5986925088425605E-2</v>
      </c>
      <c r="Y45" s="54">
        <v>0.94816959363829201</v>
      </c>
      <c r="Z45" s="56">
        <v>0.69333333333333302</v>
      </c>
    </row>
    <row r="46" spans="2:26" x14ac:dyDescent="0.3">
      <c r="B46" s="5">
        <v>15</v>
      </c>
      <c r="C46" s="5" t="s">
        <v>60</v>
      </c>
      <c r="D46">
        <v>1</v>
      </c>
      <c r="E46">
        <v>2.5000000000000001E-3</v>
      </c>
      <c r="F46">
        <v>1</v>
      </c>
      <c r="G46">
        <v>1</v>
      </c>
      <c r="H46">
        <v>0.5</v>
      </c>
      <c r="I46" s="32">
        <v>884.22178881498803</v>
      </c>
      <c r="J46">
        <v>7.54</v>
      </c>
      <c r="K46" s="30">
        <v>40.808901082821599</v>
      </c>
      <c r="L46" s="36">
        <v>40.808901082821599</v>
      </c>
      <c r="M46" s="5">
        <v>45</v>
      </c>
      <c r="N46">
        <v>1.6E-2</v>
      </c>
      <c r="O46">
        <v>3</v>
      </c>
      <c r="P46" s="31">
        <f t="shared" si="3"/>
        <v>28.345905988136501</v>
      </c>
      <c r="Q46">
        <f t="shared" si="1"/>
        <v>1.6E-2</v>
      </c>
      <c r="R46">
        <v>1.5</v>
      </c>
      <c r="S46" s="43" t="s">
        <v>28</v>
      </c>
      <c r="T46" s="35" t="s">
        <v>28</v>
      </c>
      <c r="U46" s="37">
        <v>28.345905988136501</v>
      </c>
      <c r="V46" s="22">
        <f t="shared" si="2"/>
        <v>1.6E-2</v>
      </c>
      <c r="W46" s="31">
        <v>29.810390815948224</v>
      </c>
      <c r="X46" s="22">
        <v>2.8887754947271985E-2</v>
      </c>
      <c r="Y46" s="54">
        <v>0.95282489645750601</v>
      </c>
      <c r="Z46" s="56">
        <v>0.70222223917643201</v>
      </c>
    </row>
    <row r="47" spans="2:26" x14ac:dyDescent="0.3">
      <c r="B47" s="5">
        <f>B46+1</f>
        <v>16</v>
      </c>
      <c r="C47" s="5" t="s">
        <v>61</v>
      </c>
      <c r="D47">
        <v>1</v>
      </c>
      <c r="E47">
        <v>2.5000000000000001E-3</v>
      </c>
      <c r="F47">
        <v>1</v>
      </c>
      <c r="G47">
        <v>1</v>
      </c>
      <c r="H47">
        <v>0.5</v>
      </c>
      <c r="I47" s="32">
        <v>953.38008119164704</v>
      </c>
      <c r="J47">
        <v>7.54</v>
      </c>
      <c r="K47" s="30">
        <v>39.401583402406601</v>
      </c>
      <c r="L47" s="36">
        <v>39.401583402406601</v>
      </c>
      <c r="M47" s="5">
        <v>25</v>
      </c>
      <c r="N47">
        <v>1.6E-2</v>
      </c>
      <c r="O47">
        <v>3</v>
      </c>
      <c r="P47">
        <f>M47</f>
        <v>25</v>
      </c>
      <c r="Q47">
        <f t="shared" si="1"/>
        <v>1.6E-2</v>
      </c>
      <c r="R47">
        <v>1.5</v>
      </c>
      <c r="S47" s="43" t="s">
        <v>28</v>
      </c>
      <c r="T47" s="35" t="s">
        <v>28</v>
      </c>
      <c r="U47" s="31">
        <v>22.456657820366399</v>
      </c>
      <c r="V47" s="22">
        <f t="shared" si="2"/>
        <v>1.6E-2</v>
      </c>
      <c r="W47" s="31">
        <v>25.256870702552117</v>
      </c>
      <c r="X47" s="22">
        <v>1.7961078418687663E-2</v>
      </c>
      <c r="Y47" s="54">
        <v>0.94534772565699399</v>
      </c>
      <c r="Z47" s="56">
        <v>0.68266662597656202</v>
      </c>
    </row>
    <row r="48" spans="2:26" x14ac:dyDescent="0.3">
      <c r="B48" s="5">
        <f t="shared" ref="B48:B111" si="4">B47+1</f>
        <v>17</v>
      </c>
      <c r="C48" s="5" t="s">
        <v>61</v>
      </c>
      <c r="D48">
        <v>1</v>
      </c>
      <c r="E48">
        <v>2.5000000000000001E-3</v>
      </c>
      <c r="F48">
        <v>1</v>
      </c>
      <c r="G48">
        <v>1</v>
      </c>
      <c r="H48">
        <v>0.5</v>
      </c>
      <c r="I48" s="32">
        <v>935.38657887658906</v>
      </c>
      <c r="J48">
        <v>7.54</v>
      </c>
      <c r="K48" s="30">
        <v>39.753439372443196</v>
      </c>
      <c r="L48" s="36">
        <v>39.753439372443196</v>
      </c>
      <c r="M48" s="5">
        <v>30</v>
      </c>
      <c r="N48">
        <v>1.6E-2</v>
      </c>
      <c r="O48">
        <v>3</v>
      </c>
      <c r="P48">
        <f t="shared" ref="P48:P56" si="5">M48</f>
        <v>30</v>
      </c>
      <c r="Q48">
        <f t="shared" si="1"/>
        <v>1.6E-2</v>
      </c>
      <c r="R48">
        <v>1.5</v>
      </c>
      <c r="S48" s="43" t="s">
        <v>28</v>
      </c>
      <c r="T48" s="35" t="s">
        <v>28</v>
      </c>
      <c r="U48" s="31">
        <v>23.8933535494239</v>
      </c>
      <c r="V48" s="22">
        <f t="shared" si="2"/>
        <v>1.6E-2</v>
      </c>
      <c r="W48" s="31">
        <v>30.489294278240809</v>
      </c>
      <c r="X48" s="22">
        <v>2.074263277930526E-2</v>
      </c>
      <c r="Y48" s="54">
        <v>0.97388530741661405</v>
      </c>
      <c r="Z48" s="56">
        <v>0.70044438680012999</v>
      </c>
    </row>
    <row r="49" spans="2:26" x14ac:dyDescent="0.3">
      <c r="B49" s="5">
        <f t="shared" si="4"/>
        <v>18</v>
      </c>
      <c r="C49" s="5" t="s">
        <v>61</v>
      </c>
      <c r="D49">
        <v>1</v>
      </c>
      <c r="E49">
        <v>2.5000000000000001E-3</v>
      </c>
      <c r="F49">
        <v>1</v>
      </c>
      <c r="G49">
        <v>1</v>
      </c>
      <c r="H49">
        <v>0.5</v>
      </c>
      <c r="I49" s="32">
        <v>918.06087122050803</v>
      </c>
      <c r="J49">
        <v>7.54</v>
      </c>
      <c r="K49" s="30">
        <v>40.101459083786501</v>
      </c>
      <c r="L49" s="36">
        <v>40.101459083786501</v>
      </c>
      <c r="M49" s="5">
        <v>35</v>
      </c>
      <c r="N49">
        <v>1.6E-2</v>
      </c>
      <c r="O49">
        <v>3</v>
      </c>
      <c r="P49">
        <f t="shared" si="5"/>
        <v>35</v>
      </c>
      <c r="Q49">
        <f t="shared" si="1"/>
        <v>1.6E-2</v>
      </c>
      <c r="R49">
        <v>1.5</v>
      </c>
      <c r="S49" s="43" t="s">
        <v>28</v>
      </c>
      <c r="T49" s="35" t="s">
        <v>28</v>
      </c>
      <c r="U49" s="31">
        <v>25.283563304274399</v>
      </c>
      <c r="V49" s="22">
        <f t="shared" si="2"/>
        <v>1.6E-2</v>
      </c>
      <c r="W49" s="31">
        <v>35.526971588790623</v>
      </c>
      <c r="X49" s="22">
        <v>2.3620549946166434E-2</v>
      </c>
      <c r="Y49" s="54">
        <v>0.97444775133196304</v>
      </c>
      <c r="Z49" s="56">
        <v>0.70755554199218695</v>
      </c>
    </row>
    <row r="50" spans="2:26" x14ac:dyDescent="0.3">
      <c r="B50" s="5">
        <f t="shared" si="4"/>
        <v>19</v>
      </c>
      <c r="C50" s="5" t="s">
        <v>61</v>
      </c>
      <c r="D50">
        <v>1</v>
      </c>
      <c r="E50">
        <v>2.5000000000000001E-3</v>
      </c>
      <c r="F50">
        <v>1</v>
      </c>
      <c r="G50">
        <v>1</v>
      </c>
      <c r="H50">
        <v>0.5</v>
      </c>
      <c r="I50" s="32">
        <v>901.65074158889797</v>
      </c>
      <c r="J50">
        <v>7.54</v>
      </c>
      <c r="K50" s="30">
        <v>40.439813646471997</v>
      </c>
      <c r="L50" s="36">
        <v>40.439813646471997</v>
      </c>
      <c r="M50" s="5">
        <v>40</v>
      </c>
      <c r="N50">
        <v>1.6E-2</v>
      </c>
      <c r="O50">
        <v>3</v>
      </c>
      <c r="P50">
        <f t="shared" si="5"/>
        <v>40</v>
      </c>
      <c r="Q50">
        <f t="shared" si="1"/>
        <v>1.6E-2</v>
      </c>
      <c r="R50">
        <v>1.5</v>
      </c>
      <c r="S50" s="43" t="s">
        <v>28</v>
      </c>
      <c r="T50" s="35" t="s">
        <v>28</v>
      </c>
      <c r="U50" s="31">
        <v>26.5188779365503</v>
      </c>
      <c r="V50" s="22">
        <f t="shared" si="2"/>
        <v>1.6E-2</v>
      </c>
      <c r="W50" s="31">
        <v>40.269004886296202</v>
      </c>
      <c r="X50" s="22">
        <v>2.6723379770703971E-2</v>
      </c>
      <c r="Y50" s="54">
        <v>0.984637654932072</v>
      </c>
      <c r="Z50" s="56">
        <v>0.72</v>
      </c>
    </row>
    <row r="51" spans="2:26" x14ac:dyDescent="0.3">
      <c r="B51" s="5">
        <f t="shared" si="4"/>
        <v>20</v>
      </c>
      <c r="C51" s="5" t="s">
        <v>61</v>
      </c>
      <c r="D51">
        <v>1</v>
      </c>
      <c r="E51">
        <v>2.5000000000000001E-3</v>
      </c>
      <c r="F51">
        <v>1</v>
      </c>
      <c r="G51">
        <v>1</v>
      </c>
      <c r="H51">
        <v>0.5</v>
      </c>
      <c r="I51" s="32">
        <v>885.53488016585402</v>
      </c>
      <c r="J51">
        <v>7.54</v>
      </c>
      <c r="K51" s="30">
        <v>40.780734904004497</v>
      </c>
      <c r="L51" s="36">
        <v>40.780734904004497</v>
      </c>
      <c r="M51" s="5">
        <v>45</v>
      </c>
      <c r="N51">
        <v>1.6E-2</v>
      </c>
      <c r="O51">
        <v>3</v>
      </c>
      <c r="P51">
        <f t="shared" si="5"/>
        <v>45</v>
      </c>
      <c r="Q51">
        <f t="shared" si="1"/>
        <v>1.6E-2</v>
      </c>
      <c r="R51">
        <v>1.5</v>
      </c>
      <c r="S51" s="43" t="s">
        <v>28</v>
      </c>
      <c r="T51" s="35" t="s">
        <v>28</v>
      </c>
      <c r="U51" s="31">
        <v>27.823982813975501</v>
      </c>
      <c r="V51" s="22">
        <f t="shared" si="2"/>
        <v>1.6E-2</v>
      </c>
      <c r="W51" s="31">
        <v>44.931892263885551</v>
      </c>
      <c r="X51" s="22">
        <v>2.9782044960956312E-2</v>
      </c>
      <c r="Y51" s="54">
        <v>0.98135258796821001</v>
      </c>
      <c r="Z51" s="56">
        <v>0.72355555216471301</v>
      </c>
    </row>
    <row r="52" spans="2:26" x14ac:dyDescent="0.3">
      <c r="B52" s="5">
        <f t="shared" si="4"/>
        <v>21</v>
      </c>
      <c r="C52" s="5" t="s">
        <v>62</v>
      </c>
      <c r="D52">
        <v>1</v>
      </c>
      <c r="E52">
        <v>2.5000000000000001E-3</v>
      </c>
      <c r="F52">
        <v>1</v>
      </c>
      <c r="G52">
        <v>1</v>
      </c>
      <c r="H52">
        <v>0.5</v>
      </c>
      <c r="I52" s="32">
        <v>953.11585523817405</v>
      </c>
      <c r="J52">
        <v>7.54</v>
      </c>
      <c r="K52" s="30">
        <v>39.406681732462197</v>
      </c>
      <c r="L52" s="36">
        <v>39.406681732462197</v>
      </c>
      <c r="M52" s="5">
        <v>25</v>
      </c>
      <c r="N52">
        <v>1.6E-2</v>
      </c>
      <c r="O52">
        <v>3</v>
      </c>
      <c r="P52">
        <f t="shared" si="5"/>
        <v>25</v>
      </c>
      <c r="Q52">
        <f t="shared" si="1"/>
        <v>1.6E-2</v>
      </c>
      <c r="R52">
        <v>1.5</v>
      </c>
      <c r="S52" s="43" t="s">
        <v>28</v>
      </c>
      <c r="T52" s="35" t="s">
        <v>28</v>
      </c>
      <c r="U52" s="31">
        <v>22.5497523364584</v>
      </c>
      <c r="V52" s="22">
        <f t="shared" si="2"/>
        <v>1.6E-2</v>
      </c>
      <c r="W52" s="31">
        <v>25.105109310030489</v>
      </c>
      <c r="X52" s="22">
        <v>1.7947310740443669E-2</v>
      </c>
      <c r="Y52" s="54">
        <v>0.94534772565699399</v>
      </c>
      <c r="Z52" s="56">
        <v>0.65777776082356698</v>
      </c>
    </row>
    <row r="53" spans="2:26" x14ac:dyDescent="0.3">
      <c r="B53" s="5">
        <f t="shared" si="4"/>
        <v>22</v>
      </c>
      <c r="C53" s="5" t="s">
        <v>62</v>
      </c>
      <c r="D53">
        <v>1</v>
      </c>
      <c r="E53">
        <v>2.5000000000000001E-3</v>
      </c>
      <c r="F53">
        <v>1</v>
      </c>
      <c r="G53">
        <v>1</v>
      </c>
      <c r="H53">
        <v>0.5</v>
      </c>
      <c r="I53" s="32">
        <v>934.66662749318903</v>
      </c>
      <c r="J53">
        <v>7.54</v>
      </c>
      <c r="K53" s="30">
        <v>39.767717887410498</v>
      </c>
      <c r="L53" s="36">
        <v>39.767717887410498</v>
      </c>
      <c r="M53" s="5">
        <v>30</v>
      </c>
      <c r="N53">
        <v>1.6E-2</v>
      </c>
      <c r="O53">
        <v>3</v>
      </c>
      <c r="P53">
        <f t="shared" si="5"/>
        <v>30</v>
      </c>
      <c r="Q53">
        <f t="shared" si="1"/>
        <v>1.6E-2</v>
      </c>
      <c r="R53">
        <v>1.5</v>
      </c>
      <c r="S53" s="43" t="s">
        <v>28</v>
      </c>
      <c r="T53" s="35" t="s">
        <v>28</v>
      </c>
      <c r="U53" s="31">
        <v>24.1550669687343</v>
      </c>
      <c r="V53" s="22">
        <f t="shared" si="2"/>
        <v>1.6E-2</v>
      </c>
      <c r="W53" s="31">
        <v>30.159116675806398</v>
      </c>
      <c r="X53" s="22">
        <v>2.066555564334862E-2</v>
      </c>
      <c r="Y53" s="54">
        <v>0.92598930869120599</v>
      </c>
      <c r="Z53" s="56">
        <v>0.67022221883138</v>
      </c>
    </row>
    <row r="54" spans="2:26" x14ac:dyDescent="0.3">
      <c r="B54" s="5">
        <f t="shared" si="4"/>
        <v>23</v>
      </c>
      <c r="C54" s="5" t="s">
        <v>62</v>
      </c>
      <c r="D54">
        <v>1</v>
      </c>
      <c r="E54">
        <v>2.5000000000000001E-3</v>
      </c>
      <c r="F54">
        <v>1</v>
      </c>
      <c r="G54">
        <v>1</v>
      </c>
      <c r="H54">
        <v>0.5</v>
      </c>
      <c r="I54" s="32">
        <v>917.25515327793698</v>
      </c>
      <c r="J54">
        <v>7.54</v>
      </c>
      <c r="K54" s="30">
        <v>40.1178705723513</v>
      </c>
      <c r="L54" s="36">
        <v>40.1178705723513</v>
      </c>
      <c r="M54" s="5">
        <v>35</v>
      </c>
      <c r="N54">
        <v>1.6E-2</v>
      </c>
      <c r="O54">
        <v>3</v>
      </c>
      <c r="P54">
        <f t="shared" si="5"/>
        <v>35</v>
      </c>
      <c r="Q54">
        <f t="shared" si="1"/>
        <v>1.6E-2</v>
      </c>
      <c r="R54">
        <v>1.5</v>
      </c>
      <c r="S54" s="43" t="s">
        <v>28</v>
      </c>
      <c r="T54" s="35" t="s">
        <v>28</v>
      </c>
      <c r="U54" s="31">
        <v>25.585486478435399</v>
      </c>
      <c r="V54" s="22">
        <f t="shared" si="2"/>
        <v>1.6E-2</v>
      </c>
      <c r="W54" s="31">
        <v>34.997196758235667</v>
      </c>
      <c r="X54" s="22">
        <v>2.3593547171384427E-2</v>
      </c>
      <c r="Y54" s="54">
        <v>0.94431019201241795</v>
      </c>
      <c r="Z54" s="56">
        <v>0.68622222900390595</v>
      </c>
    </row>
    <row r="55" spans="2:26" x14ac:dyDescent="0.3">
      <c r="B55" s="5">
        <f t="shared" si="4"/>
        <v>24</v>
      </c>
      <c r="C55" s="5" t="s">
        <v>62</v>
      </c>
      <c r="D55">
        <v>1</v>
      </c>
      <c r="E55">
        <v>2.5000000000000001E-3</v>
      </c>
      <c r="F55">
        <v>1</v>
      </c>
      <c r="G55">
        <v>1</v>
      </c>
      <c r="H55">
        <v>0.5</v>
      </c>
      <c r="I55" s="32">
        <v>900.34110747893999</v>
      </c>
      <c r="J55">
        <v>7.54</v>
      </c>
      <c r="K55" s="30">
        <v>40.467193712951698</v>
      </c>
      <c r="L55" s="36">
        <v>40.467193712951698</v>
      </c>
      <c r="M55" s="5">
        <v>40</v>
      </c>
      <c r="N55">
        <v>1.6E-2</v>
      </c>
      <c r="O55">
        <v>3</v>
      </c>
      <c r="P55">
        <f t="shared" si="5"/>
        <v>40</v>
      </c>
      <c r="Q55">
        <f t="shared" si="1"/>
        <v>1.6E-2</v>
      </c>
      <c r="R55">
        <v>1.5</v>
      </c>
      <c r="S55" s="43" t="s">
        <v>28</v>
      </c>
      <c r="T55" s="35" t="s">
        <v>28</v>
      </c>
      <c r="U55" s="31">
        <v>27.0244200139296</v>
      </c>
      <c r="V55" s="22">
        <f t="shared" si="2"/>
        <v>1.6E-2</v>
      </c>
      <c r="W55" s="31">
        <v>39.640812683458371</v>
      </c>
      <c r="X55" s="22">
        <v>2.6574258441966092E-2</v>
      </c>
      <c r="Y55" s="54">
        <v>0.94816959363829201</v>
      </c>
      <c r="Z55" s="56">
        <v>0.69333333333333302</v>
      </c>
    </row>
    <row r="56" spans="2:26" x14ac:dyDescent="0.3">
      <c r="B56" s="5">
        <f t="shared" si="4"/>
        <v>25</v>
      </c>
      <c r="C56" s="5" t="s">
        <v>62</v>
      </c>
      <c r="D56">
        <v>1</v>
      </c>
      <c r="E56">
        <v>2.5000000000000001E-3</v>
      </c>
      <c r="F56">
        <v>1</v>
      </c>
      <c r="G56">
        <v>1</v>
      </c>
      <c r="H56">
        <v>0.5</v>
      </c>
      <c r="I56" s="32">
        <v>884.22178881498803</v>
      </c>
      <c r="J56">
        <v>7.54</v>
      </c>
      <c r="K56" s="30">
        <v>40.808901082821599</v>
      </c>
      <c r="L56" s="36">
        <v>40.808901082821599</v>
      </c>
      <c r="M56" s="5">
        <v>45</v>
      </c>
      <c r="N56">
        <v>1.6E-2</v>
      </c>
      <c r="O56">
        <v>3</v>
      </c>
      <c r="P56">
        <f t="shared" si="5"/>
        <v>45</v>
      </c>
      <c r="Q56">
        <f t="shared" si="1"/>
        <v>1.6E-2</v>
      </c>
      <c r="R56">
        <v>1.5</v>
      </c>
      <c r="S56" s="43" t="s">
        <v>28</v>
      </c>
      <c r="T56" s="35" t="s">
        <v>28</v>
      </c>
      <c r="U56" s="31">
        <v>28.345905988136501</v>
      </c>
      <c r="V56" s="22">
        <f t="shared" si="2"/>
        <v>1.6E-2</v>
      </c>
      <c r="W56" s="31">
        <v>44.057188983901504</v>
      </c>
      <c r="X56" s="22">
        <v>2.9722777706974096E-2</v>
      </c>
      <c r="Y56" s="54">
        <v>0.95282489645750601</v>
      </c>
      <c r="Z56" s="56">
        <v>0.70222223917643201</v>
      </c>
    </row>
    <row r="57" spans="2:26" x14ac:dyDescent="0.3">
      <c r="B57" s="5">
        <f t="shared" si="4"/>
        <v>26</v>
      </c>
      <c r="C57" s="5" t="s">
        <v>57</v>
      </c>
      <c r="D57">
        <v>1</v>
      </c>
      <c r="E57">
        <v>2.5000000000000001E-3</v>
      </c>
      <c r="F57">
        <v>1</v>
      </c>
      <c r="G57">
        <v>1</v>
      </c>
      <c r="H57">
        <v>0.5</v>
      </c>
      <c r="I57" s="32">
        <v>938.54548293981998</v>
      </c>
      <c r="J57">
        <v>7.54</v>
      </c>
      <c r="K57" s="30">
        <v>39.922315604791798</v>
      </c>
      <c r="L57" s="36">
        <v>39.922315604791798</v>
      </c>
      <c r="M57" s="5">
        <v>35</v>
      </c>
      <c r="N57">
        <v>6.0000000000000001E-3</v>
      </c>
      <c r="O57">
        <v>3</v>
      </c>
      <c r="P57">
        <f>M57</f>
        <v>35</v>
      </c>
      <c r="Q57">
        <f t="shared" si="1"/>
        <v>6.0000000000000001E-3</v>
      </c>
      <c r="R57">
        <v>1.5</v>
      </c>
      <c r="S57" s="43" t="s">
        <v>28</v>
      </c>
      <c r="T57" s="35" t="s">
        <v>28</v>
      </c>
      <c r="U57" s="31">
        <v>21.434174231171198</v>
      </c>
      <c r="V57" s="22">
        <f t="shared" si="2"/>
        <v>6.0000000000000001E-3</v>
      </c>
      <c r="W57" s="31">
        <v>34.881066943463118</v>
      </c>
      <c r="X57" s="22">
        <v>1.679573841013703E-2</v>
      </c>
      <c r="Y57" s="54">
        <v>0.80189712571657701</v>
      </c>
      <c r="Z57" s="56">
        <v>0.47533629847626802</v>
      </c>
    </row>
    <row r="58" spans="2:26" x14ac:dyDescent="0.3">
      <c r="B58" s="5">
        <f t="shared" si="4"/>
        <v>27</v>
      </c>
      <c r="C58" s="5" t="s">
        <v>57</v>
      </c>
      <c r="D58">
        <v>1</v>
      </c>
      <c r="E58">
        <v>2.5000000000000001E-3</v>
      </c>
      <c r="F58">
        <v>1</v>
      </c>
      <c r="G58">
        <v>1</v>
      </c>
      <c r="H58">
        <v>0.5</v>
      </c>
      <c r="I58" s="32">
        <v>925.71750543112501</v>
      </c>
      <c r="J58">
        <v>7.54</v>
      </c>
      <c r="K58" s="30">
        <v>40.063058775474602</v>
      </c>
      <c r="L58" s="36">
        <v>40.063058775474602</v>
      </c>
      <c r="M58" s="5">
        <v>35</v>
      </c>
      <c r="N58">
        <v>1.0999999999999999E-2</v>
      </c>
      <c r="O58">
        <v>3</v>
      </c>
      <c r="P58">
        <f t="shared" ref="P58:P61" si="6">M58</f>
        <v>35</v>
      </c>
      <c r="Q58">
        <f t="shared" si="1"/>
        <v>1.0999999999999999E-2</v>
      </c>
      <c r="R58">
        <v>1.5</v>
      </c>
      <c r="S58" s="43" t="s">
        <v>28</v>
      </c>
      <c r="T58" s="35" t="s">
        <v>28</v>
      </c>
      <c r="U58" s="31">
        <v>24.276478913281199</v>
      </c>
      <c r="V58" s="22">
        <f t="shared" si="2"/>
        <v>1.0999999999999999E-2</v>
      </c>
      <c r="W58" s="31">
        <v>34.562609349020107</v>
      </c>
      <c r="X58" s="22">
        <v>1.9749491684924181E-2</v>
      </c>
      <c r="Y58" s="54">
        <v>0.81078540858524595</v>
      </c>
      <c r="Z58" s="56">
        <v>0.54798205518600795</v>
      </c>
    </row>
    <row r="59" spans="2:26" x14ac:dyDescent="0.3">
      <c r="B59" s="5">
        <f t="shared" si="4"/>
        <v>28</v>
      </c>
      <c r="C59" s="5" t="s">
        <v>57</v>
      </c>
      <c r="D59">
        <v>1</v>
      </c>
      <c r="E59">
        <v>2.5000000000000001E-3</v>
      </c>
      <c r="F59">
        <v>1</v>
      </c>
      <c r="G59">
        <v>1</v>
      </c>
      <c r="H59">
        <v>0.5</v>
      </c>
      <c r="I59" s="32">
        <v>914.04370866246097</v>
      </c>
      <c r="J59">
        <v>7.54</v>
      </c>
      <c r="K59" s="30">
        <v>40.183488091444602</v>
      </c>
      <c r="L59" s="36">
        <v>40.183488091444602</v>
      </c>
      <c r="M59" s="5">
        <v>35</v>
      </c>
      <c r="N59">
        <v>1.6E-2</v>
      </c>
      <c r="O59">
        <v>3</v>
      </c>
      <c r="P59">
        <f t="shared" si="6"/>
        <v>35</v>
      </c>
      <c r="Q59">
        <f t="shared" si="1"/>
        <v>1.6E-2</v>
      </c>
      <c r="R59">
        <v>1.5</v>
      </c>
      <c r="S59" s="43" t="s">
        <v>28</v>
      </c>
      <c r="T59" s="35" t="s">
        <v>28</v>
      </c>
      <c r="U59" s="31">
        <v>26.793179175079299</v>
      </c>
      <c r="V59" s="22">
        <f t="shared" si="2"/>
        <v>1.6E-2</v>
      </c>
      <c r="W59" s="31">
        <v>34.442276594536203</v>
      </c>
      <c r="X59" s="22">
        <v>2.2846048958183377E-2</v>
      </c>
      <c r="Y59" s="54">
        <v>0.82375995473423702</v>
      </c>
      <c r="Z59" s="56">
        <v>0.59775784764869599</v>
      </c>
    </row>
    <row r="60" spans="2:26" x14ac:dyDescent="0.3">
      <c r="B60" s="5">
        <f t="shared" si="4"/>
        <v>29</v>
      </c>
      <c r="C60" s="5" t="s">
        <v>57</v>
      </c>
      <c r="D60">
        <v>1</v>
      </c>
      <c r="E60">
        <v>2.5000000000000001E-3</v>
      </c>
      <c r="F60">
        <v>1</v>
      </c>
      <c r="G60">
        <v>1</v>
      </c>
      <c r="H60">
        <v>0.5</v>
      </c>
      <c r="I60" s="32">
        <v>903.205126150404</v>
      </c>
      <c r="J60">
        <v>7.54</v>
      </c>
      <c r="K60" s="30">
        <v>40.2895002817842</v>
      </c>
      <c r="L60" s="36">
        <v>40.2895002817842</v>
      </c>
      <c r="M60" s="5">
        <v>35</v>
      </c>
      <c r="N60">
        <v>2.1000000000000001E-2</v>
      </c>
      <c r="O60">
        <v>3</v>
      </c>
      <c r="P60">
        <f t="shared" si="6"/>
        <v>35</v>
      </c>
      <c r="Q60">
        <f t="shared" si="1"/>
        <v>2.1000000000000001E-2</v>
      </c>
      <c r="R60">
        <v>1.5</v>
      </c>
      <c r="S60" s="43" t="s">
        <v>28</v>
      </c>
      <c r="T60" s="35" t="s">
        <v>28</v>
      </c>
      <c r="U60" s="31">
        <v>29.083585798594601</v>
      </c>
      <c r="V60" s="22">
        <f t="shared" si="2"/>
        <v>2.1000000000000001E-2</v>
      </c>
      <c r="W60" s="31">
        <v>34.446222240449963</v>
      </c>
      <c r="X60" s="22">
        <v>2.6040565992271954E-2</v>
      </c>
      <c r="Y60" s="54">
        <v>0.82919199333148097</v>
      </c>
      <c r="Z60" s="56">
        <v>0.63273540380150795</v>
      </c>
    </row>
    <row r="61" spans="2:26" x14ac:dyDescent="0.3">
      <c r="B61" s="5">
        <f t="shared" si="4"/>
        <v>30</v>
      </c>
      <c r="C61" s="5" t="s">
        <v>57</v>
      </c>
      <c r="D61">
        <v>1</v>
      </c>
      <c r="E61">
        <v>2.5000000000000001E-3</v>
      </c>
      <c r="F61">
        <v>1</v>
      </c>
      <c r="G61">
        <v>1</v>
      </c>
      <c r="H61">
        <v>0.5</v>
      </c>
      <c r="I61" s="32">
        <v>893.18327208555104</v>
      </c>
      <c r="J61">
        <v>7.54</v>
      </c>
      <c r="K61" s="30">
        <v>40.381026300441199</v>
      </c>
      <c r="L61" s="36">
        <v>40.381026300441199</v>
      </c>
      <c r="M61" s="5">
        <v>35</v>
      </c>
      <c r="N61">
        <v>2.5999999999999999E-2</v>
      </c>
      <c r="O61">
        <v>3</v>
      </c>
      <c r="P61">
        <f t="shared" si="6"/>
        <v>35</v>
      </c>
      <c r="Q61">
        <f t="shared" si="1"/>
        <v>2.5999999999999999E-2</v>
      </c>
      <c r="R61">
        <v>1.5</v>
      </c>
      <c r="S61" s="43" t="s">
        <v>28</v>
      </c>
      <c r="T61" s="35" t="s">
        <v>28</v>
      </c>
      <c r="U61" s="31">
        <v>31.139182044882201</v>
      </c>
      <c r="V61" s="22">
        <f t="shared" si="2"/>
        <v>2.5999999999999999E-2</v>
      </c>
      <c r="W61" s="31">
        <v>34.525989759774895</v>
      </c>
      <c r="X61" s="22">
        <v>2.936401173102578E-2</v>
      </c>
      <c r="Y61" s="54">
        <v>0.84837601381233196</v>
      </c>
      <c r="Z61" s="56">
        <v>0.66233182510246802</v>
      </c>
    </row>
    <row r="62" spans="2:26" x14ac:dyDescent="0.3">
      <c r="B62" s="5">
        <f t="shared" si="4"/>
        <v>31</v>
      </c>
      <c r="C62" s="5" t="s">
        <v>59</v>
      </c>
      <c r="D62">
        <v>1</v>
      </c>
      <c r="E62">
        <v>2.5000000000000001E-3</v>
      </c>
      <c r="F62">
        <v>1</v>
      </c>
      <c r="G62">
        <v>1</v>
      </c>
      <c r="H62">
        <v>0.5</v>
      </c>
      <c r="I62" s="32">
        <v>944.33831251389495</v>
      </c>
      <c r="J62">
        <v>7.54</v>
      </c>
      <c r="K62" s="30">
        <v>39.806811461127197</v>
      </c>
      <c r="L62" s="36">
        <v>39.806811461127197</v>
      </c>
      <c r="M62" s="5">
        <v>35</v>
      </c>
      <c r="N62">
        <v>6.0000000000000001E-3</v>
      </c>
      <c r="O62">
        <v>3</v>
      </c>
      <c r="P62" s="31">
        <f>U62</f>
        <v>19.3493210077512</v>
      </c>
      <c r="Q62">
        <f t="shared" si="1"/>
        <v>6.0000000000000001E-3</v>
      </c>
      <c r="R62">
        <v>1.5</v>
      </c>
      <c r="S62" s="43" t="s">
        <v>28</v>
      </c>
      <c r="T62" s="35" t="s">
        <v>28</v>
      </c>
      <c r="U62" s="31">
        <v>19.3493210077512</v>
      </c>
      <c r="V62" s="22">
        <f t="shared" si="2"/>
        <v>6.0000000000000001E-3</v>
      </c>
      <c r="W62" s="31">
        <v>21.472411683461523</v>
      </c>
      <c r="X62" s="22">
        <v>1.767048078478365E-2</v>
      </c>
      <c r="Y62" s="54">
        <v>0.92571947601104898</v>
      </c>
      <c r="Z62" s="56">
        <v>0.54798205518600795</v>
      </c>
    </row>
    <row r="63" spans="2:26" x14ac:dyDescent="0.3">
      <c r="B63" s="5">
        <f t="shared" si="4"/>
        <v>32</v>
      </c>
      <c r="C63" s="5" t="s">
        <v>59</v>
      </c>
      <c r="D63">
        <v>1</v>
      </c>
      <c r="E63">
        <v>2.5000000000000001E-3</v>
      </c>
      <c r="F63">
        <v>1</v>
      </c>
      <c r="G63">
        <v>1</v>
      </c>
      <c r="H63">
        <v>0.5</v>
      </c>
      <c r="I63" s="32">
        <v>929.00908409781198</v>
      </c>
      <c r="J63">
        <v>7.54</v>
      </c>
      <c r="K63" s="30">
        <v>39.9965087044299</v>
      </c>
      <c r="L63" s="36">
        <v>39.9965087044299</v>
      </c>
      <c r="M63" s="5">
        <v>35</v>
      </c>
      <c r="N63">
        <v>1.0999999999999999E-2</v>
      </c>
      <c r="O63">
        <v>3</v>
      </c>
      <c r="P63" s="31">
        <f t="shared" ref="P63:P71" si="7">U63</f>
        <v>23.063233826827599</v>
      </c>
      <c r="Q63">
        <f t="shared" si="1"/>
        <v>1.0999999999999999E-2</v>
      </c>
      <c r="R63">
        <v>1.5</v>
      </c>
      <c r="S63" s="43" t="s">
        <v>28</v>
      </c>
      <c r="T63" s="35" t="s">
        <v>28</v>
      </c>
      <c r="U63" s="31">
        <v>23.063233826827599</v>
      </c>
      <c r="V63" s="22">
        <f t="shared" si="2"/>
        <v>1.0999999999999999E-2</v>
      </c>
      <c r="W63" s="31">
        <v>24.153719169618864</v>
      </c>
      <c r="X63" s="22">
        <v>2.0176568047118884E-2</v>
      </c>
      <c r="Y63" s="54">
        <v>0.90171461328639502</v>
      </c>
      <c r="Z63" s="56">
        <v>0.60986543955445705</v>
      </c>
    </row>
    <row r="64" spans="2:26" x14ac:dyDescent="0.3">
      <c r="B64" s="5">
        <f t="shared" si="4"/>
        <v>33</v>
      </c>
      <c r="C64" s="5" t="s">
        <v>59</v>
      </c>
      <c r="D64">
        <v>1</v>
      </c>
      <c r="E64">
        <v>2.5000000000000001E-3</v>
      </c>
      <c r="F64">
        <v>1</v>
      </c>
      <c r="G64">
        <v>1</v>
      </c>
      <c r="H64">
        <v>0.5</v>
      </c>
      <c r="I64" s="32">
        <v>916.231349701505</v>
      </c>
      <c r="J64">
        <v>7.54</v>
      </c>
      <c r="K64" s="30">
        <v>40.138753806822102</v>
      </c>
      <c r="L64" s="36">
        <v>40.138753806822102</v>
      </c>
      <c r="M64" s="5">
        <v>35</v>
      </c>
      <c r="N64">
        <v>1.6E-2</v>
      </c>
      <c r="O64">
        <v>3</v>
      </c>
      <c r="P64" s="31">
        <f t="shared" si="7"/>
        <v>25.969752336458399</v>
      </c>
      <c r="Q64">
        <f t="shared" si="1"/>
        <v>1.6E-2</v>
      </c>
      <c r="R64">
        <v>1.5</v>
      </c>
      <c r="S64" s="43" t="s">
        <v>28</v>
      </c>
      <c r="T64" s="35" t="s">
        <v>28</v>
      </c>
      <c r="U64" s="31">
        <v>25.969752336458399</v>
      </c>
      <c r="V64" s="22">
        <f t="shared" si="2"/>
        <v>1.6E-2</v>
      </c>
      <c r="W64" s="31">
        <v>26.444221994367531</v>
      </c>
      <c r="X64" s="22">
        <v>2.313450672636503E-2</v>
      </c>
      <c r="Y64" s="54">
        <v>0.90412677958635801</v>
      </c>
      <c r="Z64" s="56">
        <v>0.658295961133881</v>
      </c>
    </row>
    <row r="65" spans="2:26" x14ac:dyDescent="0.3">
      <c r="B65" s="5">
        <f t="shared" si="4"/>
        <v>34</v>
      </c>
      <c r="C65" s="5" t="s">
        <v>59</v>
      </c>
      <c r="D65">
        <v>1</v>
      </c>
      <c r="E65">
        <v>2.5000000000000001E-3</v>
      </c>
      <c r="F65">
        <v>1</v>
      </c>
      <c r="G65">
        <v>1</v>
      </c>
      <c r="H65">
        <v>0.5</v>
      </c>
      <c r="I65" s="32">
        <v>904.61759284017705</v>
      </c>
      <c r="J65">
        <v>7.54</v>
      </c>
      <c r="K65" s="30">
        <v>40.260326907109601</v>
      </c>
      <c r="L65" s="36">
        <v>40.260326907109601</v>
      </c>
      <c r="M65" s="5">
        <v>35</v>
      </c>
      <c r="N65">
        <v>2.1000000000000001E-2</v>
      </c>
      <c r="O65">
        <v>3</v>
      </c>
      <c r="P65" s="31">
        <f t="shared" si="7"/>
        <v>28.5414814957802</v>
      </c>
      <c r="Q65">
        <f t="shared" si="1"/>
        <v>2.1000000000000001E-2</v>
      </c>
      <c r="R65">
        <v>1.5</v>
      </c>
      <c r="S65" s="43" t="s">
        <v>28</v>
      </c>
      <c r="T65" s="35" t="s">
        <v>28</v>
      </c>
      <c r="U65" s="31">
        <v>28.5414814957802</v>
      </c>
      <c r="V65" s="22">
        <f t="shared" si="2"/>
        <v>2.1000000000000001E-2</v>
      </c>
      <c r="W65" s="31">
        <v>28.673925349843618</v>
      </c>
      <c r="X65" s="22">
        <v>2.6223929169631056E-2</v>
      </c>
      <c r="Y65" s="54">
        <v>0.91351660282281799</v>
      </c>
      <c r="Z65" s="56">
        <v>0.69058289854197297</v>
      </c>
    </row>
    <row r="66" spans="2:26" x14ac:dyDescent="0.3">
      <c r="B66" s="5">
        <f t="shared" si="4"/>
        <v>35</v>
      </c>
      <c r="C66" s="5" t="s">
        <v>59</v>
      </c>
      <c r="D66">
        <v>1</v>
      </c>
      <c r="E66">
        <v>2.5000000000000001E-3</v>
      </c>
      <c r="F66">
        <v>1</v>
      </c>
      <c r="G66">
        <v>1</v>
      </c>
      <c r="H66">
        <v>0.5</v>
      </c>
      <c r="I66" s="32">
        <v>893.94432167869797</v>
      </c>
      <c r="J66">
        <v>7.54</v>
      </c>
      <c r="K66" s="30">
        <v>40.365168120100797</v>
      </c>
      <c r="L66" s="36">
        <v>40.365168120100797</v>
      </c>
      <c r="M66" s="5">
        <v>35</v>
      </c>
      <c r="N66">
        <v>2.5999999999999999E-2</v>
      </c>
      <c r="O66">
        <v>3</v>
      </c>
      <c r="P66" s="31">
        <f t="shared" si="7"/>
        <v>30.841747429004599</v>
      </c>
      <c r="Q66">
        <f t="shared" si="1"/>
        <v>2.5999999999999999E-2</v>
      </c>
      <c r="R66">
        <v>1.5</v>
      </c>
      <c r="S66" s="43" t="s">
        <v>28</v>
      </c>
      <c r="T66" s="35" t="s">
        <v>28</v>
      </c>
      <c r="U66" s="31">
        <v>30.841747429004599</v>
      </c>
      <c r="V66" s="22">
        <f t="shared" si="2"/>
        <v>2.5999999999999999E-2</v>
      </c>
      <c r="W66" s="31">
        <v>30.73771037286275</v>
      </c>
      <c r="X66" s="22">
        <v>2.9465643466669945E-2</v>
      </c>
      <c r="Y66" s="54">
        <v>0.91363570718251097</v>
      </c>
      <c r="Z66" s="56">
        <v>0.71345291410781797</v>
      </c>
    </row>
    <row r="67" spans="2:26" x14ac:dyDescent="0.3">
      <c r="B67" s="5">
        <f t="shared" si="4"/>
        <v>36</v>
      </c>
      <c r="C67" s="5" t="s">
        <v>60</v>
      </c>
      <c r="D67">
        <v>1</v>
      </c>
      <c r="E67">
        <v>2.5000000000000001E-3</v>
      </c>
      <c r="F67">
        <v>1</v>
      </c>
      <c r="G67">
        <v>1</v>
      </c>
      <c r="H67">
        <v>0.5</v>
      </c>
      <c r="I67" s="32">
        <v>944.33831251389495</v>
      </c>
      <c r="J67">
        <v>7.54</v>
      </c>
      <c r="K67" s="30">
        <v>39.806811461127197</v>
      </c>
      <c r="L67" s="36">
        <v>39.806811461127197</v>
      </c>
      <c r="M67" s="5">
        <v>35</v>
      </c>
      <c r="N67">
        <v>6.0000000000000001E-3</v>
      </c>
      <c r="O67">
        <v>3</v>
      </c>
      <c r="P67" s="31">
        <f t="shared" si="7"/>
        <v>19.3493210077512</v>
      </c>
      <c r="Q67">
        <f t="shared" si="1"/>
        <v>6.0000000000000001E-3</v>
      </c>
      <c r="R67">
        <v>1.5</v>
      </c>
      <c r="S67" s="43" t="s">
        <v>28</v>
      </c>
      <c r="T67" s="35" t="s">
        <v>28</v>
      </c>
      <c r="U67" s="31">
        <v>19.3493210077512</v>
      </c>
      <c r="V67" s="22">
        <f t="shared" si="2"/>
        <v>6.0000000000000001E-3</v>
      </c>
      <c r="W67" s="31">
        <v>22.017760625239831</v>
      </c>
      <c r="X67" s="22">
        <v>1.7447883217299887E-2</v>
      </c>
      <c r="Y67" s="54">
        <v>0.92571947601104898</v>
      </c>
      <c r="Z67" s="56">
        <v>0.54798205518600795</v>
      </c>
    </row>
    <row r="68" spans="2:26" x14ac:dyDescent="0.3">
      <c r="B68" s="5">
        <f t="shared" si="4"/>
        <v>37</v>
      </c>
      <c r="C68" s="5" t="s">
        <v>60</v>
      </c>
      <c r="D68">
        <v>1</v>
      </c>
      <c r="E68">
        <v>2.5000000000000001E-3</v>
      </c>
      <c r="F68">
        <v>1</v>
      </c>
      <c r="G68">
        <v>1</v>
      </c>
      <c r="H68">
        <v>0.5</v>
      </c>
      <c r="I68" s="32">
        <v>929.86159792675596</v>
      </c>
      <c r="J68">
        <v>7.54</v>
      </c>
      <c r="K68" s="30">
        <v>39.979327099888899</v>
      </c>
      <c r="L68" s="36">
        <v>39.979327099888899</v>
      </c>
      <c r="M68" s="5">
        <v>35</v>
      </c>
      <c r="N68">
        <v>1.0999999999999999E-2</v>
      </c>
      <c r="O68">
        <v>3</v>
      </c>
      <c r="P68" s="31">
        <f t="shared" si="7"/>
        <v>22.750138320645998</v>
      </c>
      <c r="Q68">
        <f t="shared" si="1"/>
        <v>1.0999999999999999E-2</v>
      </c>
      <c r="R68">
        <v>1.5</v>
      </c>
      <c r="S68" s="43" t="s">
        <v>28</v>
      </c>
      <c r="T68" s="35" t="s">
        <v>28</v>
      </c>
      <c r="U68" s="31">
        <v>22.750138320645998</v>
      </c>
      <c r="V68" s="22">
        <f t="shared" si="2"/>
        <v>1.0999999999999999E-2</v>
      </c>
      <c r="W68" s="31">
        <v>24.528191630207431</v>
      </c>
      <c r="X68" s="22">
        <v>2.0149396300725375E-2</v>
      </c>
      <c r="Y68" s="54">
        <v>0.92444691446168203</v>
      </c>
      <c r="Z68" s="56">
        <v>0.62600894674759799</v>
      </c>
    </row>
    <row r="69" spans="2:26" x14ac:dyDescent="0.3">
      <c r="B69" s="5">
        <f t="shared" si="4"/>
        <v>38</v>
      </c>
      <c r="C69" s="5" t="s">
        <v>60</v>
      </c>
      <c r="D69">
        <v>1</v>
      </c>
      <c r="E69">
        <v>2.5000000000000001E-3</v>
      </c>
      <c r="F69">
        <v>1</v>
      </c>
      <c r="G69">
        <v>1</v>
      </c>
      <c r="H69">
        <v>0.5</v>
      </c>
      <c r="I69" s="32">
        <v>917.21855695637305</v>
      </c>
      <c r="J69">
        <v>7.54</v>
      </c>
      <c r="K69" s="30">
        <v>40.1186164814916</v>
      </c>
      <c r="L69" s="36">
        <v>40.1186164814916</v>
      </c>
      <c r="M69" s="5">
        <v>35</v>
      </c>
      <c r="N69">
        <v>1.6E-2</v>
      </c>
      <c r="O69">
        <v>3</v>
      </c>
      <c r="P69" s="31">
        <f t="shared" si="7"/>
        <v>25.599210259079101</v>
      </c>
      <c r="Q69">
        <f t="shared" si="1"/>
        <v>1.6E-2</v>
      </c>
      <c r="R69">
        <v>1.5</v>
      </c>
      <c r="S69" s="43" t="s">
        <v>28</v>
      </c>
      <c r="T69" s="35" t="s">
        <v>28</v>
      </c>
      <c r="U69" s="31">
        <v>25.599210259079101</v>
      </c>
      <c r="V69" s="22">
        <f t="shared" si="2"/>
        <v>1.6E-2</v>
      </c>
      <c r="W69" s="31">
        <v>26.697013135128486</v>
      </c>
      <c r="X69" s="22">
        <v>2.3180981206494852E-2</v>
      </c>
      <c r="Y69" s="54">
        <v>0.94431019201241795</v>
      </c>
      <c r="Z69" s="56">
        <v>0.68520178934951903</v>
      </c>
    </row>
    <row r="70" spans="2:26" x14ac:dyDescent="0.3">
      <c r="B70" s="5">
        <f t="shared" si="4"/>
        <v>39</v>
      </c>
      <c r="C70" s="5" t="s">
        <v>60</v>
      </c>
      <c r="D70">
        <v>1</v>
      </c>
      <c r="E70">
        <v>2.5000000000000001E-3</v>
      </c>
      <c r="F70">
        <v>1</v>
      </c>
      <c r="G70">
        <v>1</v>
      </c>
      <c r="H70">
        <v>0.5</v>
      </c>
      <c r="I70" s="32">
        <v>905.42283805661395</v>
      </c>
      <c r="J70">
        <v>7.54</v>
      </c>
      <c r="K70" s="30">
        <v>40.243724142312097</v>
      </c>
      <c r="L70" s="36">
        <v>40.243724142312097</v>
      </c>
      <c r="M70" s="5">
        <v>35</v>
      </c>
      <c r="N70">
        <v>2.1000000000000001E-2</v>
      </c>
      <c r="O70">
        <v>3</v>
      </c>
      <c r="P70" s="31">
        <f t="shared" si="7"/>
        <v>28.233042840730601</v>
      </c>
      <c r="Q70">
        <f t="shared" si="1"/>
        <v>2.1000000000000001E-2</v>
      </c>
      <c r="R70">
        <v>1.5</v>
      </c>
      <c r="S70" s="43" t="s">
        <v>28</v>
      </c>
      <c r="T70" s="35" t="s">
        <v>28</v>
      </c>
      <c r="U70" s="31">
        <v>28.233042840730601</v>
      </c>
      <c r="V70" s="22">
        <f t="shared" si="2"/>
        <v>2.1000000000000001E-2</v>
      </c>
      <c r="W70" s="31">
        <v>28.831072884724723</v>
      </c>
      <c r="X70" s="22">
        <v>2.6285156362663882E-2</v>
      </c>
      <c r="Y70" s="54">
        <v>0.95567890756848695</v>
      </c>
      <c r="Z70" s="56">
        <v>0.72421518381151995</v>
      </c>
    </row>
    <row r="71" spans="2:26" x14ac:dyDescent="0.3">
      <c r="B71" s="5">
        <f t="shared" si="4"/>
        <v>40</v>
      </c>
      <c r="C71" s="5" t="s">
        <v>60</v>
      </c>
      <c r="D71">
        <v>1</v>
      </c>
      <c r="E71">
        <v>2.5000000000000001E-3</v>
      </c>
      <c r="F71">
        <v>1</v>
      </c>
      <c r="G71">
        <v>1</v>
      </c>
      <c r="H71">
        <v>0.5</v>
      </c>
      <c r="I71" s="32">
        <v>894.452273639277</v>
      </c>
      <c r="J71">
        <v>7.54</v>
      </c>
      <c r="K71" s="30">
        <v>40.354594444730999</v>
      </c>
      <c r="L71" s="36">
        <v>40.354594444730999</v>
      </c>
      <c r="M71" s="5">
        <v>35</v>
      </c>
      <c r="N71">
        <v>2.5999999999999999E-2</v>
      </c>
      <c r="O71">
        <v>3</v>
      </c>
      <c r="P71" s="31">
        <f t="shared" si="7"/>
        <v>30.643457685086101</v>
      </c>
      <c r="Q71">
        <f t="shared" si="1"/>
        <v>2.5999999999999999E-2</v>
      </c>
      <c r="R71">
        <v>1.5</v>
      </c>
      <c r="S71" s="43" t="s">
        <v>28</v>
      </c>
      <c r="T71" s="35" t="s">
        <v>28</v>
      </c>
      <c r="U71" s="31">
        <v>30.643457685086101</v>
      </c>
      <c r="V71" s="22">
        <f t="shared" si="2"/>
        <v>2.5999999999999999E-2</v>
      </c>
      <c r="W71" s="31">
        <v>30.897372150729367</v>
      </c>
      <c r="X71" s="22">
        <v>2.9481145951607435E-2</v>
      </c>
      <c r="Y71" s="54">
        <v>0.95714216942929797</v>
      </c>
      <c r="Z71" s="56">
        <v>0.74708517371796801</v>
      </c>
    </row>
    <row r="72" spans="2:26" x14ac:dyDescent="0.3">
      <c r="B72" s="5">
        <f t="shared" si="4"/>
        <v>41</v>
      </c>
      <c r="C72" s="5" t="s">
        <v>61</v>
      </c>
      <c r="D72">
        <v>1</v>
      </c>
      <c r="E72">
        <v>2.5000000000000001E-3</v>
      </c>
      <c r="F72">
        <v>1</v>
      </c>
      <c r="G72">
        <v>1</v>
      </c>
      <c r="H72">
        <v>0.5</v>
      </c>
      <c r="I72" s="32">
        <v>947.05608286038</v>
      </c>
      <c r="J72">
        <v>7.54</v>
      </c>
      <c r="K72" s="30">
        <v>39.752969426819298</v>
      </c>
      <c r="L72" s="36">
        <v>39.752969426819298</v>
      </c>
      <c r="M72" s="5">
        <v>35</v>
      </c>
      <c r="N72">
        <v>6.0000000000000001E-3</v>
      </c>
      <c r="O72">
        <v>3</v>
      </c>
      <c r="P72">
        <f>M72</f>
        <v>35</v>
      </c>
      <c r="Q72">
        <f t="shared" si="1"/>
        <v>6.0000000000000001E-3</v>
      </c>
      <c r="R72">
        <v>1.5</v>
      </c>
      <c r="S72" s="43" t="s">
        <v>28</v>
      </c>
      <c r="T72" s="35" t="s">
        <v>28</v>
      </c>
      <c r="U72" s="31">
        <v>18.378293479035001</v>
      </c>
      <c r="V72" s="22">
        <f t="shared" si="2"/>
        <v>6.0000000000000001E-3</v>
      </c>
      <c r="W72" s="31">
        <v>36.29979010889943</v>
      </c>
      <c r="X72" s="22">
        <v>1.8642228311352163E-2</v>
      </c>
      <c r="Y72" s="54">
        <v>0.97878619756582197</v>
      </c>
      <c r="Z72" s="56">
        <v>0.58161434045555505</v>
      </c>
    </row>
    <row r="73" spans="2:26" x14ac:dyDescent="0.3">
      <c r="B73" s="5">
        <f t="shared" si="4"/>
        <v>42</v>
      </c>
      <c r="C73" s="5" t="s">
        <v>61</v>
      </c>
      <c r="D73">
        <v>1</v>
      </c>
      <c r="E73">
        <v>2.5000000000000001E-3</v>
      </c>
      <c r="F73">
        <v>1</v>
      </c>
      <c r="G73">
        <v>1</v>
      </c>
      <c r="H73">
        <v>0.5</v>
      </c>
      <c r="I73" s="32">
        <v>931.73089002113602</v>
      </c>
      <c r="J73">
        <v>7.54</v>
      </c>
      <c r="K73" s="30">
        <v>39.941731752016103</v>
      </c>
      <c r="L73" s="36">
        <v>39.941731752016103</v>
      </c>
      <c r="M73" s="5">
        <v>35</v>
      </c>
      <c r="N73">
        <v>1.0999999999999999E-2</v>
      </c>
      <c r="O73">
        <v>3</v>
      </c>
      <c r="P73">
        <f t="shared" ref="P73:P131" si="8">M73</f>
        <v>35</v>
      </c>
      <c r="Q73">
        <f t="shared" si="1"/>
        <v>1.0999999999999999E-2</v>
      </c>
      <c r="R73">
        <v>1.5</v>
      </c>
      <c r="S73" s="43" t="s">
        <v>28</v>
      </c>
      <c r="T73" s="35" t="s">
        <v>28</v>
      </c>
      <c r="U73" s="31">
        <v>22.065241900873801</v>
      </c>
      <c r="V73" s="22">
        <f t="shared" si="2"/>
        <v>1.0999999999999999E-2</v>
      </c>
      <c r="W73" s="31">
        <v>35.516452670274163</v>
      </c>
      <c r="X73" s="22">
        <v>2.1129406575658208E-2</v>
      </c>
      <c r="Y73" s="54">
        <v>0.97748895053735296</v>
      </c>
      <c r="Z73" s="56">
        <v>0.660986528559807</v>
      </c>
    </row>
    <row r="74" spans="2:26" x14ac:dyDescent="0.3">
      <c r="B74" s="5">
        <f t="shared" si="4"/>
        <v>43</v>
      </c>
      <c r="C74" s="5" t="s">
        <v>61</v>
      </c>
      <c r="D74">
        <v>1</v>
      </c>
      <c r="E74">
        <v>2.5000000000000001E-3</v>
      </c>
      <c r="F74">
        <v>1</v>
      </c>
      <c r="G74">
        <v>1</v>
      </c>
      <c r="H74">
        <v>0.5</v>
      </c>
      <c r="I74" s="32">
        <v>918.09752200399703</v>
      </c>
      <c r="J74">
        <v>7.54</v>
      </c>
      <c r="K74" s="30">
        <v>40.100713039407196</v>
      </c>
      <c r="L74" s="36">
        <v>40.100713039407196</v>
      </c>
      <c r="M74" s="5">
        <v>35</v>
      </c>
      <c r="N74">
        <v>1.6E-2</v>
      </c>
      <c r="O74">
        <v>3</v>
      </c>
      <c r="P74">
        <f t="shared" si="8"/>
        <v>35</v>
      </c>
      <c r="Q74">
        <f t="shared" si="1"/>
        <v>1.6E-2</v>
      </c>
      <c r="R74">
        <v>1.5</v>
      </c>
      <c r="S74" s="43" t="s">
        <v>28</v>
      </c>
      <c r="T74" s="35" t="s">
        <v>28</v>
      </c>
      <c r="U74" s="31">
        <v>25.2698395236308</v>
      </c>
      <c r="V74" s="22">
        <f t="shared" si="2"/>
        <v>1.6E-2</v>
      </c>
      <c r="W74" s="31">
        <v>35.045504930293767</v>
      </c>
      <c r="X74" s="22">
        <v>2.3828355770390788E-2</v>
      </c>
      <c r="Y74" s="54">
        <v>0.97444775133196304</v>
      </c>
      <c r="Z74" s="56">
        <v>0.70941702447983401</v>
      </c>
    </row>
    <row r="75" spans="2:26" x14ac:dyDescent="0.3">
      <c r="B75" s="5">
        <f t="shared" si="4"/>
        <v>44</v>
      </c>
      <c r="C75" s="5" t="s">
        <v>61</v>
      </c>
      <c r="D75">
        <v>1</v>
      </c>
      <c r="E75">
        <v>2.5000000000000001E-3</v>
      </c>
      <c r="F75">
        <v>1</v>
      </c>
      <c r="G75">
        <v>1</v>
      </c>
      <c r="H75">
        <v>0.5</v>
      </c>
      <c r="I75" s="32">
        <v>905.91143162095898</v>
      </c>
      <c r="J75">
        <v>7.54</v>
      </c>
      <c r="K75" s="30">
        <v>40.2336604051929</v>
      </c>
      <c r="L75" s="36">
        <v>40.2336604051929</v>
      </c>
      <c r="M75" s="5">
        <v>35</v>
      </c>
      <c r="N75">
        <v>2.1000000000000001E-2</v>
      </c>
      <c r="O75">
        <v>3</v>
      </c>
      <c r="P75">
        <f t="shared" si="8"/>
        <v>35</v>
      </c>
      <c r="Q75">
        <f t="shared" si="1"/>
        <v>2.1000000000000001E-2</v>
      </c>
      <c r="R75">
        <v>1.5</v>
      </c>
      <c r="S75" s="43" t="s">
        <v>28</v>
      </c>
      <c r="T75" s="35" t="s">
        <v>28</v>
      </c>
      <c r="U75" s="31">
        <v>28.0461103225188</v>
      </c>
      <c r="V75" s="22">
        <f t="shared" si="2"/>
        <v>2.1000000000000001E-2</v>
      </c>
      <c r="W75" s="31">
        <v>34.785444801079151</v>
      </c>
      <c r="X75" s="22">
        <v>2.6745514084750711E-2</v>
      </c>
      <c r="Y75" s="54">
        <v>0.98378711073226499</v>
      </c>
      <c r="Z75" s="56">
        <v>0.74439455497324802</v>
      </c>
    </row>
    <row r="76" spans="2:26" x14ac:dyDescent="0.3">
      <c r="B76" s="5">
        <f t="shared" si="4"/>
        <v>45</v>
      </c>
      <c r="C76" s="5" t="s">
        <v>61</v>
      </c>
      <c r="D76">
        <v>1</v>
      </c>
      <c r="E76">
        <v>2.5000000000000001E-3</v>
      </c>
      <c r="F76">
        <v>1</v>
      </c>
      <c r="G76">
        <v>1</v>
      </c>
      <c r="H76">
        <v>0.5</v>
      </c>
      <c r="I76" s="32">
        <v>894.73633344732195</v>
      </c>
      <c r="J76">
        <v>7.54</v>
      </c>
      <c r="K76" s="30">
        <v>40.348685084057699</v>
      </c>
      <c r="L76" s="36">
        <v>40.348685084057699</v>
      </c>
      <c r="M76" s="5">
        <v>35</v>
      </c>
      <c r="N76">
        <v>2.5999999999999999E-2</v>
      </c>
      <c r="O76">
        <v>3</v>
      </c>
      <c r="P76">
        <f t="shared" si="8"/>
        <v>35</v>
      </c>
      <c r="Q76">
        <f t="shared" si="1"/>
        <v>2.5999999999999999E-2</v>
      </c>
      <c r="R76">
        <v>1.5</v>
      </c>
      <c r="S76" s="43" t="s">
        <v>28</v>
      </c>
      <c r="T76" s="35" t="s">
        <v>28</v>
      </c>
      <c r="U76" s="31">
        <v>30.532648710543501</v>
      </c>
      <c r="V76" s="22">
        <f t="shared" si="2"/>
        <v>2.5999999999999999E-2</v>
      </c>
      <c r="W76" s="31">
        <v>34.694749527552041</v>
      </c>
      <c r="X76" s="22">
        <v>2.9792207041196148E-2</v>
      </c>
      <c r="Y76" s="54">
        <v>0.97889540055269098</v>
      </c>
      <c r="Z76" s="56">
        <v>0.765919273996433</v>
      </c>
    </row>
    <row r="77" spans="2:26" x14ac:dyDescent="0.3">
      <c r="B77" s="5">
        <f t="shared" si="4"/>
        <v>46</v>
      </c>
      <c r="C77" s="5" t="s">
        <v>62</v>
      </c>
      <c r="D77">
        <v>1</v>
      </c>
      <c r="E77">
        <v>2.5000000000000001E-3</v>
      </c>
      <c r="F77">
        <v>1</v>
      </c>
      <c r="G77">
        <v>1</v>
      </c>
      <c r="H77">
        <v>0.5</v>
      </c>
      <c r="I77" s="32">
        <v>944.33831251389495</v>
      </c>
      <c r="J77">
        <v>7.54</v>
      </c>
      <c r="K77" s="30">
        <v>39.806811461127197</v>
      </c>
      <c r="L77" s="36">
        <v>39.806811461127197</v>
      </c>
      <c r="M77" s="5">
        <v>35</v>
      </c>
      <c r="N77">
        <v>6.0000000000000001E-3</v>
      </c>
      <c r="O77">
        <v>3</v>
      </c>
      <c r="P77">
        <f t="shared" si="8"/>
        <v>35</v>
      </c>
      <c r="Q77">
        <f t="shared" si="1"/>
        <v>6.0000000000000001E-3</v>
      </c>
      <c r="R77">
        <v>1.5</v>
      </c>
      <c r="S77" s="43" t="s">
        <v>28</v>
      </c>
      <c r="T77" s="35" t="s">
        <v>28</v>
      </c>
      <c r="U77" s="31">
        <v>19.3493210077512</v>
      </c>
      <c r="V77" s="22">
        <f t="shared" si="2"/>
        <v>6.0000000000000001E-3</v>
      </c>
      <c r="W77" s="31">
        <v>37.353915782827869</v>
      </c>
      <c r="X77" s="22">
        <v>1.7447883217299887E-2</v>
      </c>
      <c r="Y77" s="54">
        <v>0.92571947601104898</v>
      </c>
      <c r="Z77" s="56">
        <v>0.54798205518600795</v>
      </c>
    </row>
    <row r="78" spans="2:26" x14ac:dyDescent="0.3">
      <c r="B78" s="5">
        <f t="shared" si="4"/>
        <v>47</v>
      </c>
      <c r="C78" s="5" t="s">
        <v>62</v>
      </c>
      <c r="D78">
        <v>1</v>
      </c>
      <c r="E78">
        <v>2.5000000000000001E-3</v>
      </c>
      <c r="F78">
        <v>1</v>
      </c>
      <c r="G78">
        <v>1</v>
      </c>
      <c r="H78">
        <v>0.5</v>
      </c>
      <c r="I78" s="32">
        <v>929.86159792675596</v>
      </c>
      <c r="J78">
        <v>7.54</v>
      </c>
      <c r="K78" s="30">
        <v>39.979327099888899</v>
      </c>
      <c r="L78" s="36">
        <v>39.979327099888899</v>
      </c>
      <c r="M78" s="5">
        <v>35</v>
      </c>
      <c r="N78">
        <v>1.0999999999999999E-2</v>
      </c>
      <c r="O78">
        <v>3</v>
      </c>
      <c r="P78">
        <f t="shared" si="8"/>
        <v>35</v>
      </c>
      <c r="Q78">
        <f t="shared" si="1"/>
        <v>1.0999999999999999E-2</v>
      </c>
      <c r="R78">
        <v>1.5</v>
      </c>
      <c r="S78" s="43" t="s">
        <v>28</v>
      </c>
      <c r="T78" s="35" t="s">
        <v>28</v>
      </c>
      <c r="U78" s="31">
        <v>22.750138320645998</v>
      </c>
      <c r="V78" s="22">
        <f t="shared" si="2"/>
        <v>1.0999999999999999E-2</v>
      </c>
      <c r="W78" s="31">
        <v>36.252190373505591</v>
      </c>
      <c r="X78" s="22">
        <v>2.0283330607326976E-2</v>
      </c>
      <c r="Y78" s="54">
        <v>0.92444691446168203</v>
      </c>
      <c r="Z78" s="56">
        <v>0.62600894674759799</v>
      </c>
    </row>
    <row r="79" spans="2:26" x14ac:dyDescent="0.3">
      <c r="B79" s="5">
        <f t="shared" si="4"/>
        <v>48</v>
      </c>
      <c r="C79" s="5" t="s">
        <v>62</v>
      </c>
      <c r="D79">
        <v>1</v>
      </c>
      <c r="E79">
        <v>2.5000000000000001E-3</v>
      </c>
      <c r="F79">
        <v>1</v>
      </c>
      <c r="G79">
        <v>1</v>
      </c>
      <c r="H79">
        <v>0.5</v>
      </c>
      <c r="I79" s="32">
        <v>917.21855695637305</v>
      </c>
      <c r="J79">
        <v>7.54</v>
      </c>
      <c r="K79" s="30">
        <v>40.1186164814916</v>
      </c>
      <c r="L79" s="36">
        <v>40.1186164814916</v>
      </c>
      <c r="M79" s="5">
        <v>35</v>
      </c>
      <c r="N79">
        <v>1.6E-2</v>
      </c>
      <c r="O79">
        <v>3</v>
      </c>
      <c r="P79">
        <f t="shared" si="8"/>
        <v>35</v>
      </c>
      <c r="Q79">
        <f t="shared" si="1"/>
        <v>1.6E-2</v>
      </c>
      <c r="R79">
        <v>1.5</v>
      </c>
      <c r="S79" s="43" t="s">
        <v>28</v>
      </c>
      <c r="T79" s="35" t="s">
        <v>28</v>
      </c>
      <c r="U79" s="31">
        <v>25.599210259079101</v>
      </c>
      <c r="V79" s="22">
        <f t="shared" si="2"/>
        <v>1.6E-2</v>
      </c>
      <c r="W79" s="31">
        <v>35.504139090672155</v>
      </c>
      <c r="X79" s="22">
        <v>2.3375412100232473E-2</v>
      </c>
      <c r="Y79" s="54">
        <v>0.94431019201241795</v>
      </c>
      <c r="Z79" s="56">
        <v>0.68520178934951903</v>
      </c>
    </row>
    <row r="80" spans="2:26" x14ac:dyDescent="0.3">
      <c r="B80" s="5">
        <f t="shared" si="4"/>
        <v>49</v>
      </c>
      <c r="C80" s="5" t="s">
        <v>62</v>
      </c>
      <c r="D80">
        <v>1</v>
      </c>
      <c r="E80">
        <v>2.5000000000000001E-3</v>
      </c>
      <c r="F80">
        <v>1</v>
      </c>
      <c r="G80">
        <v>1</v>
      </c>
      <c r="H80">
        <v>0.5</v>
      </c>
      <c r="I80" s="32">
        <v>905.42283805661395</v>
      </c>
      <c r="J80">
        <v>7.54</v>
      </c>
      <c r="K80" s="30">
        <v>40.243724142312097</v>
      </c>
      <c r="L80" s="36">
        <v>40.243724142312097</v>
      </c>
      <c r="M80" s="5">
        <v>35</v>
      </c>
      <c r="N80">
        <v>2.1000000000000001E-2</v>
      </c>
      <c r="O80">
        <v>3</v>
      </c>
      <c r="P80">
        <f t="shared" si="8"/>
        <v>35</v>
      </c>
      <c r="Q80">
        <f t="shared" si="1"/>
        <v>2.1000000000000001E-2</v>
      </c>
      <c r="R80">
        <v>1.5</v>
      </c>
      <c r="S80" s="43" t="s">
        <v>28</v>
      </c>
      <c r="T80" s="35" t="s">
        <v>28</v>
      </c>
      <c r="U80" s="31">
        <v>28.233042840730601</v>
      </c>
      <c r="V80" s="22">
        <f t="shared" si="2"/>
        <v>2.1000000000000001E-2</v>
      </c>
      <c r="W80" s="31">
        <v>35.077620720694298</v>
      </c>
      <c r="X80" s="22">
        <v>2.6473407697269032E-2</v>
      </c>
      <c r="Y80" s="54">
        <v>0.95567890756848695</v>
      </c>
      <c r="Z80" s="56">
        <v>0.72421518381151995</v>
      </c>
    </row>
    <row r="81" spans="2:26" x14ac:dyDescent="0.3">
      <c r="B81" s="5">
        <f t="shared" si="4"/>
        <v>50</v>
      </c>
      <c r="C81" s="5" t="s">
        <v>62</v>
      </c>
      <c r="D81">
        <v>1</v>
      </c>
      <c r="E81">
        <v>2.5000000000000001E-3</v>
      </c>
      <c r="F81">
        <v>1</v>
      </c>
      <c r="G81">
        <v>1</v>
      </c>
      <c r="H81">
        <v>0.5</v>
      </c>
      <c r="I81" s="32">
        <v>894.452273639277</v>
      </c>
      <c r="J81">
        <v>7.54</v>
      </c>
      <c r="K81" s="30">
        <v>40.354594444730999</v>
      </c>
      <c r="L81" s="36">
        <v>40.354594444730999</v>
      </c>
      <c r="M81" s="5">
        <v>35</v>
      </c>
      <c r="N81">
        <v>2.5999999999999999E-2</v>
      </c>
      <c r="O81">
        <v>3</v>
      </c>
      <c r="P81">
        <f t="shared" si="8"/>
        <v>35</v>
      </c>
      <c r="Q81">
        <f t="shared" si="1"/>
        <v>2.5999999999999999E-2</v>
      </c>
      <c r="R81">
        <v>1.5</v>
      </c>
      <c r="S81" s="43" t="s">
        <v>28</v>
      </c>
      <c r="T81" s="35" t="s">
        <v>28</v>
      </c>
      <c r="U81" s="31">
        <v>30.643457685086101</v>
      </c>
      <c r="V81" s="22">
        <f t="shared" si="2"/>
        <v>2.5999999999999999E-2</v>
      </c>
      <c r="W81" s="31">
        <v>34.872484469726544</v>
      </c>
      <c r="X81" s="22">
        <v>2.9627849296361416E-2</v>
      </c>
      <c r="Y81" s="54">
        <v>0.95714216942929797</v>
      </c>
      <c r="Z81" s="56">
        <v>0.74708517371796801</v>
      </c>
    </row>
    <row r="82" spans="2:26" x14ac:dyDescent="0.3">
      <c r="B82" s="5">
        <f t="shared" si="4"/>
        <v>51</v>
      </c>
      <c r="C82" s="5" t="s">
        <v>57</v>
      </c>
      <c r="D82">
        <v>1</v>
      </c>
      <c r="E82">
        <v>2.5000000000000001E-3</v>
      </c>
      <c r="F82">
        <v>1</v>
      </c>
      <c r="G82">
        <v>1</v>
      </c>
      <c r="H82">
        <v>0.5</v>
      </c>
      <c r="I82" s="32">
        <v>306.04472505264101</v>
      </c>
      <c r="J82">
        <v>7.54</v>
      </c>
      <c r="K82" s="30">
        <v>40.099966989146097</v>
      </c>
      <c r="L82" s="36">
        <v>40.099966989146097</v>
      </c>
      <c r="M82" s="5">
        <v>35</v>
      </c>
      <c r="N82">
        <v>1.6E-2</v>
      </c>
      <c r="O82">
        <v>1</v>
      </c>
      <c r="P82">
        <f>M82</f>
        <v>35</v>
      </c>
      <c r="Q82">
        <f t="shared" si="1"/>
        <v>1.6E-2</v>
      </c>
      <c r="R82">
        <v>0.5</v>
      </c>
      <c r="S82" s="43" t="s">
        <v>28</v>
      </c>
      <c r="T82" s="35" t="s">
        <v>28</v>
      </c>
      <c r="U82" s="31">
        <v>25.256115742987099</v>
      </c>
      <c r="V82" s="22">
        <f t="shared" si="2"/>
        <v>1.6E-2</v>
      </c>
      <c r="W82" s="31">
        <v>35.523825331860678</v>
      </c>
      <c r="X82" s="22">
        <v>2.3643962200598247E-2</v>
      </c>
      <c r="Y82" s="54">
        <v>0.97444775133196304</v>
      </c>
      <c r="Z82" s="56">
        <v>0.70967744581822501</v>
      </c>
    </row>
    <row r="83" spans="2:26" x14ac:dyDescent="0.3">
      <c r="B83" s="5">
        <f t="shared" si="4"/>
        <v>52</v>
      </c>
      <c r="C83" s="5" t="s">
        <v>57</v>
      </c>
      <c r="D83">
        <v>1</v>
      </c>
      <c r="E83">
        <v>2.5000000000000001E-3</v>
      </c>
      <c r="F83">
        <v>1</v>
      </c>
      <c r="G83">
        <v>1</v>
      </c>
      <c r="H83">
        <v>0.5</v>
      </c>
      <c r="I83" s="32">
        <v>610.82089980100295</v>
      </c>
      <c r="J83">
        <v>7.54</v>
      </c>
      <c r="K83" s="30">
        <v>40.138753806822102</v>
      </c>
      <c r="L83" s="36">
        <v>40.138753806822102</v>
      </c>
      <c r="M83" s="5">
        <v>35</v>
      </c>
      <c r="N83">
        <v>1.6E-2</v>
      </c>
      <c r="O83">
        <v>2</v>
      </c>
      <c r="P83">
        <f t="shared" ref="P83:P86" si="9">M83</f>
        <v>35</v>
      </c>
      <c r="Q83">
        <f t="shared" si="1"/>
        <v>1.6E-2</v>
      </c>
      <c r="R83">
        <v>1</v>
      </c>
      <c r="S83" s="43" t="s">
        <v>28</v>
      </c>
      <c r="T83" s="35" t="s">
        <v>28</v>
      </c>
      <c r="U83" s="31">
        <v>25.969752336458399</v>
      </c>
      <c r="V83" s="22">
        <f t="shared" si="2"/>
        <v>1.6E-2</v>
      </c>
      <c r="W83" s="31">
        <v>34.847663786568894</v>
      </c>
      <c r="X83" s="22">
        <v>2.3344728102846522E-2</v>
      </c>
      <c r="Y83" s="54">
        <v>0.90412677958635801</v>
      </c>
      <c r="Z83" s="56">
        <v>0.658064500581792</v>
      </c>
    </row>
    <row r="84" spans="2:26" x14ac:dyDescent="0.3">
      <c r="B84" s="5">
        <f t="shared" si="4"/>
        <v>53</v>
      </c>
      <c r="C84" s="5" t="s">
        <v>57</v>
      </c>
      <c r="D84">
        <v>1</v>
      </c>
      <c r="E84">
        <v>2.5000000000000001E-3</v>
      </c>
      <c r="F84">
        <v>1</v>
      </c>
      <c r="G84">
        <v>1</v>
      </c>
      <c r="H84">
        <v>0.5</v>
      </c>
      <c r="I84" s="32">
        <v>914.18928801536697</v>
      </c>
      <c r="J84">
        <v>7.54</v>
      </c>
      <c r="K84" s="30">
        <v>40.180506463061299</v>
      </c>
      <c r="L84" s="36">
        <v>40.180506463061299</v>
      </c>
      <c r="M84" s="5">
        <v>35</v>
      </c>
      <c r="N84">
        <v>1.6E-2</v>
      </c>
      <c r="O84">
        <v>3</v>
      </c>
      <c r="P84">
        <f t="shared" si="9"/>
        <v>35</v>
      </c>
      <c r="Q84">
        <f t="shared" si="1"/>
        <v>1.6E-2</v>
      </c>
      <c r="R84">
        <v>1.5</v>
      </c>
      <c r="S84" s="43" t="s">
        <v>28</v>
      </c>
      <c r="T84" s="35" t="s">
        <v>28</v>
      </c>
      <c r="U84" s="31">
        <v>26.7382840525045</v>
      </c>
      <c r="V84" s="22">
        <f t="shared" si="2"/>
        <v>1.6E-2</v>
      </c>
      <c r="W84" s="31">
        <v>34.451567736390068</v>
      </c>
      <c r="X84" s="22">
        <v>2.2886543688951919E-2</v>
      </c>
      <c r="Y84" s="54">
        <v>0.83380580784075198</v>
      </c>
      <c r="Z84" s="56">
        <v>0.60161288883634001</v>
      </c>
    </row>
    <row r="85" spans="2:26" x14ac:dyDescent="0.3">
      <c r="B85" s="5">
        <f t="shared" si="4"/>
        <v>54</v>
      </c>
      <c r="C85" s="5" t="s">
        <v>57</v>
      </c>
      <c r="D85">
        <v>1</v>
      </c>
      <c r="E85">
        <v>2.5000000000000001E-3</v>
      </c>
      <c r="F85">
        <v>1</v>
      </c>
      <c r="G85">
        <v>1</v>
      </c>
      <c r="H85">
        <v>0.5</v>
      </c>
      <c r="I85" s="32">
        <v>1216.2544790319</v>
      </c>
      <c r="J85">
        <v>7.54</v>
      </c>
      <c r="K85" s="30">
        <v>40.221495630653898</v>
      </c>
      <c r="L85" s="36">
        <v>40.221495630653898</v>
      </c>
      <c r="M85" s="5">
        <v>35</v>
      </c>
      <c r="N85">
        <v>1.6E-2</v>
      </c>
      <c r="O85">
        <v>4</v>
      </c>
      <c r="P85">
        <f t="shared" si="9"/>
        <v>35</v>
      </c>
      <c r="Q85">
        <f t="shared" si="1"/>
        <v>1.6E-2</v>
      </c>
      <c r="R85">
        <v>2</v>
      </c>
      <c r="S85" s="43" t="s">
        <v>28</v>
      </c>
      <c r="T85" s="35" t="s">
        <v>28</v>
      </c>
      <c r="U85" s="31">
        <v>27.493091987906901</v>
      </c>
      <c r="V85" s="22">
        <f t="shared" si="2"/>
        <v>1.6E-2</v>
      </c>
      <c r="W85" s="31">
        <v>34.200162027719678</v>
      </c>
      <c r="X85" s="22">
        <v>2.238013860687656E-2</v>
      </c>
      <c r="Y85" s="54">
        <v>0.75343898298863099</v>
      </c>
      <c r="Z85" s="56">
        <v>0.54677421720003905</v>
      </c>
    </row>
    <row r="86" spans="2:26" x14ac:dyDescent="0.3">
      <c r="B86" s="5">
        <f t="shared" si="4"/>
        <v>55</v>
      </c>
      <c r="C86" s="5" t="s">
        <v>57</v>
      </c>
      <c r="D86">
        <v>1</v>
      </c>
      <c r="E86">
        <v>2.5000000000000001E-3</v>
      </c>
      <c r="F86">
        <v>1</v>
      </c>
      <c r="G86">
        <v>1</v>
      </c>
      <c r="H86">
        <v>0.5</v>
      </c>
      <c r="I86" s="32">
        <v>1518.1443772175601</v>
      </c>
      <c r="J86">
        <v>7.54</v>
      </c>
      <c r="K86" s="30">
        <v>40.248315307664399</v>
      </c>
      <c r="L86" s="36">
        <v>40.248315307664399</v>
      </c>
      <c r="M86" s="5">
        <v>35</v>
      </c>
      <c r="N86">
        <v>1.6E-2</v>
      </c>
      <c r="O86">
        <v>5</v>
      </c>
      <c r="P86">
        <f t="shared" si="9"/>
        <v>35</v>
      </c>
      <c r="Q86">
        <f t="shared" si="1"/>
        <v>1.6E-2</v>
      </c>
      <c r="R86">
        <v>2.5</v>
      </c>
      <c r="S86" s="43" t="s">
        <v>28</v>
      </c>
      <c r="T86" s="35" t="s">
        <v>28</v>
      </c>
      <c r="U86" s="31">
        <v>27.987148091079401</v>
      </c>
      <c r="V86" s="22">
        <f t="shared" si="2"/>
        <v>1.6E-2</v>
      </c>
      <c r="W86" s="31">
        <v>34.103339949866168</v>
      </c>
      <c r="X86" s="22">
        <v>2.2020954787281194E-2</v>
      </c>
      <c r="Y86" s="54">
        <v>0.70320971745605598</v>
      </c>
      <c r="Z86" s="56">
        <v>0.51129033465456497</v>
      </c>
    </row>
    <row r="87" spans="2:26" x14ac:dyDescent="0.3">
      <c r="B87" s="5">
        <f t="shared" si="4"/>
        <v>56</v>
      </c>
      <c r="C87" s="5" t="s">
        <v>59</v>
      </c>
      <c r="D87">
        <v>1</v>
      </c>
      <c r="E87">
        <v>2.5000000000000001E-3</v>
      </c>
      <c r="F87">
        <v>1</v>
      </c>
      <c r="G87">
        <v>1</v>
      </c>
      <c r="H87">
        <v>0.5</v>
      </c>
      <c r="I87" s="32">
        <v>308.70239038171599</v>
      </c>
      <c r="J87">
        <v>7.54</v>
      </c>
      <c r="K87" s="30">
        <v>39.9386820332805</v>
      </c>
      <c r="L87" s="36">
        <v>39.9386820332805</v>
      </c>
      <c r="M87" s="5">
        <v>35</v>
      </c>
      <c r="N87">
        <v>1.6E-2</v>
      </c>
      <c r="O87">
        <v>1</v>
      </c>
      <c r="P87" s="31">
        <f>U87</f>
        <v>22.2917791239521</v>
      </c>
      <c r="Q87">
        <f t="shared" si="1"/>
        <v>1.6E-2</v>
      </c>
      <c r="R87">
        <v>0.5</v>
      </c>
      <c r="S87" s="43" t="s">
        <v>28</v>
      </c>
      <c r="T87" s="35" t="s">
        <v>28</v>
      </c>
      <c r="U87" s="31">
        <v>22.2917791239521</v>
      </c>
      <c r="V87" s="22">
        <f t="shared" si="2"/>
        <v>1.6E-2</v>
      </c>
      <c r="W87" s="31">
        <v>39.656253527681379</v>
      </c>
      <c r="X87" s="22">
        <v>2.4343530992205702E-2</v>
      </c>
      <c r="Y87" s="54">
        <v>1.2758233445274201</v>
      </c>
      <c r="Z87" s="56">
        <v>0.92580646749093498</v>
      </c>
    </row>
    <row r="88" spans="2:26" x14ac:dyDescent="0.3">
      <c r="B88" s="5">
        <f t="shared" si="4"/>
        <v>57</v>
      </c>
      <c r="C88" s="5" t="s">
        <v>59</v>
      </c>
      <c r="D88">
        <v>1</v>
      </c>
      <c r="E88">
        <v>2.5000000000000001E-3</v>
      </c>
      <c r="F88">
        <v>1</v>
      </c>
      <c r="G88">
        <v>1</v>
      </c>
      <c r="H88">
        <v>0.5</v>
      </c>
      <c r="I88" s="32">
        <v>613.70568995778797</v>
      </c>
      <c r="J88">
        <v>7.54</v>
      </c>
      <c r="K88" s="30">
        <v>40.050714659880299</v>
      </c>
      <c r="L88" s="36">
        <v>40.050714659880299</v>
      </c>
      <c r="M88" s="5">
        <v>35</v>
      </c>
      <c r="N88">
        <v>1.6E-2</v>
      </c>
      <c r="O88">
        <v>2</v>
      </c>
      <c r="P88" s="31">
        <f t="shared" ref="P88:P96" si="10">U88</f>
        <v>24.3503462205042</v>
      </c>
      <c r="Q88">
        <f t="shared" si="1"/>
        <v>1.6E-2</v>
      </c>
      <c r="R88">
        <v>1</v>
      </c>
      <c r="S88" s="43" t="s">
        <v>28</v>
      </c>
      <c r="T88" s="35" t="s">
        <v>28</v>
      </c>
      <c r="U88" s="31">
        <v>24.3503462205042</v>
      </c>
      <c r="V88" s="22">
        <f t="shared" si="2"/>
        <v>1.6E-2</v>
      </c>
      <c r="W88" s="31">
        <v>37.35251099187014</v>
      </c>
      <c r="X88" s="22">
        <v>2.3627156305984158E-2</v>
      </c>
      <c r="Y88" s="54">
        <v>1.0648604292906001</v>
      </c>
      <c r="Z88" s="56">
        <v>0.77580645210909105</v>
      </c>
    </row>
    <row r="89" spans="2:26" x14ac:dyDescent="0.3">
      <c r="B89" s="5">
        <f t="shared" si="4"/>
        <v>58</v>
      </c>
      <c r="C89" s="5" t="s">
        <v>59</v>
      </c>
      <c r="D89">
        <v>1</v>
      </c>
      <c r="E89">
        <v>2.5000000000000001E-3</v>
      </c>
      <c r="F89">
        <v>1</v>
      </c>
      <c r="G89">
        <v>1</v>
      </c>
      <c r="H89">
        <v>0.5</v>
      </c>
      <c r="I89" s="32">
        <v>916.41403595228599</v>
      </c>
      <c r="J89">
        <v>7.54</v>
      </c>
      <c r="K89" s="30">
        <v>40.135024995666697</v>
      </c>
      <c r="L89" s="36">
        <v>40.135024995666697</v>
      </c>
      <c r="M89" s="5">
        <v>35</v>
      </c>
      <c r="N89">
        <v>1.6E-2</v>
      </c>
      <c r="O89">
        <v>3</v>
      </c>
      <c r="P89" s="31">
        <f t="shared" si="10"/>
        <v>25.901133433239998</v>
      </c>
      <c r="Q89">
        <f t="shared" si="1"/>
        <v>1.6E-2</v>
      </c>
      <c r="R89">
        <v>1.5</v>
      </c>
      <c r="S89" s="43" t="s">
        <v>28</v>
      </c>
      <c r="T89" s="35" t="s">
        <v>28</v>
      </c>
      <c r="U89" s="31">
        <v>25.901133433239998</v>
      </c>
      <c r="V89" s="22">
        <f t="shared" si="2"/>
        <v>1.6E-2</v>
      </c>
      <c r="W89" s="31">
        <v>35.511024849797764</v>
      </c>
      <c r="X89" s="22">
        <v>2.3129200713049195E-2</v>
      </c>
      <c r="Y89" s="54">
        <v>0.91417263269287297</v>
      </c>
      <c r="Z89" s="56">
        <v>0.662903259381873</v>
      </c>
    </row>
    <row r="90" spans="2:26" x14ac:dyDescent="0.3">
      <c r="B90" s="5">
        <f t="shared" si="4"/>
        <v>59</v>
      </c>
      <c r="C90" s="5" t="s">
        <v>59</v>
      </c>
      <c r="D90">
        <v>1</v>
      </c>
      <c r="E90">
        <v>2.5000000000000001E-3</v>
      </c>
      <c r="F90">
        <v>1</v>
      </c>
      <c r="G90">
        <v>1</v>
      </c>
      <c r="H90">
        <v>0.5</v>
      </c>
      <c r="I90" s="32">
        <v>1217.3191742040001</v>
      </c>
      <c r="J90">
        <v>7.54</v>
      </c>
      <c r="K90" s="30">
        <v>40.2051020913174</v>
      </c>
      <c r="L90" s="36">
        <v>40.2051020913174</v>
      </c>
      <c r="M90" s="5">
        <v>35</v>
      </c>
      <c r="N90">
        <v>1.6E-2</v>
      </c>
      <c r="O90">
        <v>4</v>
      </c>
      <c r="P90" s="31">
        <f t="shared" si="10"/>
        <v>27.191168813746</v>
      </c>
      <c r="Q90">
        <f t="shared" si="1"/>
        <v>1.6E-2</v>
      </c>
      <c r="R90">
        <v>2</v>
      </c>
      <c r="S90" s="43" t="s">
        <v>28</v>
      </c>
      <c r="T90" s="35" t="s">
        <v>28</v>
      </c>
      <c r="U90" s="31">
        <v>27.191168813746</v>
      </c>
      <c r="V90" s="22">
        <f t="shared" si="2"/>
        <v>1.6E-2</v>
      </c>
      <c r="W90" s="31">
        <v>33.96595668369195</v>
      </c>
      <c r="X90" s="22">
        <v>2.271937435578944E-2</v>
      </c>
      <c r="Y90" s="54">
        <v>0.78357654230817697</v>
      </c>
      <c r="Z90" s="56">
        <v>0.56935482498179502</v>
      </c>
    </row>
    <row r="91" spans="2:26" x14ac:dyDescent="0.3">
      <c r="B91" s="5">
        <f t="shared" si="4"/>
        <v>60</v>
      </c>
      <c r="C91" s="5" t="s">
        <v>59</v>
      </c>
      <c r="D91">
        <v>1</v>
      </c>
      <c r="E91">
        <v>2.5000000000000001E-3</v>
      </c>
      <c r="F91">
        <v>1</v>
      </c>
      <c r="G91">
        <v>1</v>
      </c>
      <c r="H91">
        <v>0.5</v>
      </c>
      <c r="I91" s="32">
        <v>1517.11964738202</v>
      </c>
      <c r="J91">
        <v>7.54</v>
      </c>
      <c r="K91" s="30">
        <v>40.260977518268099</v>
      </c>
      <c r="L91" s="36">
        <v>40.260977518268099</v>
      </c>
      <c r="M91" s="5">
        <v>35</v>
      </c>
      <c r="N91">
        <v>1.6E-2</v>
      </c>
      <c r="O91">
        <v>5</v>
      </c>
      <c r="P91" s="31">
        <f t="shared" si="10"/>
        <v>28.220452362022002</v>
      </c>
      <c r="Q91">
        <f t="shared" si="1"/>
        <v>1.6E-2</v>
      </c>
      <c r="R91">
        <v>2.5</v>
      </c>
      <c r="S91" s="43" t="s">
        <v>28</v>
      </c>
      <c r="T91" s="35" t="s">
        <v>28</v>
      </c>
      <c r="U91" s="31">
        <v>28.220452362022002</v>
      </c>
      <c r="V91" s="22">
        <f t="shared" si="2"/>
        <v>1.6E-2</v>
      </c>
      <c r="W91" s="31">
        <v>32.854035103676836</v>
      </c>
      <c r="X91" s="22">
        <v>2.2342387901202507E-2</v>
      </c>
      <c r="Y91" s="54">
        <v>0.68311801124302596</v>
      </c>
      <c r="Z91" s="56">
        <v>0.49354842414551497</v>
      </c>
    </row>
    <row r="92" spans="2:26" x14ac:dyDescent="0.3">
      <c r="B92" s="5">
        <f t="shared" si="4"/>
        <v>61</v>
      </c>
      <c r="C92" s="5" t="s">
        <v>60</v>
      </c>
      <c r="D92">
        <v>1</v>
      </c>
      <c r="E92">
        <v>2.5000000000000001E-3</v>
      </c>
      <c r="F92">
        <v>1</v>
      </c>
      <c r="G92">
        <v>1</v>
      </c>
      <c r="H92">
        <v>0.5</v>
      </c>
      <c r="I92" s="32">
        <v>308.19505809912403</v>
      </c>
      <c r="J92">
        <v>7.54</v>
      </c>
      <c r="K92" s="30">
        <v>39.969317478627801</v>
      </c>
      <c r="L92" s="36">
        <v>39.969317478627801</v>
      </c>
      <c r="M92" s="5">
        <v>35</v>
      </c>
      <c r="N92">
        <v>1.6E-2</v>
      </c>
      <c r="O92">
        <v>1</v>
      </c>
      <c r="P92" s="31">
        <f t="shared" si="10"/>
        <v>22.854454130343001</v>
      </c>
      <c r="Q92">
        <f t="shared" si="1"/>
        <v>1.6E-2</v>
      </c>
      <c r="R92">
        <v>0.5</v>
      </c>
      <c r="S92" s="43" t="s">
        <v>28</v>
      </c>
      <c r="T92" s="35" t="s">
        <v>28</v>
      </c>
      <c r="U92" s="31">
        <v>22.854454130343001</v>
      </c>
      <c r="V92" s="22">
        <f t="shared" si="2"/>
        <v>1.6E-2</v>
      </c>
      <c r="W92" s="31">
        <v>38.879884723919872</v>
      </c>
      <c r="X92" s="22">
        <v>2.4207782517253595E-2</v>
      </c>
      <c r="Y92" s="54">
        <v>1.2155482258883299</v>
      </c>
      <c r="Z92" s="56">
        <v>0.88548388767275399</v>
      </c>
    </row>
    <row r="93" spans="2:26" x14ac:dyDescent="0.3">
      <c r="B93" s="5">
        <f t="shared" si="4"/>
        <v>62</v>
      </c>
      <c r="C93" s="5" t="s">
        <v>60</v>
      </c>
      <c r="D93">
        <v>1</v>
      </c>
      <c r="E93">
        <v>2.5000000000000001E-3</v>
      </c>
      <c r="F93">
        <v>1</v>
      </c>
      <c r="G93">
        <v>1</v>
      </c>
      <c r="H93">
        <v>0.5</v>
      </c>
      <c r="I93" s="32">
        <v>613.77931963675201</v>
      </c>
      <c r="J93">
        <v>7.54</v>
      </c>
      <c r="K93" s="30">
        <v>40.0484753081683</v>
      </c>
      <c r="L93" s="36">
        <v>40.0484753081683</v>
      </c>
      <c r="M93" s="5">
        <v>35</v>
      </c>
      <c r="N93">
        <v>1.6E-2</v>
      </c>
      <c r="O93">
        <v>2</v>
      </c>
      <c r="P93" s="31">
        <f t="shared" si="10"/>
        <v>24.309174878573099</v>
      </c>
      <c r="Q93">
        <f t="shared" si="1"/>
        <v>1.6E-2</v>
      </c>
      <c r="R93">
        <v>1</v>
      </c>
      <c r="S93" s="43" t="s">
        <v>28</v>
      </c>
      <c r="T93" s="35" t="s">
        <v>28</v>
      </c>
      <c r="U93" s="31">
        <v>24.309174878573099</v>
      </c>
      <c r="V93" s="22">
        <f t="shared" si="2"/>
        <v>1.6E-2</v>
      </c>
      <c r="W93" s="31">
        <v>37.361484825648198</v>
      </c>
      <c r="X93" s="22">
        <v>2.3656642735002179E-2</v>
      </c>
      <c r="Y93" s="54">
        <v>1.0749062823971101</v>
      </c>
      <c r="Z93" s="56">
        <v>0.77903220927264705</v>
      </c>
    </row>
    <row r="94" spans="2:26" x14ac:dyDescent="0.3">
      <c r="B94" s="5">
        <f t="shared" si="4"/>
        <v>63</v>
      </c>
      <c r="C94" s="5" t="s">
        <v>60</v>
      </c>
      <c r="D94">
        <v>1</v>
      </c>
      <c r="E94">
        <v>2.5000000000000001E-3</v>
      </c>
      <c r="F94">
        <v>1</v>
      </c>
      <c r="G94">
        <v>1</v>
      </c>
      <c r="H94">
        <v>0.5</v>
      </c>
      <c r="I94" s="32">
        <v>917.10878218314804</v>
      </c>
      <c r="J94">
        <v>7.54</v>
      </c>
      <c r="K94" s="30">
        <v>40.120854173644098</v>
      </c>
      <c r="L94" s="36">
        <v>40.120854173644098</v>
      </c>
      <c r="M94" s="5">
        <v>35</v>
      </c>
      <c r="N94">
        <v>1.6E-2</v>
      </c>
      <c r="O94">
        <v>3</v>
      </c>
      <c r="P94" s="31">
        <f t="shared" si="10"/>
        <v>25.640381601010098</v>
      </c>
      <c r="Q94">
        <f t="shared" si="1"/>
        <v>1.6E-2</v>
      </c>
      <c r="R94">
        <v>1.5</v>
      </c>
      <c r="S94" s="43" t="s">
        <v>28</v>
      </c>
      <c r="T94" s="35" t="s">
        <v>28</v>
      </c>
      <c r="U94" s="31">
        <v>25.640381601010098</v>
      </c>
      <c r="V94" s="22">
        <f t="shared" si="2"/>
        <v>1.6E-2</v>
      </c>
      <c r="W94" s="31">
        <v>35.988741626275903</v>
      </c>
      <c r="X94" s="22">
        <v>2.3144429227497154E-2</v>
      </c>
      <c r="Y94" s="54">
        <v>0.94431019201241795</v>
      </c>
      <c r="Z94" s="56">
        <v>0.68225801770901395</v>
      </c>
    </row>
    <row r="95" spans="2:26" x14ac:dyDescent="0.3">
      <c r="B95" s="5">
        <f t="shared" si="4"/>
        <v>64</v>
      </c>
      <c r="C95" s="5" t="s">
        <v>60</v>
      </c>
      <c r="D95">
        <v>1</v>
      </c>
      <c r="E95">
        <v>2.5000000000000001E-3</v>
      </c>
      <c r="F95">
        <v>1</v>
      </c>
      <c r="G95">
        <v>1</v>
      </c>
      <c r="H95">
        <v>0.5</v>
      </c>
      <c r="I95" s="32">
        <v>1219.21030331927</v>
      </c>
      <c r="J95">
        <v>7.54</v>
      </c>
      <c r="K95" s="30">
        <v>40.176033844509597</v>
      </c>
      <c r="L95" s="36">
        <v>40.176033844509597</v>
      </c>
      <c r="M95" s="5">
        <v>35</v>
      </c>
      <c r="N95">
        <v>1.6E-2</v>
      </c>
      <c r="O95">
        <v>4</v>
      </c>
      <c r="P95" s="31">
        <f t="shared" si="10"/>
        <v>26.655941368642399</v>
      </c>
      <c r="Q95">
        <f t="shared" si="1"/>
        <v>1.6E-2</v>
      </c>
      <c r="R95">
        <v>2</v>
      </c>
      <c r="S95" s="43" t="s">
        <v>28</v>
      </c>
      <c r="T95" s="35" t="s">
        <v>28</v>
      </c>
      <c r="U95" s="31">
        <v>26.655941368642399</v>
      </c>
      <c r="V95" s="22">
        <f t="shared" si="2"/>
        <v>1.6E-2</v>
      </c>
      <c r="W95" s="31">
        <v>34.859102857140037</v>
      </c>
      <c r="X95" s="22">
        <v>2.2786618064636315E-2</v>
      </c>
      <c r="Y95" s="54">
        <v>0.83380580784075198</v>
      </c>
      <c r="Z95" s="56">
        <v>0.60806452621819795</v>
      </c>
    </row>
    <row r="96" spans="2:26" x14ac:dyDescent="0.3">
      <c r="B96" s="5">
        <f t="shared" si="4"/>
        <v>65</v>
      </c>
      <c r="C96" s="5" t="s">
        <v>60</v>
      </c>
      <c r="D96">
        <v>1</v>
      </c>
      <c r="E96">
        <v>2.5000000000000001E-3</v>
      </c>
      <c r="F96">
        <v>1</v>
      </c>
      <c r="G96">
        <v>1</v>
      </c>
      <c r="H96">
        <v>0.5</v>
      </c>
      <c r="I96" s="32">
        <v>1520.31809878988</v>
      </c>
      <c r="J96">
        <v>7.54</v>
      </c>
      <c r="K96" s="30">
        <v>40.221495630653898</v>
      </c>
      <c r="L96" s="36">
        <v>40.221495630653898</v>
      </c>
      <c r="M96" s="5">
        <v>35</v>
      </c>
      <c r="N96">
        <v>1.6E-2</v>
      </c>
      <c r="O96">
        <v>5</v>
      </c>
      <c r="P96" s="31">
        <f t="shared" si="10"/>
        <v>27.493091987906901</v>
      </c>
      <c r="Q96">
        <f t="shared" si="1"/>
        <v>1.6E-2</v>
      </c>
      <c r="R96">
        <v>2.5</v>
      </c>
      <c r="S96" s="43" t="s">
        <v>28</v>
      </c>
      <c r="T96" s="35" t="s">
        <v>28</v>
      </c>
      <c r="U96" s="31">
        <v>27.493091987906901</v>
      </c>
      <c r="V96" s="22">
        <f t="shared" si="2"/>
        <v>1.6E-2</v>
      </c>
      <c r="W96" s="31">
        <v>33.863939707531749</v>
      </c>
      <c r="X96" s="22">
        <v>2.2517346001304932E-2</v>
      </c>
      <c r="Y96" s="54">
        <v>0.75343898298863099</v>
      </c>
      <c r="Z96" s="56">
        <v>0.54677421720003905</v>
      </c>
    </row>
    <row r="97" spans="2:26" x14ac:dyDescent="0.3">
      <c r="B97" s="5">
        <f t="shared" si="4"/>
        <v>66</v>
      </c>
      <c r="C97" s="5" t="s">
        <v>61</v>
      </c>
      <c r="D97">
        <v>1</v>
      </c>
      <c r="E97">
        <v>2.5000000000000001E-3</v>
      </c>
      <c r="F97">
        <v>1</v>
      </c>
      <c r="G97">
        <v>1</v>
      </c>
      <c r="H97">
        <v>0.5</v>
      </c>
      <c r="I97" s="32">
        <v>308.81393708783901</v>
      </c>
      <c r="J97">
        <v>7.54</v>
      </c>
      <c r="K97" s="30">
        <v>39.931955849072502</v>
      </c>
      <c r="L97" s="36">
        <v>39.931955849072502</v>
      </c>
      <c r="M97" s="5">
        <v>35</v>
      </c>
      <c r="N97">
        <v>1.6E-2</v>
      </c>
      <c r="O97">
        <v>1</v>
      </c>
      <c r="P97">
        <f>M97</f>
        <v>35</v>
      </c>
      <c r="Q97">
        <f t="shared" ref="Q97:Q131" si="11">N97</f>
        <v>1.6E-2</v>
      </c>
      <c r="R97">
        <v>0.5</v>
      </c>
      <c r="S97" s="43" t="s">
        <v>28</v>
      </c>
      <c r="T97" s="35" t="s">
        <v>28</v>
      </c>
      <c r="U97" s="31">
        <v>22.168265098159001</v>
      </c>
      <c r="V97" s="22">
        <f t="shared" ref="V97:V131" si="12">N97</f>
        <v>1.6E-2</v>
      </c>
      <c r="W97" s="31">
        <v>39.398255101037734</v>
      </c>
      <c r="X97" s="22">
        <v>2.4548061334845647E-2</v>
      </c>
      <c r="Y97" s="54">
        <v>1.28586919763393</v>
      </c>
      <c r="Z97" s="56">
        <v>0.93548389280003597</v>
      </c>
    </row>
    <row r="98" spans="2:26" x14ac:dyDescent="0.3">
      <c r="B98" s="5">
        <f t="shared" si="4"/>
        <v>67</v>
      </c>
      <c r="C98" s="5" t="s">
        <v>61</v>
      </c>
      <c r="D98">
        <v>1</v>
      </c>
      <c r="E98">
        <v>2.5000000000000001E-3</v>
      </c>
      <c r="F98">
        <v>1</v>
      </c>
      <c r="G98">
        <v>1</v>
      </c>
      <c r="H98">
        <v>0.5</v>
      </c>
      <c r="I98" s="32">
        <v>614.56559413990499</v>
      </c>
      <c r="J98">
        <v>7.54</v>
      </c>
      <c r="K98" s="30">
        <v>40.024585589455398</v>
      </c>
      <c r="L98" s="36">
        <v>40.024585589455398</v>
      </c>
      <c r="M98" s="5">
        <v>35</v>
      </c>
      <c r="N98">
        <v>1.6E-2</v>
      </c>
      <c r="O98">
        <v>2</v>
      </c>
      <c r="P98">
        <f t="shared" si="8"/>
        <v>35</v>
      </c>
      <c r="Q98">
        <f t="shared" si="11"/>
        <v>1.6E-2</v>
      </c>
      <c r="R98">
        <v>1</v>
      </c>
      <c r="S98" s="43" t="s">
        <v>28</v>
      </c>
      <c r="T98" s="35" t="s">
        <v>28</v>
      </c>
      <c r="U98" s="31">
        <v>23.870013897975401</v>
      </c>
      <c r="V98" s="22">
        <f t="shared" si="12"/>
        <v>1.6E-2</v>
      </c>
      <c r="W98" s="31">
        <v>37.194888948919349</v>
      </c>
      <c r="X98" s="22">
        <v>2.407823200478609E-2</v>
      </c>
      <c r="Y98" s="54">
        <v>1.1150896948231701</v>
      </c>
      <c r="Z98" s="56">
        <v>0.81129027312719104</v>
      </c>
    </row>
    <row r="99" spans="2:26" x14ac:dyDescent="0.3">
      <c r="B99" s="5">
        <f t="shared" si="4"/>
        <v>68</v>
      </c>
      <c r="C99" s="5" t="s">
        <v>61</v>
      </c>
      <c r="D99">
        <v>1</v>
      </c>
      <c r="E99">
        <v>2.5000000000000001E-3</v>
      </c>
      <c r="F99">
        <v>1</v>
      </c>
      <c r="G99">
        <v>1</v>
      </c>
      <c r="H99">
        <v>0.5</v>
      </c>
      <c r="I99" s="32">
        <v>918.06087122050803</v>
      </c>
      <c r="J99">
        <v>7.54</v>
      </c>
      <c r="K99" s="30">
        <v>40.101459083786501</v>
      </c>
      <c r="L99" s="36">
        <v>40.101459083786501</v>
      </c>
      <c r="M99" s="5">
        <v>35</v>
      </c>
      <c r="N99">
        <v>1.6E-2</v>
      </c>
      <c r="O99">
        <v>3</v>
      </c>
      <c r="P99">
        <f t="shared" si="8"/>
        <v>35</v>
      </c>
      <c r="Q99">
        <f t="shared" si="11"/>
        <v>1.6E-2</v>
      </c>
      <c r="R99">
        <v>1.5</v>
      </c>
      <c r="S99" s="43" t="s">
        <v>28</v>
      </c>
      <c r="T99" s="35" t="s">
        <v>28</v>
      </c>
      <c r="U99" s="31">
        <v>25.283563304274399</v>
      </c>
      <c r="V99" s="22">
        <f t="shared" si="12"/>
        <v>1.6E-2</v>
      </c>
      <c r="W99" s="31">
        <v>35.545251207390187</v>
      </c>
      <c r="X99" s="22">
        <v>2.3613083114387361E-2</v>
      </c>
      <c r="Y99" s="54">
        <v>0.97444775133196304</v>
      </c>
      <c r="Z99" s="56">
        <v>0.70806453647276002</v>
      </c>
    </row>
    <row r="100" spans="2:26" x14ac:dyDescent="0.3">
      <c r="B100" s="5">
        <f t="shared" si="4"/>
        <v>69</v>
      </c>
      <c r="C100" s="5" t="s">
        <v>61</v>
      </c>
      <c r="D100">
        <v>1</v>
      </c>
      <c r="E100">
        <v>2.5000000000000001E-3</v>
      </c>
      <c r="F100">
        <v>1</v>
      </c>
      <c r="G100">
        <v>1</v>
      </c>
      <c r="H100">
        <v>0.5</v>
      </c>
      <c r="I100" s="32">
        <v>1220.61961512834</v>
      </c>
      <c r="J100">
        <v>7.54</v>
      </c>
      <c r="K100" s="30">
        <v>40.154413210252002</v>
      </c>
      <c r="L100" s="36">
        <v>40.154413210252002</v>
      </c>
      <c r="M100" s="5">
        <v>35</v>
      </c>
      <c r="N100">
        <v>1.6E-2</v>
      </c>
      <c r="O100">
        <v>4</v>
      </c>
      <c r="P100">
        <f t="shared" si="8"/>
        <v>35</v>
      </c>
      <c r="Q100">
        <f t="shared" si="11"/>
        <v>1.6E-2</v>
      </c>
      <c r="R100">
        <v>2</v>
      </c>
      <c r="S100" s="43" t="s">
        <v>28</v>
      </c>
      <c r="T100" s="35" t="s">
        <v>28</v>
      </c>
      <c r="U100" s="31">
        <v>26.257951729975701</v>
      </c>
      <c r="V100" s="22">
        <f t="shared" si="12"/>
        <v>1.6E-2</v>
      </c>
      <c r="W100" s="31">
        <v>34.29659826185047</v>
      </c>
      <c r="X100" s="22">
        <v>2.3337381646493349E-2</v>
      </c>
      <c r="Y100" s="54">
        <v>0.87398922026681203</v>
      </c>
      <c r="Z100" s="56">
        <v>0.63709677138181298</v>
      </c>
    </row>
    <row r="101" spans="2:26" x14ac:dyDescent="0.3">
      <c r="B101" s="5">
        <f t="shared" si="4"/>
        <v>70</v>
      </c>
      <c r="C101" s="5" t="s">
        <v>61</v>
      </c>
      <c r="D101">
        <v>1</v>
      </c>
      <c r="E101">
        <v>2.5000000000000001E-3</v>
      </c>
      <c r="F101">
        <v>1</v>
      </c>
      <c r="G101">
        <v>1</v>
      </c>
      <c r="H101">
        <v>0.5</v>
      </c>
      <c r="I101" s="32">
        <v>1521.9517012225599</v>
      </c>
      <c r="J101">
        <v>7.54</v>
      </c>
      <c r="K101" s="30">
        <v>40.201375891369601</v>
      </c>
      <c r="L101" s="36">
        <v>40.201375891369601</v>
      </c>
      <c r="M101" s="5">
        <v>35</v>
      </c>
      <c r="N101">
        <v>1.6E-2</v>
      </c>
      <c r="O101">
        <v>5</v>
      </c>
      <c r="P101">
        <f t="shared" si="8"/>
        <v>35</v>
      </c>
      <c r="Q101">
        <f t="shared" si="11"/>
        <v>1.6E-2</v>
      </c>
      <c r="R101">
        <v>2.5</v>
      </c>
      <c r="S101" s="43" t="s">
        <v>28</v>
      </c>
      <c r="T101" s="35" t="s">
        <v>28</v>
      </c>
      <c r="U101" s="31">
        <v>27.122549910527599</v>
      </c>
      <c r="V101" s="22">
        <f t="shared" si="12"/>
        <v>1.6E-2</v>
      </c>
      <c r="W101" s="31">
        <v>33.41900838825719</v>
      </c>
      <c r="X101" s="22">
        <v>2.2998178667632031E-2</v>
      </c>
      <c r="Y101" s="54">
        <v>0.79362239541469204</v>
      </c>
      <c r="Z101" s="56">
        <v>0.57419358378187602</v>
      </c>
    </row>
    <row r="102" spans="2:26" x14ac:dyDescent="0.3">
      <c r="B102" s="5">
        <f t="shared" si="4"/>
        <v>71</v>
      </c>
      <c r="C102" s="5" t="s">
        <v>62</v>
      </c>
      <c r="D102">
        <v>1</v>
      </c>
      <c r="E102">
        <v>2.5000000000000001E-3</v>
      </c>
      <c r="F102">
        <v>1</v>
      </c>
      <c r="G102">
        <v>1</v>
      </c>
      <c r="H102">
        <v>0.5</v>
      </c>
      <c r="I102" s="32">
        <v>307.985096793624</v>
      </c>
      <c r="J102">
        <v>7.54</v>
      </c>
      <c r="K102" s="30">
        <v>39.982017067064902</v>
      </c>
      <c r="L102" s="36">
        <v>39.982017067064902</v>
      </c>
      <c r="M102" s="5">
        <v>35</v>
      </c>
      <c r="N102">
        <v>1.6E-2</v>
      </c>
      <c r="O102">
        <v>1</v>
      </c>
      <c r="P102">
        <f t="shared" si="8"/>
        <v>35</v>
      </c>
      <c r="Q102">
        <f t="shared" si="11"/>
        <v>1.6E-2</v>
      </c>
      <c r="R102">
        <v>0.5</v>
      </c>
      <c r="S102" s="43" t="s">
        <v>28</v>
      </c>
      <c r="T102" s="35" t="s">
        <v>28</v>
      </c>
      <c r="U102" s="31">
        <v>23.087758401285601</v>
      </c>
      <c r="V102" s="22">
        <f t="shared" si="12"/>
        <v>1.6E-2</v>
      </c>
      <c r="W102" s="31">
        <v>38.048174716200762</v>
      </c>
      <c r="X102" s="22">
        <v>2.4359518136119182E-2</v>
      </c>
      <c r="Y102" s="54">
        <v>1.19545651967529</v>
      </c>
      <c r="Z102" s="56">
        <v>0.867741946400018</v>
      </c>
    </row>
    <row r="103" spans="2:26" x14ac:dyDescent="0.3">
      <c r="B103" s="5">
        <f t="shared" si="4"/>
        <v>72</v>
      </c>
      <c r="C103" s="5" t="s">
        <v>62</v>
      </c>
      <c r="D103">
        <v>1</v>
      </c>
      <c r="E103">
        <v>2.5000000000000001E-3</v>
      </c>
      <c r="F103">
        <v>1</v>
      </c>
      <c r="G103">
        <v>1</v>
      </c>
      <c r="H103">
        <v>0.5</v>
      </c>
      <c r="I103" s="32">
        <v>613.77931963675201</v>
      </c>
      <c r="J103">
        <v>7.54</v>
      </c>
      <c r="K103" s="30">
        <v>40.0484753081683</v>
      </c>
      <c r="L103" s="36">
        <v>40.0484753081683</v>
      </c>
      <c r="M103" s="5">
        <v>35</v>
      </c>
      <c r="N103">
        <v>1.6E-2</v>
      </c>
      <c r="O103">
        <v>2</v>
      </c>
      <c r="P103">
        <f t="shared" si="8"/>
        <v>35</v>
      </c>
      <c r="Q103">
        <f t="shared" si="11"/>
        <v>1.6E-2</v>
      </c>
      <c r="R103">
        <v>1</v>
      </c>
      <c r="S103" s="43" t="s">
        <v>28</v>
      </c>
      <c r="T103" s="35" t="s">
        <v>28</v>
      </c>
      <c r="U103" s="31">
        <v>24.309174878573099</v>
      </c>
      <c r="V103" s="22">
        <f t="shared" si="12"/>
        <v>1.6E-2</v>
      </c>
      <c r="W103" s="31">
        <v>36.328718089423333</v>
      </c>
      <c r="X103" s="22">
        <v>2.4078297870222976E-2</v>
      </c>
      <c r="Y103" s="54">
        <v>1.0749062823971101</v>
      </c>
      <c r="Z103" s="56">
        <v>0.77903220927264705</v>
      </c>
    </row>
    <row r="104" spans="2:26" x14ac:dyDescent="0.3">
      <c r="B104" s="5">
        <f t="shared" si="4"/>
        <v>73</v>
      </c>
      <c r="C104" s="5" t="s">
        <v>62</v>
      </c>
      <c r="D104">
        <v>1</v>
      </c>
      <c r="E104">
        <v>2.5000000000000001E-3</v>
      </c>
      <c r="F104">
        <v>1</v>
      </c>
      <c r="G104">
        <v>1</v>
      </c>
      <c r="H104">
        <v>0.5</v>
      </c>
      <c r="I104" s="32">
        <v>917.54800902954696</v>
      </c>
      <c r="J104">
        <v>7.54</v>
      </c>
      <c r="K104" s="30">
        <v>40.1119030875969</v>
      </c>
      <c r="L104" s="36">
        <v>40.1119030875969</v>
      </c>
      <c r="M104" s="5">
        <v>35</v>
      </c>
      <c r="N104">
        <v>1.6E-2</v>
      </c>
      <c r="O104">
        <v>3</v>
      </c>
      <c r="P104">
        <f t="shared" si="8"/>
        <v>35</v>
      </c>
      <c r="Q104">
        <f t="shared" si="11"/>
        <v>1.6E-2</v>
      </c>
      <c r="R104">
        <v>1.5</v>
      </c>
      <c r="S104" s="43" t="s">
        <v>28</v>
      </c>
      <c r="T104" s="35" t="s">
        <v>28</v>
      </c>
      <c r="U104" s="31">
        <v>25.475696233286001</v>
      </c>
      <c r="V104" s="22">
        <f t="shared" si="12"/>
        <v>1.6E-2</v>
      </c>
      <c r="W104" s="31">
        <v>35.041192377717294</v>
      </c>
      <c r="X104" s="22">
        <v>2.3664108859707399E-2</v>
      </c>
      <c r="Y104" s="54">
        <v>0.95435604511893302</v>
      </c>
      <c r="Z104" s="56">
        <v>0.69354841389095301</v>
      </c>
    </row>
    <row r="105" spans="2:26" x14ac:dyDescent="0.3">
      <c r="B105" s="5">
        <f t="shared" si="4"/>
        <v>74</v>
      </c>
      <c r="C105" s="5" t="s">
        <v>62</v>
      </c>
      <c r="D105">
        <v>1</v>
      </c>
      <c r="E105">
        <v>2.5000000000000001E-3</v>
      </c>
      <c r="F105">
        <v>1</v>
      </c>
      <c r="G105">
        <v>1</v>
      </c>
      <c r="H105">
        <v>0.5</v>
      </c>
      <c r="I105" s="32">
        <v>1219.98752846306</v>
      </c>
      <c r="J105">
        <v>7.54</v>
      </c>
      <c r="K105" s="30">
        <v>40.164105829080299</v>
      </c>
      <c r="L105" s="36">
        <v>40.164105829080299</v>
      </c>
      <c r="M105" s="5">
        <v>35</v>
      </c>
      <c r="N105">
        <v>1.6E-2</v>
      </c>
      <c r="O105">
        <v>4</v>
      </c>
      <c r="P105">
        <f t="shared" si="8"/>
        <v>35</v>
      </c>
      <c r="Q105">
        <f t="shared" si="11"/>
        <v>1.6E-2</v>
      </c>
      <c r="R105">
        <v>2</v>
      </c>
      <c r="S105" s="43" t="s">
        <v>28</v>
      </c>
      <c r="T105" s="35" t="s">
        <v>28</v>
      </c>
      <c r="U105" s="31">
        <v>26.436360878343599</v>
      </c>
      <c r="V105" s="22">
        <f t="shared" si="12"/>
        <v>1.6E-2</v>
      </c>
      <c r="W105" s="31">
        <v>34.088994561801627</v>
      </c>
      <c r="X105" s="22">
        <v>2.3278256838557481E-2</v>
      </c>
      <c r="Y105" s="54">
        <v>0.86394336716029696</v>
      </c>
      <c r="Z105" s="56">
        <v>0.62419355814546995</v>
      </c>
    </row>
    <row r="106" spans="2:26" x14ac:dyDescent="0.3">
      <c r="B106" s="5">
        <f t="shared" si="4"/>
        <v>75</v>
      </c>
      <c r="C106" s="5" t="s">
        <v>62</v>
      </c>
      <c r="D106">
        <v>1</v>
      </c>
      <c r="E106">
        <v>2.5000000000000001E-3</v>
      </c>
      <c r="F106">
        <v>1</v>
      </c>
      <c r="G106">
        <v>1</v>
      </c>
      <c r="H106">
        <v>0.5</v>
      </c>
      <c r="I106" s="32">
        <v>1521.9517012225599</v>
      </c>
      <c r="J106">
        <v>7.54</v>
      </c>
      <c r="K106" s="30">
        <v>40.201375891369601</v>
      </c>
      <c r="L106" s="36">
        <v>40.201375891369601</v>
      </c>
      <c r="M106" s="5">
        <v>35</v>
      </c>
      <c r="N106">
        <v>1.6E-2</v>
      </c>
      <c r="O106">
        <v>5</v>
      </c>
      <c r="P106">
        <f t="shared" si="8"/>
        <v>35</v>
      </c>
      <c r="Q106">
        <f t="shared" si="11"/>
        <v>1.6E-2</v>
      </c>
      <c r="R106">
        <v>2.5</v>
      </c>
      <c r="S106" s="43" t="s">
        <v>28</v>
      </c>
      <c r="T106" s="35" t="s">
        <v>28</v>
      </c>
      <c r="U106" s="31">
        <v>27.122549910527599</v>
      </c>
      <c r="V106" s="22">
        <f t="shared" si="12"/>
        <v>1.6E-2</v>
      </c>
      <c r="W106" s="31">
        <v>33.41900838825719</v>
      </c>
      <c r="X106" s="22">
        <v>2.2998178667632031E-2</v>
      </c>
      <c r="Y106" s="54">
        <v>0.79362239541469204</v>
      </c>
      <c r="Z106" s="56">
        <v>0.57419358378187602</v>
      </c>
    </row>
    <row r="107" spans="2:26" x14ac:dyDescent="0.3">
      <c r="B107" s="5">
        <f t="shared" si="4"/>
        <v>76</v>
      </c>
      <c r="C107" s="5" t="s">
        <v>57</v>
      </c>
      <c r="D107">
        <v>1</v>
      </c>
      <c r="E107">
        <v>2.5000000000000001E-3</v>
      </c>
      <c r="F107">
        <v>1</v>
      </c>
      <c r="G107">
        <v>1</v>
      </c>
      <c r="H107">
        <v>0.2</v>
      </c>
      <c r="I107" s="32">
        <v>910.98364356192894</v>
      </c>
      <c r="J107">
        <v>7.54</v>
      </c>
      <c r="K107" s="30">
        <v>40.246318407599198</v>
      </c>
      <c r="L107" s="36">
        <v>40.246318407599198</v>
      </c>
      <c r="M107" s="5">
        <v>35</v>
      </c>
      <c r="N107">
        <v>1.6E-2</v>
      </c>
      <c r="O107">
        <v>3</v>
      </c>
      <c r="P107">
        <f>M107</f>
        <v>35</v>
      </c>
      <c r="Q107">
        <f t="shared" si="11"/>
        <v>1.6E-2</v>
      </c>
      <c r="R107">
        <v>0.60000000000000009</v>
      </c>
      <c r="S107" s="43" t="s">
        <v>28</v>
      </c>
      <c r="T107" s="35" t="s">
        <v>28</v>
      </c>
      <c r="U107" s="31">
        <v>27.950357572062799</v>
      </c>
      <c r="V107" s="22">
        <f t="shared" si="12"/>
        <v>1.6E-2</v>
      </c>
      <c r="W107" s="31">
        <v>32.581814015364237</v>
      </c>
      <c r="X107" s="22">
        <v>3.1214277142834923E-2</v>
      </c>
      <c r="Y107" s="54">
        <v>0.70320971745605598</v>
      </c>
      <c r="Z107" s="56">
        <v>0.51368078645402004</v>
      </c>
    </row>
    <row r="108" spans="2:26" x14ac:dyDescent="0.3">
      <c r="B108" s="5">
        <f t="shared" si="4"/>
        <v>77</v>
      </c>
      <c r="C108" s="5" t="s">
        <v>57</v>
      </c>
      <c r="D108">
        <v>1</v>
      </c>
      <c r="E108">
        <v>2.5000000000000001E-3</v>
      </c>
      <c r="F108">
        <v>1</v>
      </c>
      <c r="G108">
        <v>1</v>
      </c>
      <c r="H108">
        <v>0.35</v>
      </c>
      <c r="I108" s="32">
        <v>913.58327150610398</v>
      </c>
      <c r="J108">
        <v>7.54</v>
      </c>
      <c r="K108" s="30">
        <v>40.1929228093178</v>
      </c>
      <c r="L108" s="36">
        <v>40.1929228093178</v>
      </c>
      <c r="M108" s="5">
        <v>35</v>
      </c>
      <c r="N108">
        <v>1.6E-2</v>
      </c>
      <c r="O108">
        <v>3</v>
      </c>
      <c r="P108">
        <f t="shared" ref="P108:P111" si="13">M108</f>
        <v>35</v>
      </c>
      <c r="Q108">
        <f t="shared" si="11"/>
        <v>1.6E-2</v>
      </c>
      <c r="R108">
        <v>1.0499999999999998</v>
      </c>
      <c r="S108" s="43" t="s">
        <v>28</v>
      </c>
      <c r="T108" s="35" t="s">
        <v>28</v>
      </c>
      <c r="U108" s="31">
        <v>26.966894296410899</v>
      </c>
      <c r="V108" s="22">
        <f t="shared" si="12"/>
        <v>1.6E-2</v>
      </c>
      <c r="W108" s="31">
        <v>37.126705433753045</v>
      </c>
      <c r="X108" s="22">
        <v>2.438459080410196E-2</v>
      </c>
      <c r="Y108" s="54">
        <v>0.803668248521207</v>
      </c>
      <c r="Z108" s="56">
        <v>0.58534203581479405</v>
      </c>
    </row>
    <row r="109" spans="2:26" x14ac:dyDescent="0.3">
      <c r="B109" s="5">
        <f t="shared" si="4"/>
        <v>78</v>
      </c>
      <c r="C109" s="5" t="s">
        <v>57</v>
      </c>
      <c r="D109">
        <v>1</v>
      </c>
      <c r="E109">
        <v>2.5000000000000001E-3</v>
      </c>
      <c r="F109">
        <v>1</v>
      </c>
      <c r="G109">
        <v>1</v>
      </c>
      <c r="H109">
        <v>0.5</v>
      </c>
      <c r="I109" s="32">
        <v>913.96240001891204</v>
      </c>
      <c r="J109">
        <v>7.54</v>
      </c>
      <c r="K109" s="30">
        <v>40.185153677653197</v>
      </c>
      <c r="L109" s="36">
        <v>40.185153677653197</v>
      </c>
      <c r="M109" s="5">
        <v>35</v>
      </c>
      <c r="N109">
        <v>1.6E-2</v>
      </c>
      <c r="O109">
        <v>3</v>
      </c>
      <c r="P109">
        <f t="shared" si="13"/>
        <v>35</v>
      </c>
      <c r="Q109">
        <f t="shared" si="11"/>
        <v>1.6E-2</v>
      </c>
      <c r="R109">
        <v>1.5</v>
      </c>
      <c r="S109" s="43" t="s">
        <v>28</v>
      </c>
      <c r="T109" s="35" t="s">
        <v>28</v>
      </c>
      <c r="U109" s="31">
        <v>26.823845237403201</v>
      </c>
      <c r="V109" s="22">
        <f t="shared" si="12"/>
        <v>1.6E-2</v>
      </c>
      <c r="W109" s="31">
        <v>34.604949588091984</v>
      </c>
      <c r="X109" s="22">
        <v>2.2754907814530129E-2</v>
      </c>
      <c r="Y109" s="54">
        <v>0.82375995473423702</v>
      </c>
      <c r="Z109" s="56">
        <v>0.59576548032668897</v>
      </c>
    </row>
    <row r="110" spans="2:26" x14ac:dyDescent="0.3">
      <c r="B110" s="5">
        <f t="shared" si="4"/>
        <v>79</v>
      </c>
      <c r="C110" s="5" t="s">
        <v>57</v>
      </c>
      <c r="D110">
        <v>1</v>
      </c>
      <c r="E110">
        <v>2.5000000000000001E-3</v>
      </c>
      <c r="F110">
        <v>1</v>
      </c>
      <c r="G110">
        <v>1</v>
      </c>
      <c r="H110">
        <v>0.65</v>
      </c>
      <c r="I110" s="32">
        <v>914.19948503647504</v>
      </c>
      <c r="J110">
        <v>7.54</v>
      </c>
      <c r="K110" s="30">
        <v>40.180297641946403</v>
      </c>
      <c r="L110" s="36">
        <v>40.180297641946403</v>
      </c>
      <c r="M110" s="5">
        <v>35</v>
      </c>
      <c r="N110">
        <v>1.6E-2</v>
      </c>
      <c r="O110">
        <v>3</v>
      </c>
      <c r="P110">
        <f t="shared" si="13"/>
        <v>35</v>
      </c>
      <c r="Q110">
        <f t="shared" si="11"/>
        <v>1.6E-2</v>
      </c>
      <c r="R110">
        <v>1.9500000000000002</v>
      </c>
      <c r="S110" s="43" t="s">
        <v>28</v>
      </c>
      <c r="T110" s="35" t="s">
        <v>28</v>
      </c>
      <c r="U110" s="31">
        <v>26.734439486318799</v>
      </c>
      <c r="V110" s="22">
        <f t="shared" si="12"/>
        <v>1.6E-2</v>
      </c>
      <c r="W110" s="31">
        <v>35.306774743418444</v>
      </c>
      <c r="X110" s="22">
        <v>2.1002764641054102E-2</v>
      </c>
      <c r="Y110" s="54">
        <v>0.83380580784075198</v>
      </c>
      <c r="Z110" s="56">
        <v>0.60228013935948699</v>
      </c>
    </row>
    <row r="111" spans="2:26" x14ac:dyDescent="0.3">
      <c r="B111" s="5">
        <f t="shared" si="4"/>
        <v>80</v>
      </c>
      <c r="C111" s="5" t="s">
        <v>57</v>
      </c>
      <c r="D111">
        <v>1</v>
      </c>
      <c r="E111">
        <v>2.5000000000000001E-3</v>
      </c>
      <c r="F111">
        <v>1</v>
      </c>
      <c r="G111">
        <v>1</v>
      </c>
      <c r="H111">
        <v>0.8</v>
      </c>
      <c r="I111" s="32">
        <v>914.05722244958099</v>
      </c>
      <c r="J111">
        <v>7.54</v>
      </c>
      <c r="K111" s="30">
        <v>40.183211285489797</v>
      </c>
      <c r="L111" s="36">
        <v>40.183211285489797</v>
      </c>
      <c r="M111" s="5">
        <v>35</v>
      </c>
      <c r="N111">
        <v>1.6E-2</v>
      </c>
      <c r="O111">
        <v>3</v>
      </c>
      <c r="P111">
        <f t="shared" si="13"/>
        <v>35</v>
      </c>
      <c r="Q111">
        <f t="shared" si="11"/>
        <v>1.6E-2</v>
      </c>
      <c r="R111">
        <v>2.4000000000000004</v>
      </c>
      <c r="S111" s="43" t="s">
        <v>28</v>
      </c>
      <c r="T111" s="35" t="s">
        <v>28</v>
      </c>
      <c r="U111" s="31">
        <v>26.788082794242101</v>
      </c>
      <c r="V111" s="22">
        <f t="shared" si="12"/>
        <v>1.6E-2</v>
      </c>
      <c r="W111" s="31">
        <v>36.784276409072305</v>
      </c>
      <c r="X111" s="22">
        <v>1.9415303773001831E-2</v>
      </c>
      <c r="Y111" s="54">
        <v>0.82375995473423702</v>
      </c>
      <c r="Z111" s="56">
        <v>0.59837135388038898</v>
      </c>
    </row>
    <row r="112" spans="2:26" x14ac:dyDescent="0.3">
      <c r="B112" s="5">
        <f t="shared" ref="B112:B131" si="14">B111+1</f>
        <v>81</v>
      </c>
      <c r="C112" s="5" t="s">
        <v>59</v>
      </c>
      <c r="D112">
        <v>1</v>
      </c>
      <c r="E112">
        <v>2.5000000000000001E-3</v>
      </c>
      <c r="F112">
        <v>1</v>
      </c>
      <c r="G112">
        <v>1</v>
      </c>
      <c r="H112">
        <v>0.2</v>
      </c>
      <c r="I112" s="32">
        <v>911.92757458768801</v>
      </c>
      <c r="J112">
        <v>7.54</v>
      </c>
      <c r="K112" s="30">
        <v>40.226905306293602</v>
      </c>
      <c r="L112" s="36">
        <v>40.226905306293602</v>
      </c>
      <c r="M112" s="5">
        <v>35</v>
      </c>
      <c r="N112">
        <v>1.6E-2</v>
      </c>
      <c r="O112">
        <v>3</v>
      </c>
      <c r="P112" s="31">
        <f>U112</f>
        <v>27.592734554001499</v>
      </c>
      <c r="Q112">
        <f t="shared" si="11"/>
        <v>1.6E-2</v>
      </c>
      <c r="R112">
        <v>0.60000000000000009</v>
      </c>
      <c r="S112" s="43" t="s">
        <v>28</v>
      </c>
      <c r="T112" s="35" t="s">
        <v>28</v>
      </c>
      <c r="U112" s="31">
        <v>27.592734554001499</v>
      </c>
      <c r="V112" s="22">
        <f t="shared" si="12"/>
        <v>1.6E-2</v>
      </c>
      <c r="W112" s="31">
        <v>28.857210424450717</v>
      </c>
      <c r="X112" s="22">
        <v>3.0487387561145711E-2</v>
      </c>
      <c r="Y112" s="54">
        <v>0.74339312988211603</v>
      </c>
      <c r="Z112" s="56">
        <v>0.53973942258521002</v>
      </c>
    </row>
    <row r="113" spans="2:26" x14ac:dyDescent="0.3">
      <c r="B113" s="5">
        <f t="shared" si="14"/>
        <v>82</v>
      </c>
      <c r="C113" s="5" t="s">
        <v>59</v>
      </c>
      <c r="D113">
        <v>1</v>
      </c>
      <c r="E113">
        <v>2.5000000000000001E-3</v>
      </c>
      <c r="F113">
        <v>1</v>
      </c>
      <c r="G113">
        <v>1</v>
      </c>
      <c r="H113">
        <v>0.35</v>
      </c>
      <c r="I113" s="32">
        <v>914.91133824499798</v>
      </c>
      <c r="J113">
        <v>7.54</v>
      </c>
      <c r="K113" s="30">
        <v>40.1657280409569</v>
      </c>
      <c r="L113" s="36">
        <v>40.1657280409569</v>
      </c>
      <c r="M113" s="5">
        <v>35</v>
      </c>
      <c r="N113">
        <v>1.6E-2</v>
      </c>
      <c r="O113">
        <v>3</v>
      </c>
      <c r="P113" s="31">
        <f t="shared" ref="P113:P121" si="15">U113</f>
        <v>26.4662222330657</v>
      </c>
      <c r="Q113">
        <f t="shared" si="11"/>
        <v>1.6E-2</v>
      </c>
      <c r="R113">
        <v>1.0499999999999998</v>
      </c>
      <c r="S113" s="43" t="s">
        <v>28</v>
      </c>
      <c r="T113" s="35" t="s">
        <v>28</v>
      </c>
      <c r="U113" s="31">
        <v>26.4662222330657</v>
      </c>
      <c r="V113" s="22">
        <f t="shared" si="12"/>
        <v>1.6E-2</v>
      </c>
      <c r="W113" s="31">
        <v>27.12498145649587</v>
      </c>
      <c r="X113" s="22">
        <v>2.5619739046563027E-2</v>
      </c>
      <c r="Y113" s="54">
        <v>0.853897514053782</v>
      </c>
      <c r="Z113" s="56">
        <v>0.62182411645788005</v>
      </c>
    </row>
    <row r="114" spans="2:26" x14ac:dyDescent="0.3">
      <c r="B114" s="5">
        <f t="shared" si="14"/>
        <v>83</v>
      </c>
      <c r="C114" s="5" t="s">
        <v>59</v>
      </c>
      <c r="D114">
        <v>1</v>
      </c>
      <c r="E114">
        <v>2.5000000000000001E-3</v>
      </c>
      <c r="F114">
        <v>1</v>
      </c>
      <c r="G114">
        <v>1</v>
      </c>
      <c r="H114">
        <v>0.5</v>
      </c>
      <c r="I114" s="32">
        <v>916.19494044231203</v>
      </c>
      <c r="J114">
        <v>7.54</v>
      </c>
      <c r="K114" s="30">
        <v>40.139497083025198</v>
      </c>
      <c r="L114" s="36">
        <v>40.139497083025198</v>
      </c>
      <c r="M114" s="5">
        <v>35</v>
      </c>
      <c r="N114">
        <v>1.6E-2</v>
      </c>
      <c r="O114">
        <v>3</v>
      </c>
      <c r="P114" s="31">
        <f t="shared" si="15"/>
        <v>25.9834306913882</v>
      </c>
      <c r="Q114">
        <f t="shared" si="11"/>
        <v>1.6E-2</v>
      </c>
      <c r="R114">
        <v>1.5</v>
      </c>
      <c r="S114" s="43" t="s">
        <v>28</v>
      </c>
      <c r="T114" s="35" t="s">
        <v>28</v>
      </c>
      <c r="U114" s="31">
        <v>25.9834306913882</v>
      </c>
      <c r="V114" s="22">
        <f t="shared" si="12"/>
        <v>1.6E-2</v>
      </c>
      <c r="W114" s="31">
        <v>27.14524223268992</v>
      </c>
      <c r="X114" s="22">
        <v>2.2841135183828711E-2</v>
      </c>
      <c r="Y114" s="54">
        <v>0.90412677958635801</v>
      </c>
      <c r="Z114" s="56">
        <v>0.65700331002701995</v>
      </c>
    </row>
    <row r="115" spans="2:26" x14ac:dyDescent="0.3">
      <c r="B115" s="5">
        <f t="shared" si="14"/>
        <v>84</v>
      </c>
      <c r="C115" s="5" t="s">
        <v>59</v>
      </c>
      <c r="D115">
        <v>1</v>
      </c>
      <c r="E115">
        <v>2.5000000000000001E-3</v>
      </c>
      <c r="F115">
        <v>1</v>
      </c>
      <c r="G115">
        <v>1</v>
      </c>
      <c r="H115">
        <v>0.65</v>
      </c>
      <c r="I115" s="32">
        <v>916.76636596377705</v>
      </c>
      <c r="J115">
        <v>7.54</v>
      </c>
      <c r="K115" s="30">
        <v>40.1278365690874</v>
      </c>
      <c r="L115" s="36">
        <v>40.1278365690874</v>
      </c>
      <c r="M115" s="5">
        <v>35</v>
      </c>
      <c r="N115">
        <v>1.6E-2</v>
      </c>
      <c r="O115">
        <v>3</v>
      </c>
      <c r="P115" s="31">
        <f t="shared" si="15"/>
        <v>25.768857089152899</v>
      </c>
      <c r="Q115">
        <f t="shared" si="11"/>
        <v>1.6E-2</v>
      </c>
      <c r="R115">
        <v>1.9500000000000002</v>
      </c>
      <c r="S115" s="43" t="s">
        <v>28</v>
      </c>
      <c r="T115" s="35" t="s">
        <v>28</v>
      </c>
      <c r="U115" s="31">
        <v>25.768857089152899</v>
      </c>
      <c r="V115" s="22">
        <f t="shared" si="12"/>
        <v>1.6E-2</v>
      </c>
      <c r="W115" s="31">
        <v>25.519563248040857</v>
      </c>
      <c r="X115" s="22">
        <v>2.1866546743948813E-2</v>
      </c>
      <c r="Y115" s="54">
        <v>0.92421848579938803</v>
      </c>
      <c r="Z115" s="56">
        <v>0.67263847679486299</v>
      </c>
    </row>
    <row r="116" spans="2:26" x14ac:dyDescent="0.3">
      <c r="B116" s="5">
        <f t="shared" si="14"/>
        <v>85</v>
      </c>
      <c r="C116" s="5" t="s">
        <v>59</v>
      </c>
      <c r="D116">
        <v>1</v>
      </c>
      <c r="E116">
        <v>2.5000000000000001E-3</v>
      </c>
      <c r="F116">
        <v>1</v>
      </c>
      <c r="G116">
        <v>1</v>
      </c>
      <c r="H116">
        <v>0.8</v>
      </c>
      <c r="I116" s="32">
        <v>917.38606322697501</v>
      </c>
      <c r="J116">
        <v>7.54</v>
      </c>
      <c r="K116" s="30">
        <v>40.115202701879298</v>
      </c>
      <c r="L116" s="36">
        <v>40.115202701879298</v>
      </c>
      <c r="M116" s="5">
        <v>35</v>
      </c>
      <c r="N116">
        <v>1.6E-2</v>
      </c>
      <c r="O116">
        <v>3</v>
      </c>
      <c r="P116" s="31">
        <f t="shared" si="15"/>
        <v>25.5364019359663</v>
      </c>
      <c r="Q116">
        <f t="shared" si="11"/>
        <v>1.6E-2</v>
      </c>
      <c r="R116">
        <v>2.4000000000000004</v>
      </c>
      <c r="S116" s="43" t="s">
        <v>28</v>
      </c>
      <c r="T116" s="35" t="s">
        <v>28</v>
      </c>
      <c r="U116" s="31">
        <v>25.5364019359663</v>
      </c>
      <c r="V116" s="22">
        <f t="shared" si="12"/>
        <v>1.6E-2</v>
      </c>
      <c r="W116" s="31">
        <v>25.086891006888354</v>
      </c>
      <c r="X116" s="22">
        <v>2.098632568872388E-2</v>
      </c>
      <c r="Y116" s="54">
        <v>0.95435604511893302</v>
      </c>
      <c r="Z116" s="56">
        <v>0.68957660519100805</v>
      </c>
    </row>
    <row r="117" spans="2:26" x14ac:dyDescent="0.3">
      <c r="B117" s="5">
        <f t="shared" si="14"/>
        <v>86</v>
      </c>
      <c r="C117" s="5" t="s">
        <v>60</v>
      </c>
      <c r="D117">
        <v>1</v>
      </c>
      <c r="E117">
        <v>2.5000000000000001E-3</v>
      </c>
      <c r="F117">
        <v>1</v>
      </c>
      <c r="G117">
        <v>1</v>
      </c>
      <c r="H117">
        <v>0.2</v>
      </c>
      <c r="I117" s="32">
        <v>906.66188060602803</v>
      </c>
      <c r="J117">
        <v>7.54</v>
      </c>
      <c r="K117" s="30">
        <v>40.335567529829603</v>
      </c>
      <c r="L117" s="36">
        <v>40.335567529829603</v>
      </c>
      <c r="M117" s="5">
        <v>35</v>
      </c>
      <c r="N117">
        <v>1.6E-2</v>
      </c>
      <c r="O117">
        <v>3</v>
      </c>
      <c r="P117" s="31">
        <f t="shared" si="15"/>
        <v>29.595423534742601</v>
      </c>
      <c r="Q117">
        <f t="shared" si="11"/>
        <v>1.6E-2</v>
      </c>
      <c r="R117">
        <v>0.60000000000000009</v>
      </c>
      <c r="S117" s="43" t="s">
        <v>28</v>
      </c>
      <c r="T117" s="35" t="s">
        <v>28</v>
      </c>
      <c r="U117" s="31">
        <v>29.595423534742601</v>
      </c>
      <c r="V117" s="22">
        <f t="shared" si="12"/>
        <v>1.6E-2</v>
      </c>
      <c r="W117" s="31">
        <v>28.42664285672884</v>
      </c>
      <c r="X117" s="22">
        <v>2.7420961292462014E-2</v>
      </c>
      <c r="Y117" s="54">
        <v>0.54247606775181501</v>
      </c>
      <c r="Z117" s="56">
        <v>0.393811050309962</v>
      </c>
    </row>
    <row r="118" spans="2:26" x14ac:dyDescent="0.3">
      <c r="B118" s="5">
        <f t="shared" si="14"/>
        <v>87</v>
      </c>
      <c r="C118" s="5" t="s">
        <v>60</v>
      </c>
      <c r="D118">
        <v>1</v>
      </c>
      <c r="E118">
        <v>2.5000000000000001E-3</v>
      </c>
      <c r="F118">
        <v>1</v>
      </c>
      <c r="G118">
        <v>1</v>
      </c>
      <c r="H118">
        <v>0.35</v>
      </c>
      <c r="I118" s="32">
        <v>913.58327150610398</v>
      </c>
      <c r="J118">
        <v>7.54</v>
      </c>
      <c r="K118" s="30">
        <v>40.1929228093178</v>
      </c>
      <c r="L118" s="36">
        <v>40.1929228093178</v>
      </c>
      <c r="M118" s="5">
        <v>35</v>
      </c>
      <c r="N118">
        <v>1.6E-2</v>
      </c>
      <c r="O118">
        <v>3</v>
      </c>
      <c r="P118" s="31">
        <f t="shared" si="15"/>
        <v>26.966894296410899</v>
      </c>
      <c r="Q118">
        <f t="shared" si="11"/>
        <v>1.6E-2</v>
      </c>
      <c r="R118">
        <v>1.0499999999999998</v>
      </c>
      <c r="S118" s="43" t="s">
        <v>28</v>
      </c>
      <c r="T118" s="35" t="s">
        <v>28</v>
      </c>
      <c r="U118" s="31">
        <v>26.966894296410899</v>
      </c>
      <c r="V118" s="22">
        <f t="shared" si="12"/>
        <v>1.6E-2</v>
      </c>
      <c r="W118" s="31">
        <v>27.783379947320888</v>
      </c>
      <c r="X118" s="22">
        <v>2.4971509601615038E-2</v>
      </c>
      <c r="Y118" s="54">
        <v>0.803668248521207</v>
      </c>
      <c r="Z118" s="56">
        <v>0.58534203581479405</v>
      </c>
    </row>
    <row r="119" spans="2:26" x14ac:dyDescent="0.3">
      <c r="B119" s="5">
        <f t="shared" si="14"/>
        <v>88</v>
      </c>
      <c r="C119" s="5" t="s">
        <v>60</v>
      </c>
      <c r="D119">
        <v>1</v>
      </c>
      <c r="E119">
        <v>2.5000000000000001E-3</v>
      </c>
      <c r="F119">
        <v>1</v>
      </c>
      <c r="G119">
        <v>1</v>
      </c>
      <c r="H119">
        <v>0.5</v>
      </c>
      <c r="I119" s="32">
        <v>917.14763804316999</v>
      </c>
      <c r="J119">
        <v>7.54</v>
      </c>
      <c r="K119" s="30">
        <v>40.120062076949303</v>
      </c>
      <c r="L119" s="36">
        <v>40.120062076949303</v>
      </c>
      <c r="M119" s="5">
        <v>35</v>
      </c>
      <c r="N119">
        <v>1.6E-2</v>
      </c>
      <c r="O119">
        <v>3</v>
      </c>
      <c r="P119" s="31">
        <f t="shared" si="15"/>
        <v>25.625807687050699</v>
      </c>
      <c r="Q119">
        <f t="shared" si="11"/>
        <v>1.6E-2</v>
      </c>
      <c r="R119">
        <v>1.5</v>
      </c>
      <c r="S119" s="43" t="s">
        <v>28</v>
      </c>
      <c r="T119" s="35" t="s">
        <v>28</v>
      </c>
      <c r="U119" s="31">
        <v>25.625807687050699</v>
      </c>
      <c r="V119" s="22">
        <f t="shared" si="12"/>
        <v>1.6E-2</v>
      </c>
      <c r="W119" s="31">
        <v>26.196369664844767</v>
      </c>
      <c r="X119" s="22">
        <v>2.3375899201663636E-2</v>
      </c>
      <c r="Y119" s="54">
        <v>0.94431019201241795</v>
      </c>
      <c r="Z119" s="56">
        <v>0.68306194615821003</v>
      </c>
    </row>
    <row r="120" spans="2:26" x14ac:dyDescent="0.3">
      <c r="B120" s="5">
        <f t="shared" si="14"/>
        <v>89</v>
      </c>
      <c r="C120" s="5" t="s">
        <v>60</v>
      </c>
      <c r="D120">
        <v>1</v>
      </c>
      <c r="E120">
        <v>2.5000000000000001E-3</v>
      </c>
      <c r="F120">
        <v>1</v>
      </c>
      <c r="G120">
        <v>1</v>
      </c>
      <c r="H120">
        <v>0.65</v>
      </c>
      <c r="I120" s="32">
        <v>919.48854174588701</v>
      </c>
      <c r="J120">
        <v>7.54</v>
      </c>
      <c r="K120" s="30">
        <v>40.072429441201997</v>
      </c>
      <c r="L120" s="36">
        <v>40.072429441201997</v>
      </c>
      <c r="M120" s="5">
        <v>35</v>
      </c>
      <c r="N120">
        <v>1.6E-2</v>
      </c>
      <c r="O120">
        <v>3</v>
      </c>
      <c r="P120" s="31">
        <f t="shared" si="15"/>
        <v>24.749631384063701</v>
      </c>
      <c r="Q120">
        <f t="shared" si="11"/>
        <v>1.6E-2</v>
      </c>
      <c r="R120">
        <v>1.9500000000000002</v>
      </c>
      <c r="S120" s="43" t="s">
        <v>28</v>
      </c>
      <c r="T120" s="35" t="s">
        <v>28</v>
      </c>
      <c r="U120" s="31">
        <v>24.749631384063701</v>
      </c>
      <c r="V120" s="22">
        <f t="shared" si="12"/>
        <v>1.6E-2</v>
      </c>
      <c r="W120" s="31">
        <v>26.147445802403094</v>
      </c>
      <c r="X120" s="22">
        <v>2.1831831846432392E-2</v>
      </c>
      <c r="Y120" s="54">
        <v>1.03472286997105</v>
      </c>
      <c r="Z120" s="56">
        <v>0.74690559970933701</v>
      </c>
    </row>
    <row r="121" spans="2:26" x14ac:dyDescent="0.3">
      <c r="B121" s="5">
        <f t="shared" si="14"/>
        <v>90</v>
      </c>
      <c r="C121" s="5" t="s">
        <v>60</v>
      </c>
      <c r="D121">
        <v>1</v>
      </c>
      <c r="E121">
        <v>2.5000000000000001E-3</v>
      </c>
      <c r="F121">
        <v>1</v>
      </c>
      <c r="G121">
        <v>1</v>
      </c>
      <c r="H121">
        <v>0.8</v>
      </c>
      <c r="I121" s="32">
        <v>921.74300639126204</v>
      </c>
      <c r="J121">
        <v>7.54</v>
      </c>
      <c r="K121" s="30">
        <v>40.026718455108899</v>
      </c>
      <c r="L121" s="36">
        <v>40.026718455108899</v>
      </c>
      <c r="M121" s="5">
        <v>35</v>
      </c>
      <c r="N121">
        <v>1.6E-2</v>
      </c>
      <c r="O121">
        <v>3</v>
      </c>
      <c r="P121" s="31">
        <f t="shared" si="15"/>
        <v>23.9092175242377</v>
      </c>
      <c r="Q121">
        <f t="shared" si="11"/>
        <v>1.6E-2</v>
      </c>
      <c r="R121">
        <v>2.4000000000000004</v>
      </c>
      <c r="S121" s="43" t="s">
        <v>28</v>
      </c>
      <c r="T121" s="35" t="s">
        <v>28</v>
      </c>
      <c r="U121" s="31">
        <v>23.9092175242377</v>
      </c>
      <c r="V121" s="22">
        <f t="shared" si="12"/>
        <v>1.6E-2</v>
      </c>
      <c r="W121" s="31">
        <v>25.375315770410744</v>
      </c>
      <c r="X121" s="22">
        <v>2.1033357009943961E-2</v>
      </c>
      <c r="Y121" s="54">
        <v>1.1150896948231701</v>
      </c>
      <c r="Z121" s="56">
        <v>0.80814337970676298</v>
      </c>
    </row>
    <row r="122" spans="2:26" x14ac:dyDescent="0.3">
      <c r="B122" s="5">
        <f t="shared" si="14"/>
        <v>91</v>
      </c>
      <c r="C122" s="5" t="s">
        <v>61</v>
      </c>
      <c r="D122">
        <v>1</v>
      </c>
      <c r="E122">
        <v>2.5000000000000001E-3</v>
      </c>
      <c r="F122">
        <v>1</v>
      </c>
      <c r="G122">
        <v>1</v>
      </c>
      <c r="H122">
        <v>0.2</v>
      </c>
      <c r="I122" s="32">
        <v>913.34644532010304</v>
      </c>
      <c r="J122">
        <v>7.54</v>
      </c>
      <c r="K122" s="30">
        <v>40.197778197945503</v>
      </c>
      <c r="L122" s="36">
        <v>40.197778197945503</v>
      </c>
      <c r="M122" s="5">
        <v>35</v>
      </c>
      <c r="N122">
        <v>1.6E-2</v>
      </c>
      <c r="O122">
        <v>3</v>
      </c>
      <c r="P122">
        <f>M122</f>
        <v>35</v>
      </c>
      <c r="Q122">
        <f t="shared" si="11"/>
        <v>1.6E-2</v>
      </c>
      <c r="R122">
        <v>0.60000000000000009</v>
      </c>
      <c r="S122" s="43" t="s">
        <v>28</v>
      </c>
      <c r="T122" s="35" t="s">
        <v>28</v>
      </c>
      <c r="U122" s="31">
        <v>27.056300047495199</v>
      </c>
      <c r="V122" s="22">
        <f t="shared" si="12"/>
        <v>1.6E-2</v>
      </c>
      <c r="W122" s="31">
        <v>40.484148508489</v>
      </c>
      <c r="X122" s="22">
        <v>2.9750752162112884E-2</v>
      </c>
      <c r="Y122" s="54">
        <v>0.79362239541469204</v>
      </c>
      <c r="Z122" s="56">
        <v>0.57882737678199603</v>
      </c>
    </row>
    <row r="123" spans="2:26" x14ac:dyDescent="0.3">
      <c r="B123" s="5">
        <f t="shared" si="14"/>
        <v>92</v>
      </c>
      <c r="C123" s="5" t="s">
        <v>61</v>
      </c>
      <c r="D123">
        <v>1</v>
      </c>
      <c r="E123">
        <v>2.5000000000000001E-3</v>
      </c>
      <c r="F123">
        <v>1</v>
      </c>
      <c r="G123">
        <v>1</v>
      </c>
      <c r="H123">
        <v>0.35</v>
      </c>
      <c r="I123" s="32">
        <v>916.86166011769899</v>
      </c>
      <c r="J123">
        <v>7.54</v>
      </c>
      <c r="K123" s="30">
        <v>40.125893001625997</v>
      </c>
      <c r="L123" s="36">
        <v>40.125893001625997</v>
      </c>
      <c r="M123" s="5">
        <v>35</v>
      </c>
      <c r="N123">
        <v>1.6E-2</v>
      </c>
      <c r="O123">
        <v>3</v>
      </c>
      <c r="P123">
        <f t="shared" si="8"/>
        <v>35</v>
      </c>
      <c r="Q123">
        <f t="shared" si="11"/>
        <v>1.6E-2</v>
      </c>
      <c r="R123">
        <v>1.0499999999999998</v>
      </c>
      <c r="S123" s="43" t="s">
        <v>28</v>
      </c>
      <c r="T123" s="35" t="s">
        <v>28</v>
      </c>
      <c r="U123" s="31">
        <v>25.733094659715601</v>
      </c>
      <c r="V123" s="22">
        <f t="shared" si="12"/>
        <v>1.6E-2</v>
      </c>
      <c r="W123" s="31">
        <v>37.447877499314735</v>
      </c>
      <c r="X123" s="22">
        <v>2.5672374815622907E-2</v>
      </c>
      <c r="Y123" s="54">
        <v>0.93426433890590299</v>
      </c>
      <c r="Z123" s="56">
        <v>0.675244350348563</v>
      </c>
    </row>
    <row r="124" spans="2:26" x14ac:dyDescent="0.3">
      <c r="B124" s="5">
        <f t="shared" si="14"/>
        <v>93</v>
      </c>
      <c r="C124" s="5" t="s">
        <v>61</v>
      </c>
      <c r="D124">
        <v>1</v>
      </c>
      <c r="E124">
        <v>2.5000000000000001E-3</v>
      </c>
      <c r="F124">
        <v>1</v>
      </c>
      <c r="G124">
        <v>1</v>
      </c>
      <c r="H124">
        <v>0.5</v>
      </c>
      <c r="I124" s="32">
        <v>917.48146088300098</v>
      </c>
      <c r="J124">
        <v>7.54</v>
      </c>
      <c r="K124" s="30">
        <v>40.1132588928836</v>
      </c>
      <c r="L124" s="36">
        <v>40.1132588928836</v>
      </c>
      <c r="M124" s="5">
        <v>35</v>
      </c>
      <c r="N124">
        <v>1.6E-2</v>
      </c>
      <c r="O124">
        <v>3</v>
      </c>
      <c r="P124">
        <f t="shared" si="8"/>
        <v>35</v>
      </c>
      <c r="Q124">
        <f t="shared" si="11"/>
        <v>1.6E-2</v>
      </c>
      <c r="R124">
        <v>1.5</v>
      </c>
      <c r="S124" s="43" t="s">
        <v>28</v>
      </c>
      <c r="T124" s="35" t="s">
        <v>28</v>
      </c>
      <c r="U124" s="31">
        <v>25.500639835899701</v>
      </c>
      <c r="V124" s="22">
        <f t="shared" si="12"/>
        <v>1.6E-2</v>
      </c>
      <c r="W124" s="31">
        <v>35.194970256189571</v>
      </c>
      <c r="X124" s="22">
        <v>2.3581160368497937E-2</v>
      </c>
      <c r="Y124" s="54">
        <v>0.95435604511893302</v>
      </c>
      <c r="Z124" s="56">
        <v>0.69218245389325594</v>
      </c>
    </row>
    <row r="125" spans="2:26" x14ac:dyDescent="0.3">
      <c r="B125" s="5">
        <f t="shared" si="14"/>
        <v>94</v>
      </c>
      <c r="C125" s="5" t="s">
        <v>61</v>
      </c>
      <c r="D125">
        <v>1</v>
      </c>
      <c r="E125">
        <v>2.5000000000000001E-3</v>
      </c>
      <c r="F125">
        <v>1</v>
      </c>
      <c r="G125">
        <v>1</v>
      </c>
      <c r="H125">
        <v>0.65</v>
      </c>
      <c r="I125" s="32">
        <v>916.76636596377705</v>
      </c>
      <c r="J125">
        <v>7.54</v>
      </c>
      <c r="K125" s="30">
        <v>40.1278365690874</v>
      </c>
      <c r="L125" s="36">
        <v>40.1278365690874</v>
      </c>
      <c r="M125" s="5">
        <v>35</v>
      </c>
      <c r="N125">
        <v>1.6E-2</v>
      </c>
      <c r="O125">
        <v>3</v>
      </c>
      <c r="P125">
        <f t="shared" si="8"/>
        <v>35</v>
      </c>
      <c r="Q125">
        <f t="shared" si="11"/>
        <v>1.6E-2</v>
      </c>
      <c r="R125">
        <v>1.9500000000000002</v>
      </c>
      <c r="S125" s="43" t="s">
        <v>28</v>
      </c>
      <c r="T125" s="35" t="s">
        <v>28</v>
      </c>
      <c r="U125" s="31">
        <v>25.768857089152899</v>
      </c>
      <c r="V125" s="22">
        <f t="shared" si="12"/>
        <v>1.6E-2</v>
      </c>
      <c r="W125" s="31">
        <v>34.108139333502237</v>
      </c>
      <c r="X125" s="22">
        <v>2.2090032960150698E-2</v>
      </c>
      <c r="Y125" s="54">
        <v>0.92421848579938803</v>
      </c>
      <c r="Z125" s="56">
        <v>0.67263847679486299</v>
      </c>
    </row>
    <row r="126" spans="2:26" x14ac:dyDescent="0.3">
      <c r="B126" s="5">
        <f t="shared" si="14"/>
        <v>95</v>
      </c>
      <c r="C126" s="5" t="s">
        <v>61</v>
      </c>
      <c r="D126">
        <v>1</v>
      </c>
      <c r="E126">
        <v>2.5000000000000001E-3</v>
      </c>
      <c r="F126">
        <v>1</v>
      </c>
      <c r="G126">
        <v>1</v>
      </c>
      <c r="H126">
        <v>0.8</v>
      </c>
      <c r="I126" s="32">
        <v>914.91133824499798</v>
      </c>
      <c r="J126">
        <v>7.54</v>
      </c>
      <c r="K126" s="30">
        <v>40.1657280409569</v>
      </c>
      <c r="L126" s="36">
        <v>40.1657280409569</v>
      </c>
      <c r="M126" s="5">
        <v>35</v>
      </c>
      <c r="N126">
        <v>1.6E-2</v>
      </c>
      <c r="O126">
        <v>3</v>
      </c>
      <c r="P126">
        <f t="shared" si="8"/>
        <v>35</v>
      </c>
      <c r="Q126">
        <f t="shared" si="11"/>
        <v>1.6E-2</v>
      </c>
      <c r="R126">
        <v>2.4000000000000004</v>
      </c>
      <c r="S126" s="43" t="s">
        <v>28</v>
      </c>
      <c r="T126" s="35" t="s">
        <v>28</v>
      </c>
      <c r="U126" s="31">
        <v>26.4662222330657</v>
      </c>
      <c r="V126" s="22">
        <f t="shared" si="12"/>
        <v>1.6E-2</v>
      </c>
      <c r="W126" s="31">
        <v>33.900935699181197</v>
      </c>
      <c r="X126" s="22">
        <v>2.0748206358986263E-2</v>
      </c>
      <c r="Y126" s="54">
        <v>0.853897514053782</v>
      </c>
      <c r="Z126" s="56">
        <v>0.62182411645788005</v>
      </c>
    </row>
    <row r="127" spans="2:26" x14ac:dyDescent="0.3">
      <c r="B127" s="5">
        <f t="shared" si="14"/>
        <v>96</v>
      </c>
      <c r="C127" s="5" t="s">
        <v>62</v>
      </c>
      <c r="D127">
        <v>1</v>
      </c>
      <c r="E127">
        <v>2.5000000000000001E-3</v>
      </c>
      <c r="F127">
        <v>1</v>
      </c>
      <c r="G127">
        <v>1</v>
      </c>
      <c r="H127">
        <v>0.2</v>
      </c>
      <c r="I127" s="32">
        <v>908.63072937594904</v>
      </c>
      <c r="J127">
        <v>7.54</v>
      </c>
      <c r="K127" s="30">
        <v>40.294833777299402</v>
      </c>
      <c r="L127" s="36">
        <v>40.294833777299402</v>
      </c>
      <c r="M127" s="5">
        <v>35</v>
      </c>
      <c r="N127">
        <v>1.6E-2</v>
      </c>
      <c r="O127">
        <v>3</v>
      </c>
      <c r="P127">
        <f t="shared" si="8"/>
        <v>35</v>
      </c>
      <c r="Q127">
        <f t="shared" si="11"/>
        <v>1.6E-2</v>
      </c>
      <c r="R127">
        <v>0.60000000000000009</v>
      </c>
      <c r="S127" s="43" t="s">
        <v>28</v>
      </c>
      <c r="T127" s="35" t="s">
        <v>28</v>
      </c>
      <c r="U127" s="31">
        <v>28.844415082906501</v>
      </c>
      <c r="V127" s="22">
        <f t="shared" si="12"/>
        <v>1.6E-2</v>
      </c>
      <c r="W127" s="31">
        <v>34.557696176791715</v>
      </c>
      <c r="X127" s="22">
        <v>2.8592840891453499E-2</v>
      </c>
      <c r="Y127" s="54">
        <v>0.62284289260393499</v>
      </c>
      <c r="Z127" s="56">
        <v>0.44853419612604301</v>
      </c>
    </row>
    <row r="128" spans="2:26" x14ac:dyDescent="0.3">
      <c r="B128" s="5">
        <f t="shared" si="14"/>
        <v>97</v>
      </c>
      <c r="C128" s="5" t="s">
        <v>62</v>
      </c>
      <c r="D128">
        <v>1</v>
      </c>
      <c r="E128">
        <v>2.5000000000000001E-3</v>
      </c>
      <c r="F128">
        <v>1</v>
      </c>
      <c r="G128">
        <v>1</v>
      </c>
      <c r="H128">
        <v>0.35</v>
      </c>
      <c r="I128" s="32">
        <v>914.34178535557805</v>
      </c>
      <c r="J128">
        <v>7.54</v>
      </c>
      <c r="K128" s="30">
        <v>40.177383870763599</v>
      </c>
      <c r="L128" s="36">
        <v>40.177383870763599</v>
      </c>
      <c r="M128" s="5">
        <v>35</v>
      </c>
      <c r="N128">
        <v>1.6E-2</v>
      </c>
      <c r="O128">
        <v>3</v>
      </c>
      <c r="P128">
        <f t="shared" si="8"/>
        <v>35</v>
      </c>
      <c r="Q128">
        <f t="shared" si="11"/>
        <v>1.6E-2</v>
      </c>
      <c r="R128">
        <v>1.0499999999999998</v>
      </c>
      <c r="S128" s="43" t="s">
        <v>28</v>
      </c>
      <c r="T128" s="35" t="s">
        <v>28</v>
      </c>
      <c r="U128" s="31">
        <v>26.6807954784827</v>
      </c>
      <c r="V128" s="22">
        <f t="shared" si="12"/>
        <v>1.6E-2</v>
      </c>
      <c r="W128" s="31">
        <v>35.715854898292406</v>
      </c>
      <c r="X128" s="22">
        <v>2.5291029646136127E-2</v>
      </c>
      <c r="Y128" s="54">
        <v>0.83380580784075198</v>
      </c>
      <c r="Z128" s="56">
        <v>0.60618897454148901</v>
      </c>
    </row>
    <row r="129" spans="2:26" x14ac:dyDescent="0.3">
      <c r="B129" s="5">
        <f t="shared" si="14"/>
        <v>98</v>
      </c>
      <c r="C129" s="5" t="s">
        <v>62</v>
      </c>
      <c r="D129">
        <v>1</v>
      </c>
      <c r="E129">
        <v>2.5000000000000001E-3</v>
      </c>
      <c r="F129">
        <v>1</v>
      </c>
      <c r="G129">
        <v>1</v>
      </c>
      <c r="H129">
        <v>0.5</v>
      </c>
      <c r="I129" s="32">
        <v>917.14763804316999</v>
      </c>
      <c r="J129">
        <v>7.54</v>
      </c>
      <c r="K129" s="30">
        <v>40.120062076949303</v>
      </c>
      <c r="L129" s="36">
        <v>40.120062076949303</v>
      </c>
      <c r="M129" s="5">
        <v>35</v>
      </c>
      <c r="N129">
        <v>1.6E-2</v>
      </c>
      <c r="O129">
        <v>3</v>
      </c>
      <c r="P129">
        <f t="shared" si="8"/>
        <v>35</v>
      </c>
      <c r="Q129">
        <f t="shared" si="11"/>
        <v>1.6E-2</v>
      </c>
      <c r="R129">
        <v>1.5</v>
      </c>
      <c r="S129" s="43" t="s">
        <v>28</v>
      </c>
      <c r="T129" s="35" t="s">
        <v>28</v>
      </c>
      <c r="U129" s="31">
        <v>25.625807687050699</v>
      </c>
      <c r="V129" s="22">
        <f t="shared" si="12"/>
        <v>1.6E-2</v>
      </c>
      <c r="W129" s="31">
        <v>35.192434625997436</v>
      </c>
      <c r="X129" s="22">
        <v>2.3481267582440402E-2</v>
      </c>
      <c r="Y129" s="54">
        <v>0.94431019201241795</v>
      </c>
      <c r="Z129" s="56">
        <v>0.68306194615821003</v>
      </c>
    </row>
    <row r="130" spans="2:26" x14ac:dyDescent="0.3">
      <c r="B130" s="5">
        <f t="shared" si="14"/>
        <v>99</v>
      </c>
      <c r="C130" s="5" t="s">
        <v>62</v>
      </c>
      <c r="D130">
        <v>1</v>
      </c>
      <c r="E130">
        <v>2.5000000000000001E-3</v>
      </c>
      <c r="F130">
        <v>1</v>
      </c>
      <c r="G130">
        <v>1</v>
      </c>
      <c r="H130">
        <v>0.65</v>
      </c>
      <c r="I130" s="32">
        <v>917.91095150009198</v>
      </c>
      <c r="J130">
        <v>7.54</v>
      </c>
      <c r="K130" s="30">
        <v>40.104511213187898</v>
      </c>
      <c r="L130" s="36">
        <v>40.104511213187898</v>
      </c>
      <c r="M130" s="5">
        <v>35</v>
      </c>
      <c r="N130">
        <v>1.6E-2</v>
      </c>
      <c r="O130">
        <v>3</v>
      </c>
      <c r="P130">
        <f t="shared" si="8"/>
        <v>35</v>
      </c>
      <c r="Q130">
        <f t="shared" si="11"/>
        <v>1.6E-2</v>
      </c>
      <c r="R130">
        <v>1.9500000000000002</v>
      </c>
      <c r="S130" s="43" t="s">
        <v>28</v>
      </c>
      <c r="T130" s="35" t="s">
        <v>28</v>
      </c>
      <c r="U130" s="31">
        <v>25.339709555311501</v>
      </c>
      <c r="V130" s="22">
        <f t="shared" si="12"/>
        <v>1.6E-2</v>
      </c>
      <c r="W130" s="31">
        <v>34.71227659608725</v>
      </c>
      <c r="X130" s="22">
        <v>2.2110043019854364E-2</v>
      </c>
      <c r="Y130" s="54">
        <v>0.97444775133196304</v>
      </c>
      <c r="Z130" s="56">
        <v>0.70390883518200098</v>
      </c>
    </row>
    <row r="131" spans="2:26" ht="15" thickBot="1" x14ac:dyDescent="0.35">
      <c r="B131" s="7">
        <f t="shared" si="14"/>
        <v>100</v>
      </c>
      <c r="C131" s="7" t="s">
        <v>62</v>
      </c>
      <c r="D131" s="8">
        <v>1</v>
      </c>
      <c r="E131" s="8">
        <v>2.5000000000000001E-3</v>
      </c>
      <c r="F131" s="8">
        <v>1</v>
      </c>
      <c r="G131" s="8">
        <v>1</v>
      </c>
      <c r="H131" s="8">
        <v>0.8</v>
      </c>
      <c r="I131" s="44">
        <v>917.38606322697501</v>
      </c>
      <c r="J131" s="8">
        <v>7.54</v>
      </c>
      <c r="K131" s="47">
        <v>40.115202701879298</v>
      </c>
      <c r="L131" s="38">
        <v>40.115202701879298</v>
      </c>
      <c r="M131" s="7">
        <v>35</v>
      </c>
      <c r="N131" s="8">
        <v>1.6E-2</v>
      </c>
      <c r="O131" s="8">
        <v>3</v>
      </c>
      <c r="P131" s="8">
        <f t="shared" si="8"/>
        <v>35</v>
      </c>
      <c r="Q131" s="8">
        <f t="shared" si="11"/>
        <v>1.6E-2</v>
      </c>
      <c r="R131" s="8">
        <v>2.4000000000000004</v>
      </c>
      <c r="S131" s="45" t="s">
        <v>28</v>
      </c>
      <c r="T131" s="46" t="s">
        <v>28</v>
      </c>
      <c r="U131" s="52">
        <v>25.5364019359663</v>
      </c>
      <c r="V131" s="23">
        <f t="shared" si="12"/>
        <v>1.6E-2</v>
      </c>
      <c r="W131" s="52">
        <v>34.468161979436722</v>
      </c>
      <c r="X131" s="23">
        <v>2.098632568872388E-2</v>
      </c>
      <c r="Y131" s="58">
        <v>0.95435604511893302</v>
      </c>
      <c r="Z131" s="60">
        <v>0.68957660519100805</v>
      </c>
    </row>
    <row r="132" spans="2:26" x14ac:dyDescent="0.3">
      <c r="R132" s="31"/>
    </row>
  </sheetData>
  <mergeCells count="1">
    <mergeCell ref="C7:N7"/>
  </mergeCells>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Guzelel2024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Zeoli Alanis</dc:creator>
  <cp:lastModifiedBy>Zeoli Alanis</cp:lastModifiedBy>
  <dcterms:created xsi:type="dcterms:W3CDTF">2023-10-02T08:13:39Z</dcterms:created>
  <dcterms:modified xsi:type="dcterms:W3CDTF">2025-08-12T09:50:27Z</dcterms:modified>
</cp:coreProperties>
</file>