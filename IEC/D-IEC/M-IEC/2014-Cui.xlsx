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IEC\D-IEC\M-IEC\"/>
    </mc:Choice>
  </mc:AlternateContent>
  <xr:revisionPtr revIDLastSave="0" documentId="13_ncr:1_{C966BC21-C7B4-4ABD-A107-2400C34F1AD1}" xr6:coauthVersionLast="47" xr6:coauthVersionMax="47" xr10:uidLastSave="{00000000-0000-0000-0000-000000000000}"/>
  <bookViews>
    <workbookView xWindow="-108" yWindow="-108" windowWidth="30936" windowHeight="16776" xr2:uid="{1306219A-737B-4B5D-BCFD-98C34D3C77CC}"/>
  </bookViews>
  <sheets>
    <sheet name="Characteristics" sheetId="7" r:id="rId1"/>
    <sheet name="Data"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8" l="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17" i="8"/>
</calcChain>
</file>

<file path=xl/sharedStrings.xml><?xml version="1.0" encoding="utf-8"?>
<sst xmlns="http://schemas.openxmlformats.org/spreadsheetml/2006/main" count="284" uniqueCount="80">
  <si>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</si>
  <si>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</si>
  <si>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</si>
  <si>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</si>
  <si>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</si>
  <si>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</si>
  <si>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</si>
  <si>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</si>
  <si>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</si>
  <si>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</si>
  <si>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</si>
  <si>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</si>
  <si>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</si>
  <si>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</si>
  <si>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</si>
  <si>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</si>
  <si>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</si>
  <si>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Geometry</t>
  </si>
  <si>
    <t>Length</t>
  </si>
  <si>
    <t>Height</t>
  </si>
  <si>
    <t>Paper information</t>
  </si>
  <si>
    <t>Operating conditions</t>
  </si>
  <si>
    <t>Water supplied</t>
  </si>
  <si>
    <t>Wall thickness</t>
  </si>
  <si>
    <t>Primary fluid velocity</t>
  </si>
  <si>
    <t>Secondary fluid velocity</t>
  </si>
  <si>
    <t>epsilon_dp</t>
  </si>
  <si>
    <t>kg/kg</t>
  </si>
  <si>
    <t>C</t>
  </si>
  <si>
    <t>NA</t>
  </si>
  <si>
    <t>Testing conditions</t>
  </si>
  <si>
    <t>W</t>
  </si>
  <si>
    <t>h_ch</t>
  </si>
  <si>
    <t>Channel height</t>
  </si>
  <si>
    <t>Number of channels</t>
  </si>
  <si>
    <t>SPR</t>
  </si>
  <si>
    <t>pd</t>
  </si>
  <si>
    <t>sw</t>
  </si>
  <si>
    <t>Wall material</t>
  </si>
  <si>
    <t>Width</t>
  </si>
  <si>
    <t>Secondary-to-Primary flow rate ratio</t>
  </si>
  <si>
    <t>kg/s</t>
  </si>
  <si>
    <t>Test</t>
  </si>
  <si>
    <t>T_pdi</t>
  </si>
  <si>
    <t>w_pdi</t>
  </si>
  <si>
    <t>v_pdi</t>
  </si>
  <si>
    <t>T_wfi</t>
  </si>
  <si>
    <t>m_dot_wf</t>
  </si>
  <si>
    <t>T_pdo</t>
  </si>
  <si>
    <t>w_pdo</t>
  </si>
  <si>
    <t>T_swo</t>
  </si>
  <si>
    <t>w_wso</t>
  </si>
  <si>
    <t>T_sdi</t>
  </si>
  <si>
    <t>w_sdi</t>
  </si>
  <si>
    <t>v_sdi</t>
  </si>
  <si>
    <t>sd</t>
  </si>
  <si>
    <t>Studying the performance of an improved dew-point evaporative design for cooling application</t>
  </si>
  <si>
    <t>Cui et al.</t>
  </si>
  <si>
    <t>Numerical, extracted from graphs</t>
  </si>
  <si>
    <t>M-IEC</t>
  </si>
  <si>
    <t>Crossflow</t>
  </si>
  <si>
    <t>Parallel</t>
  </si>
  <si>
    <t>Wet surface</t>
  </si>
  <si>
    <t>Yes</t>
  </si>
  <si>
    <t>A</t>
  </si>
  <si>
    <t>Tests</t>
  </si>
  <si>
    <t>Varied inlet conditions</t>
  </si>
  <si>
    <t>Varied HEX dimensions</t>
  </si>
  <si>
    <t>B</t>
  </si>
  <si>
    <t>Varied inlet air velocity</t>
  </si>
  <si>
    <t>1-2.5</t>
  </si>
  <si>
    <t>PPX</t>
  </si>
  <si>
    <t>WWR</t>
  </si>
  <si>
    <t>Re</t>
  </si>
  <si>
    <t>Nu</t>
  </si>
  <si>
    <t>h_T_pd</t>
  </si>
  <si>
    <t>h_T_sw</t>
  </si>
  <si>
    <t>h_ch_s</t>
  </si>
  <si>
    <t>Description</t>
  </si>
  <si>
    <t>CFD model for an M-IEC validated for the D-IEC configuration only, using two data sources from the literature.Validation of the temperature profile of the air inside the primary channelbased on experimental results from Hsu et al. (1989). Comparison of the predicted outlet temperature of primary air to the measured temperature reported by Woods and Kozubal (2013).
Numerical investigation of the effect of inlet air conditions and exchanger geometry on the performance of an M-IEC.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</si>
</sst>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0" fontId="1" fillId="0" borderId="8" xfId="0" applyFont="1" applyBorder="1"/>
    <xf numFmtId="0" fontId="1" fillId="0" borderId="9" xfId="0" applyFont="1" applyBorder="1"/>
    <xf numFmtId="0" fontId="0" fillId="0" borderId="5" xfId="0" applyBorder="1" applyAlignment="1">
      <alignment horizontal="left"/>
    </xf>
    <xf numFmtId="2" fontId="0" fillId="0" borderId="0" xfId="0" applyNumberFormat="1"/>
    <xf numFmtId="165" fontId="0" fillId="0" borderId="0" xfId="0" applyNumberFormat="1"/>
    <xf numFmtId="1"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165" fontId="0" fillId="0" borderId="5" xfId="0" applyNumberFormat="1" applyBorder="1"/>
    <xf numFmtId="2" fontId="0" fillId="0" borderId="9" xfId="0" applyNumberFormat="1" applyBorder="1"/>
    <xf numFmtId="1" fontId="0" fillId="0" borderId="3" xfId="0" applyNumberFormat="1" applyBorder="1"/>
    <xf numFmtId="165" fontId="0" fillId="0" borderId="2" xfId="0" applyNumberFormat="1" applyBorder="1"/>
    <xf numFmtId="2" fontId="0" fillId="0" borderId="3" xfId="0" applyNumberFormat="1" applyBorder="1"/>
    <xf numFmtId="2" fontId="0" fillId="0" borderId="4" xfId="0" applyNumberFormat="1" applyBorder="1"/>
    <xf numFmtId="164" fontId="0" fillId="0" borderId="0" xfId="0" applyNumberFormat="1" applyAlignment="1">
      <alignment horizontal="right"/>
    </xf>
    <xf numFmtId="165" fontId="0" fillId="0" borderId="0" xfId="0" applyNumberFormat="1" applyAlignment="1">
      <alignment horizontal="right"/>
    </xf>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165" fontId="0" fillId="0" borderId="8" xfId="0" applyNumberFormat="1" applyBorder="1" applyAlignment="1">
      <alignment horizontal="right"/>
    </xf>
    <xf numFmtId="2" fontId="0" fillId="0" borderId="8" xfId="0" applyNumberFormat="1" applyBorder="1"/>
    <xf numFmtId="0" fontId="0" fillId="0" borderId="2" xfId="0" applyBorder="1" applyAlignment="1">
      <alignment horizontal="right"/>
    </xf>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0" fontId="1" fillId="0" borderId="15" xfId="0" applyFont="1" applyBorder="1" applyAlignment="1">
      <alignment vertical="top"/>
    </xf>
    <xf numFmtId="0" fontId="0" fillId="0" borderId="10" xfId="0" applyBorder="1" applyAlignment="1">
      <alignment horizontal="center"/>
    </xf>
    <xf numFmtId="0" fontId="0" fillId="0" borderId="12" xfId="0" applyBorder="1" applyAlignment="1">
      <alignment horizont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304800</xdr:colOff>
      <xdr:row>1</xdr:row>
      <xdr:rowOff>125703</xdr:rowOff>
    </xdr:from>
    <xdr:to>
      <xdr:col>21</xdr:col>
      <xdr:colOff>152400</xdr:colOff>
      <xdr:row>27</xdr:row>
      <xdr:rowOff>104496</xdr:rowOff>
    </xdr:to>
    <xdr:pic>
      <xdr:nvPicPr>
        <xdr:cNvPr id="3" name="Picture 2">
          <a:extLst>
            <a:ext uri="{FF2B5EF4-FFF2-40B4-BE49-F238E27FC236}">
              <a16:creationId xmlns:a16="http://schemas.microsoft.com/office/drawing/2014/main" id="{893C0CD4-43D2-00E4-A74C-1A4D6BE2D6C2}"/>
            </a:ext>
          </a:extLst>
        </xdr:cNvPr>
        <xdr:cNvPicPr>
          <a:picLocks noChangeAspect="1"/>
        </xdr:cNvPicPr>
      </xdr:nvPicPr>
      <xdr:blipFill>
        <a:blip xmlns:r="http://schemas.openxmlformats.org/officeDocument/2006/relationships" r:embed="rId1"/>
        <a:stretch>
          <a:fillRect/>
        </a:stretch>
      </xdr:blipFill>
      <xdr:spPr>
        <a:xfrm>
          <a:off x="9982200" y="316203"/>
          <a:ext cx="4411980" cy="559473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5148-67C7-4129-B487-C13B2FC67C4B}">
  <dimension ref="B1:AF53"/>
  <sheetViews>
    <sheetView tabSelected="1" workbookViewId="0">
      <selection activeCell="B28" sqref="B28"/>
    </sheetView>
  </sheetViews>
  <sheetFormatPr defaultColWidth="8.88671875" defaultRowHeight="14.4" x14ac:dyDescent="0.3"/>
  <cols>
    <col min="1" max="1" width="2.6640625" customWidth="1"/>
    <col min="2" max="2" width="22.33203125" bestFit="1" customWidth="1"/>
    <col min="3" max="3" width="14.109375" customWidth="1"/>
    <col min="6" max="6" width="9.44140625" customWidth="1"/>
    <col min="7" max="13" width="9.33203125" customWidth="1"/>
    <col min="14" max="14" width="9.44140625" customWidth="1"/>
    <col min="15" max="15" width="10.44140625" customWidth="1"/>
    <col min="16" max="16" width="9.44140625" customWidth="1"/>
    <col min="17" max="24" width="9.33203125" customWidth="1"/>
    <col min="25" max="25" width="10.5546875" bestFit="1" customWidth="1"/>
    <col min="26" max="26" width="10.21875" bestFit="1" customWidth="1"/>
  </cols>
  <sheetData>
    <row r="1" spans="2:14" ht="15" thickBot="1" x14ac:dyDescent="0.35"/>
    <row r="2" spans="2:14" ht="15" thickBot="1" x14ac:dyDescent="0.35">
      <c r="B2" s="10" t="s">
        <v>20</v>
      </c>
      <c r="C2" s="11"/>
      <c r="D2" s="11"/>
      <c r="E2" s="11"/>
      <c r="F2" s="11"/>
      <c r="G2" s="11"/>
      <c r="H2" s="11"/>
      <c r="I2" s="11"/>
      <c r="J2" s="11"/>
      <c r="K2" s="11"/>
      <c r="L2" s="11"/>
      <c r="M2" s="11"/>
      <c r="N2" s="12"/>
    </row>
    <row r="3" spans="2:14" x14ac:dyDescent="0.3">
      <c r="B3" s="20" t="s">
        <v>0</v>
      </c>
      <c r="C3" s="13" t="s">
        <v>57</v>
      </c>
      <c r="D3" s="3"/>
      <c r="E3" s="3"/>
      <c r="F3" s="3"/>
      <c r="G3" s="3"/>
      <c r="H3" s="3"/>
      <c r="I3" s="3"/>
      <c r="J3" s="3"/>
      <c r="K3" s="3"/>
      <c r="L3" s="3"/>
      <c r="M3" s="3"/>
      <c r="N3" s="4"/>
    </row>
    <row r="4" spans="2:14" x14ac:dyDescent="0.3">
      <c r="B4" s="21" t="s">
        <v>1</v>
      </c>
      <c r="C4" s="5" t="s">
        <v>56</v>
      </c>
      <c r="N4" s="6"/>
    </row>
    <row r="5" spans="2:14" x14ac:dyDescent="0.3">
      <c r="B5" s="21" t="s">
        <v>2</v>
      </c>
      <c r="C5" s="28">
        <v>2014</v>
      </c>
      <c r="N5" s="6"/>
    </row>
    <row r="6" spans="2:14" x14ac:dyDescent="0.3">
      <c r="B6" s="21" t="s">
        <v>4</v>
      </c>
      <c r="C6" s="28" t="s">
        <v>58</v>
      </c>
      <c r="N6" s="6"/>
    </row>
    <row r="7" spans="2:14" ht="60.6" customHeight="1" thickBot="1" x14ac:dyDescent="0.35">
      <c r="B7" s="53" t="s">
        <v>78</v>
      </c>
      <c r="C7" s="56" t="s">
        <v>79</v>
      </c>
      <c r="D7" s="57"/>
      <c r="E7" s="57"/>
      <c r="F7" s="57"/>
      <c r="G7" s="57"/>
      <c r="H7" s="57"/>
      <c r="I7" s="57"/>
      <c r="J7" s="57"/>
      <c r="K7" s="57"/>
      <c r="L7" s="57"/>
      <c r="M7" s="57"/>
      <c r="N7" s="58"/>
    </row>
    <row r="8" spans="2:14" ht="15" thickBot="1" x14ac:dyDescent="0.35"/>
    <row r="9" spans="2:14" ht="15" thickBot="1" x14ac:dyDescent="0.35">
      <c r="B9" s="10" t="s">
        <v>3</v>
      </c>
      <c r="C9" s="18"/>
      <c r="E9" s="10" t="s">
        <v>9</v>
      </c>
      <c r="F9" s="17"/>
      <c r="G9" s="17"/>
      <c r="H9" s="18"/>
    </row>
    <row r="10" spans="2:14" ht="15" thickBot="1" x14ac:dyDescent="0.35">
      <c r="B10" s="20" t="s">
        <v>15</v>
      </c>
      <c r="C10" s="6" t="s">
        <v>59</v>
      </c>
      <c r="E10" s="10" t="s">
        <v>36</v>
      </c>
      <c r="F10" s="11" t="s">
        <v>55</v>
      </c>
      <c r="G10" s="11" t="s">
        <v>55</v>
      </c>
      <c r="H10" s="12" t="s">
        <v>37</v>
      </c>
    </row>
    <row r="11" spans="2:14" ht="15" thickBot="1" x14ac:dyDescent="0.35">
      <c r="B11" s="21" t="s">
        <v>16</v>
      </c>
      <c r="C11" s="6" t="s">
        <v>62</v>
      </c>
      <c r="E11" s="54" t="s">
        <v>61</v>
      </c>
      <c r="F11" s="55"/>
      <c r="G11" s="54" t="s">
        <v>60</v>
      </c>
      <c r="H11" s="55"/>
    </row>
    <row r="12" spans="2:14" x14ac:dyDescent="0.3">
      <c r="B12" s="21" t="s">
        <v>10</v>
      </c>
      <c r="C12" s="6" t="s">
        <v>63</v>
      </c>
    </row>
    <row r="13" spans="2:14" x14ac:dyDescent="0.3">
      <c r="B13" s="21" t="s">
        <v>38</v>
      </c>
      <c r="C13" s="6" t="s">
        <v>29</v>
      </c>
    </row>
    <row r="14" spans="2:14" ht="15" thickBot="1" x14ac:dyDescent="0.35">
      <c r="B14" s="15" t="s">
        <v>9</v>
      </c>
      <c r="C14" s="9" t="s">
        <v>71</v>
      </c>
    </row>
    <row r="15" spans="2:14" ht="15" thickBot="1" x14ac:dyDescent="0.35">
      <c r="B15" s="1"/>
    </row>
    <row r="16" spans="2:14" ht="15" thickBot="1" x14ac:dyDescent="0.35">
      <c r="B16" s="10" t="s">
        <v>17</v>
      </c>
      <c r="C16" s="17"/>
      <c r="D16" s="18"/>
      <c r="F16" s="1"/>
    </row>
    <row r="17" spans="2:32" x14ac:dyDescent="0.3">
      <c r="B17" s="20" t="s">
        <v>18</v>
      </c>
      <c r="C17" s="3">
        <v>1</v>
      </c>
      <c r="D17" s="4" t="s">
        <v>8</v>
      </c>
      <c r="F17" s="1"/>
      <c r="G17" s="23"/>
    </row>
    <row r="18" spans="2:32" x14ac:dyDescent="0.3">
      <c r="B18" s="21" t="s">
        <v>39</v>
      </c>
      <c r="C18">
        <v>1</v>
      </c>
      <c r="D18" s="6" t="s">
        <v>8</v>
      </c>
      <c r="F18" s="1"/>
    </row>
    <row r="19" spans="2:32" x14ac:dyDescent="0.3">
      <c r="B19" s="21" t="s">
        <v>19</v>
      </c>
      <c r="D19" s="6" t="s">
        <v>8</v>
      </c>
      <c r="F19" s="1"/>
    </row>
    <row r="20" spans="2:32" x14ac:dyDescent="0.3">
      <c r="B20" s="21" t="s">
        <v>33</v>
      </c>
      <c r="C20">
        <v>6.0000000000000001E-3</v>
      </c>
      <c r="D20" s="6" t="s">
        <v>8</v>
      </c>
    </row>
    <row r="21" spans="2:32" x14ac:dyDescent="0.3">
      <c r="B21" s="21" t="s">
        <v>23</v>
      </c>
      <c r="C21">
        <v>2.0000000000000001E-4</v>
      </c>
      <c r="D21" s="6" t="s">
        <v>8</v>
      </c>
    </row>
    <row r="22" spans="2:32" ht="15" thickBot="1" x14ac:dyDescent="0.35">
      <c r="B22" s="15" t="s">
        <v>34</v>
      </c>
      <c r="C22" s="8"/>
      <c r="D22" s="9" t="s">
        <v>7</v>
      </c>
    </row>
    <row r="23" spans="2:32" ht="15" thickBot="1" x14ac:dyDescent="0.35">
      <c r="B23" s="1"/>
    </row>
    <row r="24" spans="2:32" ht="15" thickBot="1" x14ac:dyDescent="0.35">
      <c r="B24" s="2" t="s">
        <v>21</v>
      </c>
      <c r="C24" s="3"/>
      <c r="D24" s="4"/>
      <c r="F24" s="10" t="s">
        <v>65</v>
      </c>
      <c r="G24" s="11"/>
      <c r="H24" s="11"/>
      <c r="I24" s="12"/>
    </row>
    <row r="25" spans="2:32" x14ac:dyDescent="0.3">
      <c r="B25" s="2" t="s">
        <v>24</v>
      </c>
      <c r="C25" s="49" t="s">
        <v>70</v>
      </c>
      <c r="D25" s="4" t="s">
        <v>6</v>
      </c>
      <c r="F25" s="5" t="s">
        <v>64</v>
      </c>
      <c r="G25" t="s">
        <v>66</v>
      </c>
      <c r="I25" s="6"/>
    </row>
    <row r="26" spans="2:32" x14ac:dyDescent="0.3">
      <c r="B26" s="19" t="s">
        <v>25</v>
      </c>
      <c r="C26" s="50" t="s">
        <v>70</v>
      </c>
      <c r="D26" s="6" t="s">
        <v>6</v>
      </c>
      <c r="F26" s="5" t="s">
        <v>68</v>
      </c>
      <c r="G26" t="s">
        <v>67</v>
      </c>
      <c r="I26" s="6"/>
    </row>
    <row r="27" spans="2:32" ht="29.4" thickBot="1" x14ac:dyDescent="0.35">
      <c r="B27" s="24" t="s">
        <v>40</v>
      </c>
      <c r="C27" s="51">
        <v>0.5</v>
      </c>
      <c r="D27" s="25" t="s">
        <v>27</v>
      </c>
      <c r="F27" s="7" t="s">
        <v>28</v>
      </c>
      <c r="G27" s="8" t="s">
        <v>69</v>
      </c>
      <c r="H27" s="8"/>
      <c r="I27" s="9"/>
    </row>
    <row r="28" spans="2:32" ht="15" thickBot="1" x14ac:dyDescent="0.35">
      <c r="B28" s="14" t="s">
        <v>22</v>
      </c>
      <c r="C28" s="52" t="s">
        <v>29</v>
      </c>
      <c r="D28" s="9" t="s">
        <v>41</v>
      </c>
      <c r="J28" s="29"/>
      <c r="K28" s="29"/>
      <c r="L28" s="29"/>
      <c r="M28" s="29"/>
    </row>
    <row r="31" spans="2:32" x14ac:dyDescent="0.3">
      <c r="AB31" s="1"/>
      <c r="AC31" s="1"/>
    </row>
    <row r="32" spans="2:32" x14ac:dyDescent="0.3">
      <c r="AE32" s="29"/>
      <c r="AF32" s="29"/>
    </row>
    <row r="33" spans="29:32" x14ac:dyDescent="0.3">
      <c r="AE33" s="29"/>
      <c r="AF33" s="29"/>
    </row>
    <row r="34" spans="29:32" x14ac:dyDescent="0.3">
      <c r="AE34" s="29"/>
      <c r="AF34" s="29"/>
    </row>
    <row r="35" spans="29:32" x14ac:dyDescent="0.3">
      <c r="AE35" s="29"/>
      <c r="AF35" s="29"/>
    </row>
    <row r="36" spans="29:32" x14ac:dyDescent="0.3">
      <c r="AE36" s="29"/>
      <c r="AF36" s="29"/>
    </row>
    <row r="37" spans="29:32" x14ac:dyDescent="0.3">
      <c r="AE37" s="29"/>
      <c r="AF37" s="29"/>
    </row>
    <row r="38" spans="29:32" x14ac:dyDescent="0.3">
      <c r="AE38" s="29"/>
      <c r="AF38" s="29"/>
    </row>
    <row r="39" spans="29:32" x14ac:dyDescent="0.3">
      <c r="AE39" s="29"/>
      <c r="AF39" s="29"/>
    </row>
    <row r="40" spans="29:32" x14ac:dyDescent="0.3">
      <c r="AE40" s="29"/>
      <c r="AF40" s="29"/>
    </row>
    <row r="41" spans="29:32" x14ac:dyDescent="0.3">
      <c r="AE41" s="29"/>
      <c r="AF41" s="29"/>
    </row>
    <row r="42" spans="29:32" x14ac:dyDescent="0.3">
      <c r="AE42" s="29"/>
      <c r="AF42" s="29"/>
    </row>
    <row r="43" spans="29:32" x14ac:dyDescent="0.3">
      <c r="AE43" s="29"/>
      <c r="AF43" s="29"/>
    </row>
    <row r="44" spans="29:32" x14ac:dyDescent="0.3">
      <c r="AE44" s="29"/>
      <c r="AF44" s="29"/>
    </row>
    <row r="45" spans="29:32" x14ac:dyDescent="0.3">
      <c r="AE45" s="29"/>
      <c r="AF45" s="29"/>
    </row>
    <row r="46" spans="29:32" x14ac:dyDescent="0.3">
      <c r="AC46" s="31"/>
    </row>
    <row r="47" spans="29:32" x14ac:dyDescent="0.3">
      <c r="AC47" s="31"/>
    </row>
    <row r="48" spans="29:32" x14ac:dyDescent="0.3">
      <c r="AC48" s="31"/>
    </row>
    <row r="49" spans="29:29" x14ac:dyDescent="0.3">
      <c r="AC49" s="31"/>
    </row>
    <row r="50" spans="29:29" x14ac:dyDescent="0.3">
      <c r="AC50" s="31"/>
    </row>
    <row r="51" spans="29:29" x14ac:dyDescent="0.3">
      <c r="AC51" s="31"/>
    </row>
    <row r="52" spans="29:29" x14ac:dyDescent="0.3">
      <c r="AC52" s="31"/>
    </row>
    <row r="53" spans="29:29" x14ac:dyDescent="0.3">
      <c r="AC53" s="31"/>
    </row>
  </sheetData>
  <mergeCells count="3">
    <mergeCell ref="E11:F11"/>
    <mergeCell ref="G11:H11"/>
    <mergeCell ref="C7:N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6CBE-47FE-4D42-A9AD-CB17B2FC9289}">
  <dimension ref="A1:Z41"/>
  <sheetViews>
    <sheetView workbookViewId="0">
      <selection activeCell="AB9" sqref="AB9"/>
    </sheetView>
  </sheetViews>
  <sheetFormatPr defaultRowHeight="14.4" x14ac:dyDescent="0.3"/>
  <cols>
    <col min="25" max="25" width="10.5546875" bestFit="1" customWidth="1"/>
    <col min="26" max="26" width="10.21875" bestFit="1" customWidth="1"/>
  </cols>
  <sheetData>
    <row r="1" spans="1:26" ht="15" thickBot="1" x14ac:dyDescent="0.35">
      <c r="A1" s="2"/>
      <c r="B1" s="10" t="s">
        <v>30</v>
      </c>
      <c r="C1" s="11"/>
      <c r="D1" s="11"/>
      <c r="E1" s="11"/>
      <c r="F1" s="11"/>
      <c r="G1" s="11"/>
      <c r="H1" s="11"/>
      <c r="I1" s="11"/>
      <c r="J1" s="11"/>
      <c r="K1" s="11"/>
      <c r="L1" s="12"/>
      <c r="M1" s="10" t="s">
        <v>13</v>
      </c>
      <c r="N1" s="11"/>
      <c r="O1" s="11"/>
      <c r="P1" s="11"/>
      <c r="Q1" s="11"/>
      <c r="R1" s="11"/>
      <c r="S1" s="11"/>
      <c r="T1" s="12"/>
      <c r="U1" s="16" t="s">
        <v>14</v>
      </c>
      <c r="V1" s="3"/>
      <c r="W1" s="3"/>
      <c r="X1" s="3"/>
      <c r="Y1" s="3"/>
      <c r="Z1" s="18"/>
    </row>
    <row r="2" spans="1:26" ht="15" thickBot="1" x14ac:dyDescent="0.35">
      <c r="A2" s="14" t="s">
        <v>11</v>
      </c>
      <c r="B2" s="14" t="s">
        <v>42</v>
      </c>
      <c r="C2" s="26" t="s">
        <v>5</v>
      </c>
      <c r="D2" s="26" t="s">
        <v>32</v>
      </c>
      <c r="E2" s="26" t="s">
        <v>77</v>
      </c>
      <c r="F2" s="26" t="s">
        <v>31</v>
      </c>
      <c r="G2" s="26" t="s">
        <v>72</v>
      </c>
      <c r="H2" s="26" t="s">
        <v>35</v>
      </c>
      <c r="I2" s="26" t="s">
        <v>73</v>
      </c>
      <c r="J2" s="26" t="s">
        <v>74</v>
      </c>
      <c r="K2" s="26" t="s">
        <v>75</v>
      </c>
      <c r="L2" s="27" t="s">
        <v>76</v>
      </c>
      <c r="M2" s="10" t="s">
        <v>43</v>
      </c>
      <c r="N2" s="11" t="s">
        <v>44</v>
      </c>
      <c r="O2" s="11" t="s">
        <v>45</v>
      </c>
      <c r="P2" s="11" t="s">
        <v>52</v>
      </c>
      <c r="Q2" s="11" t="s">
        <v>53</v>
      </c>
      <c r="R2" s="26" t="s">
        <v>54</v>
      </c>
      <c r="S2" s="26" t="s">
        <v>46</v>
      </c>
      <c r="T2" s="27" t="s">
        <v>47</v>
      </c>
      <c r="U2" s="10" t="s">
        <v>48</v>
      </c>
      <c r="V2" s="11" t="s">
        <v>49</v>
      </c>
      <c r="W2" s="11" t="s">
        <v>50</v>
      </c>
      <c r="X2" s="11" t="s">
        <v>51</v>
      </c>
      <c r="Y2" s="11" t="s">
        <v>12</v>
      </c>
      <c r="Z2" s="12" t="s">
        <v>26</v>
      </c>
    </row>
    <row r="3" spans="1:26" x14ac:dyDescent="0.3">
      <c r="A3" s="13">
        <v>1</v>
      </c>
      <c r="B3" s="13" t="s">
        <v>64</v>
      </c>
      <c r="C3" s="3">
        <v>1</v>
      </c>
      <c r="D3" s="3">
        <v>6.0000000000000001E-3</v>
      </c>
      <c r="E3" s="3">
        <v>3.0000000000000001E-3</v>
      </c>
      <c r="F3" s="3">
        <v>1</v>
      </c>
      <c r="G3" s="3">
        <v>1</v>
      </c>
      <c r="H3" s="3">
        <v>1</v>
      </c>
      <c r="I3" s="38">
        <v>790.60241083241999</v>
      </c>
      <c r="J3" s="40">
        <v>17.071097542750302</v>
      </c>
      <c r="K3" s="40">
        <v>36.714609496160101</v>
      </c>
      <c r="L3" s="41">
        <v>54.4419867444565</v>
      </c>
      <c r="M3" s="38">
        <v>25.015290519877599</v>
      </c>
      <c r="N3" s="3">
        <v>8.0000000000000002E-3</v>
      </c>
      <c r="O3" s="3">
        <v>1</v>
      </c>
      <c r="P3" s="38">
        <v>25.015290519877599</v>
      </c>
      <c r="Q3" s="3">
        <v>8.0000000000000002E-3</v>
      </c>
      <c r="R3" s="3">
        <v>2</v>
      </c>
      <c r="S3" s="32" t="s">
        <v>29</v>
      </c>
      <c r="T3" s="33" t="s">
        <v>29</v>
      </c>
      <c r="U3" s="39">
        <v>13.4388083526581</v>
      </c>
      <c r="V3" s="3">
        <v>8.0000000000000002E-3</v>
      </c>
      <c r="W3" s="32" t="s">
        <v>29</v>
      </c>
      <c r="X3" s="32" t="s">
        <v>29</v>
      </c>
      <c r="Y3" s="40">
        <v>1.325</v>
      </c>
      <c r="Z3" s="41">
        <v>0.804904579363246</v>
      </c>
    </row>
    <row r="4" spans="1:26" x14ac:dyDescent="0.3">
      <c r="A4" s="5">
        <v>2</v>
      </c>
      <c r="B4" s="5" t="s">
        <v>64</v>
      </c>
      <c r="C4">
        <v>1</v>
      </c>
      <c r="D4">
        <v>6.0000000000000001E-3</v>
      </c>
      <c r="E4">
        <v>3.0000000000000001E-3</v>
      </c>
      <c r="F4">
        <v>1</v>
      </c>
      <c r="G4">
        <v>1</v>
      </c>
      <c r="H4">
        <v>1</v>
      </c>
      <c r="I4" s="31">
        <v>777.13238044287004</v>
      </c>
      <c r="J4" s="29">
        <v>16.939595907971999</v>
      </c>
      <c r="K4" s="29">
        <v>36.7277508241364</v>
      </c>
      <c r="L4" s="35">
        <v>54.481040538268303</v>
      </c>
      <c r="M4" s="31">
        <v>29.9694189602446</v>
      </c>
      <c r="N4">
        <v>8.0000000000000002E-3</v>
      </c>
      <c r="O4">
        <v>1</v>
      </c>
      <c r="P4" s="31">
        <v>29.9694189602446</v>
      </c>
      <c r="Q4">
        <v>8.0000000000000002E-3</v>
      </c>
      <c r="R4">
        <v>2</v>
      </c>
      <c r="S4" s="42" t="s">
        <v>29</v>
      </c>
      <c r="T4" s="34" t="s">
        <v>29</v>
      </c>
      <c r="U4" s="36">
        <v>14.1646880317755</v>
      </c>
      <c r="V4">
        <v>8.0000000000000002E-3</v>
      </c>
      <c r="W4" s="42" t="s">
        <v>29</v>
      </c>
      <c r="X4" s="42" t="s">
        <v>29</v>
      </c>
      <c r="Y4" s="29">
        <v>1.319375</v>
      </c>
      <c r="Z4" s="35">
        <v>0.81779472367193995</v>
      </c>
    </row>
    <row r="5" spans="1:26" x14ac:dyDescent="0.3">
      <c r="A5" s="5">
        <v>3</v>
      </c>
      <c r="B5" s="5" t="s">
        <v>64</v>
      </c>
      <c r="C5">
        <v>1</v>
      </c>
      <c r="D5">
        <v>6.0000000000000001E-3</v>
      </c>
      <c r="E5">
        <v>3.0000000000000001E-3</v>
      </c>
      <c r="F5">
        <v>1</v>
      </c>
      <c r="G5">
        <v>1</v>
      </c>
      <c r="H5">
        <v>1</v>
      </c>
      <c r="I5" s="31">
        <v>764.08684094115495</v>
      </c>
      <c r="J5" s="29">
        <v>16.8112001983075</v>
      </c>
      <c r="K5" s="29">
        <v>36.740838941198497</v>
      </c>
      <c r="L5" s="35">
        <v>54.519862518139298</v>
      </c>
      <c r="M5" s="31">
        <v>34.969418960244603</v>
      </c>
      <c r="N5">
        <v>8.0000000000000002E-3</v>
      </c>
      <c r="O5">
        <v>1</v>
      </c>
      <c r="P5" s="31">
        <v>34.969418960244603</v>
      </c>
      <c r="Q5">
        <v>8.0000000000000002E-3</v>
      </c>
      <c r="R5">
        <v>2</v>
      </c>
      <c r="S5" s="42" t="s">
        <v>29</v>
      </c>
      <c r="T5" s="34" t="s">
        <v>29</v>
      </c>
      <c r="U5" s="36">
        <v>14.8193876105732</v>
      </c>
      <c r="V5">
        <v>8.0000000000000002E-3</v>
      </c>
      <c r="W5" s="42" t="s">
        <v>29</v>
      </c>
      <c r="X5" s="42" t="s">
        <v>29</v>
      </c>
      <c r="Y5" s="29">
        <v>1.31187498092651</v>
      </c>
      <c r="Z5" s="35">
        <v>0.82831568845079795</v>
      </c>
    </row>
    <row r="6" spans="1:26" x14ac:dyDescent="0.3">
      <c r="A6" s="5">
        <v>4</v>
      </c>
      <c r="B6" s="5" t="s">
        <v>64</v>
      </c>
      <c r="C6">
        <v>1</v>
      </c>
      <c r="D6">
        <v>6.0000000000000001E-3</v>
      </c>
      <c r="E6">
        <v>3.0000000000000001E-3</v>
      </c>
      <c r="F6">
        <v>1</v>
      </c>
      <c r="G6">
        <v>1</v>
      </c>
      <c r="H6">
        <v>1</v>
      </c>
      <c r="I6" s="31">
        <v>751.74468056872797</v>
      </c>
      <c r="J6" s="29">
        <v>16.688763600600399</v>
      </c>
      <c r="K6" s="29">
        <v>36.753565450869502</v>
      </c>
      <c r="L6" s="35">
        <v>54.5575387456337</v>
      </c>
      <c r="M6" s="31">
        <v>40</v>
      </c>
      <c r="N6">
        <v>8.0000000000000002E-3</v>
      </c>
      <c r="O6">
        <v>1</v>
      </c>
      <c r="P6" s="31">
        <v>40</v>
      </c>
      <c r="Q6">
        <v>8.0000000000000002E-3</v>
      </c>
      <c r="R6">
        <v>2</v>
      </c>
      <c r="S6" s="42" t="s">
        <v>29</v>
      </c>
      <c r="T6" s="34" t="s">
        <v>29</v>
      </c>
      <c r="U6" s="36">
        <v>15.284125319384501</v>
      </c>
      <c r="V6">
        <v>8.0000000000000002E-3</v>
      </c>
      <c r="W6" s="42" t="s">
        <v>29</v>
      </c>
      <c r="X6" s="42" t="s">
        <v>29</v>
      </c>
      <c r="Y6" s="29">
        <v>1.3106249999999999</v>
      </c>
      <c r="Z6" s="35">
        <v>0.84172297197303603</v>
      </c>
    </row>
    <row r="7" spans="1:26" x14ac:dyDescent="0.3">
      <c r="A7" s="5">
        <v>5</v>
      </c>
      <c r="B7" s="5" t="s">
        <v>64</v>
      </c>
      <c r="C7">
        <v>1</v>
      </c>
      <c r="D7">
        <v>6.0000000000000001E-3</v>
      </c>
      <c r="E7">
        <v>3.0000000000000001E-3</v>
      </c>
      <c r="F7">
        <v>1</v>
      </c>
      <c r="G7">
        <v>1</v>
      </c>
      <c r="H7">
        <v>1</v>
      </c>
      <c r="I7" s="31">
        <v>776.64268099626599</v>
      </c>
      <c r="J7" s="29">
        <v>16.944203131776099</v>
      </c>
      <c r="K7" s="29">
        <v>36.665209639313701</v>
      </c>
      <c r="L7" s="35">
        <v>54.387578978958302</v>
      </c>
      <c r="M7" s="31">
        <v>25.015290519877599</v>
      </c>
      <c r="N7">
        <v>1.2E-2</v>
      </c>
      <c r="O7">
        <v>1</v>
      </c>
      <c r="P7" s="31">
        <v>25.015290519877599</v>
      </c>
      <c r="Q7">
        <v>1.2E-2</v>
      </c>
      <c r="R7">
        <v>2</v>
      </c>
      <c r="S7" s="42" t="s">
        <v>29</v>
      </c>
      <c r="T7" s="34" t="s">
        <v>29</v>
      </c>
      <c r="U7" s="36">
        <v>17.857837563762502</v>
      </c>
      <c r="V7">
        <v>1.2E-2</v>
      </c>
      <c r="W7" s="42" t="s">
        <v>29</v>
      </c>
      <c r="X7" s="42" t="s">
        <v>29</v>
      </c>
      <c r="Y7" s="29">
        <v>1.2999999999999901</v>
      </c>
      <c r="Z7" s="35">
        <v>0.86774241780948203</v>
      </c>
    </row>
    <row r="8" spans="1:26" x14ac:dyDescent="0.3">
      <c r="A8" s="5">
        <v>6</v>
      </c>
      <c r="B8" s="5" t="s">
        <v>64</v>
      </c>
      <c r="C8">
        <v>1</v>
      </c>
      <c r="D8">
        <v>6.0000000000000001E-3</v>
      </c>
      <c r="E8">
        <v>3.0000000000000001E-3</v>
      </c>
      <c r="F8">
        <v>1</v>
      </c>
      <c r="G8">
        <v>1</v>
      </c>
      <c r="H8">
        <v>1</v>
      </c>
      <c r="I8" s="31">
        <v>763.88540318050696</v>
      </c>
      <c r="J8" s="29">
        <v>16.8185298438706</v>
      </c>
      <c r="K8" s="29">
        <v>36.676897735450801</v>
      </c>
      <c r="L8" s="35">
        <v>54.423866003299899</v>
      </c>
      <c r="M8" s="31">
        <v>29.984709480122302</v>
      </c>
      <c r="N8">
        <v>1.2E-2</v>
      </c>
      <c r="O8">
        <v>1</v>
      </c>
      <c r="P8" s="31">
        <v>29.984709480122302</v>
      </c>
      <c r="Q8">
        <v>1.2E-2</v>
      </c>
      <c r="R8">
        <v>2</v>
      </c>
      <c r="S8" s="42" t="s">
        <v>29</v>
      </c>
      <c r="T8" s="34" t="s">
        <v>29</v>
      </c>
      <c r="U8" s="36">
        <v>18.419616893600601</v>
      </c>
      <c r="V8">
        <v>1.2E-2</v>
      </c>
      <c r="W8" s="42" t="s">
        <v>29</v>
      </c>
      <c r="X8" s="42" t="s">
        <v>29</v>
      </c>
      <c r="Y8" s="29">
        <v>1.2925</v>
      </c>
      <c r="Z8" s="35">
        <v>0.87526343169905196</v>
      </c>
    </row>
    <row r="9" spans="1:26" x14ac:dyDescent="0.3">
      <c r="A9" s="5">
        <v>7</v>
      </c>
      <c r="B9" s="5" t="s">
        <v>64</v>
      </c>
      <c r="C9">
        <v>1</v>
      </c>
      <c r="D9">
        <v>6.0000000000000001E-3</v>
      </c>
      <c r="E9">
        <v>3.0000000000000001E-3</v>
      </c>
      <c r="F9">
        <v>1</v>
      </c>
      <c r="G9">
        <v>1</v>
      </c>
      <c r="H9">
        <v>1</v>
      </c>
      <c r="I9" s="31">
        <v>751.40469177698105</v>
      </c>
      <c r="J9" s="29">
        <v>16.694615177540602</v>
      </c>
      <c r="K9" s="29">
        <v>36.688668476813604</v>
      </c>
      <c r="L9" s="35">
        <v>54.460301950227098</v>
      </c>
      <c r="M9" s="31">
        <v>35</v>
      </c>
      <c r="N9">
        <v>1.2E-2</v>
      </c>
      <c r="O9">
        <v>1</v>
      </c>
      <c r="P9" s="31">
        <v>35</v>
      </c>
      <c r="Q9">
        <v>1.2E-2</v>
      </c>
      <c r="R9">
        <v>2</v>
      </c>
      <c r="S9" s="42" t="s">
        <v>29</v>
      </c>
      <c r="T9" s="34" t="s">
        <v>29</v>
      </c>
      <c r="U9" s="36">
        <v>18.9621419439842</v>
      </c>
      <c r="V9">
        <v>1.2E-2</v>
      </c>
      <c r="W9" s="42" t="s">
        <v>29</v>
      </c>
      <c r="X9" s="42" t="s">
        <v>29</v>
      </c>
      <c r="Y9" s="29">
        <v>1.2818749999999901</v>
      </c>
      <c r="Z9" s="35">
        <v>0.87971513196204598</v>
      </c>
    </row>
    <row r="10" spans="1:26" x14ac:dyDescent="0.3">
      <c r="A10" s="5">
        <v>8</v>
      </c>
      <c r="B10" s="5" t="s">
        <v>64</v>
      </c>
      <c r="C10">
        <v>1</v>
      </c>
      <c r="D10">
        <v>6.0000000000000001E-3</v>
      </c>
      <c r="E10">
        <v>3.0000000000000001E-3</v>
      </c>
      <c r="F10">
        <v>1</v>
      </c>
      <c r="G10">
        <v>1</v>
      </c>
      <c r="H10">
        <v>1</v>
      </c>
      <c r="I10" s="31">
        <v>739.58478555172496</v>
      </c>
      <c r="J10" s="29">
        <v>16.5763592297094</v>
      </c>
      <c r="K10" s="29">
        <v>36.700137586073502</v>
      </c>
      <c r="L10" s="35">
        <v>54.4957001916029</v>
      </c>
      <c r="M10" s="31">
        <v>40.015290519877603</v>
      </c>
      <c r="N10">
        <v>1.2E-2</v>
      </c>
      <c r="O10">
        <v>1</v>
      </c>
      <c r="P10" s="31">
        <v>40.015290519877603</v>
      </c>
      <c r="Q10">
        <v>1.2E-2</v>
      </c>
      <c r="R10">
        <v>2</v>
      </c>
      <c r="S10" s="42" t="s">
        <v>29</v>
      </c>
      <c r="T10" s="34" t="s">
        <v>29</v>
      </c>
      <c r="U10" s="36">
        <v>19.349871961125501</v>
      </c>
      <c r="V10">
        <v>1.2E-2</v>
      </c>
      <c r="W10" s="42" t="s">
        <v>29</v>
      </c>
      <c r="X10" s="42" t="s">
        <v>29</v>
      </c>
      <c r="Y10" s="29">
        <v>1.2793749999999999</v>
      </c>
      <c r="Z10" s="35">
        <v>0.88891390569205297</v>
      </c>
    </row>
    <row r="11" spans="1:26" x14ac:dyDescent="0.3">
      <c r="A11" s="5">
        <v>9</v>
      </c>
      <c r="B11" s="5" t="s">
        <v>64</v>
      </c>
      <c r="C11">
        <v>1</v>
      </c>
      <c r="D11">
        <v>6.0000000000000001E-3</v>
      </c>
      <c r="E11">
        <v>3.0000000000000001E-3</v>
      </c>
      <c r="F11">
        <v>1</v>
      </c>
      <c r="G11">
        <v>1</v>
      </c>
      <c r="H11">
        <v>1</v>
      </c>
      <c r="I11" s="31">
        <v>752.25781316316898</v>
      </c>
      <c r="J11" s="29">
        <v>16.712468177304199</v>
      </c>
      <c r="K11" s="29">
        <v>36.624069149583399</v>
      </c>
      <c r="L11" s="35">
        <v>54.361665783741998</v>
      </c>
      <c r="M11" s="31">
        <v>30</v>
      </c>
      <c r="N11">
        <v>1.6E-2</v>
      </c>
      <c r="O11">
        <v>1</v>
      </c>
      <c r="P11" s="31">
        <v>30</v>
      </c>
      <c r="Q11">
        <v>1.6E-2</v>
      </c>
      <c r="R11">
        <v>2</v>
      </c>
      <c r="S11" s="42" t="s">
        <v>29</v>
      </c>
      <c r="T11" s="34" t="s">
        <v>29</v>
      </c>
      <c r="U11" s="36">
        <v>22.1079002409551</v>
      </c>
      <c r="V11">
        <v>1.6E-2</v>
      </c>
      <c r="W11" s="42" t="s">
        <v>29</v>
      </c>
      <c r="X11" s="42" t="s">
        <v>29</v>
      </c>
      <c r="Y11" s="29">
        <v>1.26</v>
      </c>
      <c r="Z11" s="35">
        <v>0.90466508517292799</v>
      </c>
    </row>
    <row r="12" spans="1:26" x14ac:dyDescent="0.3">
      <c r="A12" s="5">
        <v>10</v>
      </c>
      <c r="B12" s="5" t="s">
        <v>64</v>
      </c>
      <c r="C12">
        <v>1</v>
      </c>
      <c r="D12">
        <v>6.0000000000000001E-3</v>
      </c>
      <c r="E12">
        <v>3.0000000000000001E-3</v>
      </c>
      <c r="F12">
        <v>1</v>
      </c>
      <c r="G12">
        <v>1</v>
      </c>
      <c r="H12">
        <v>1</v>
      </c>
      <c r="I12" s="31">
        <v>740.39208172182703</v>
      </c>
      <c r="J12" s="29">
        <v>16.593721887898401</v>
      </c>
      <c r="K12" s="29">
        <v>36.6344685903819</v>
      </c>
      <c r="L12" s="35">
        <v>54.395479689027297</v>
      </c>
      <c r="M12" s="31">
        <v>35</v>
      </c>
      <c r="N12">
        <v>1.6E-2</v>
      </c>
      <c r="O12">
        <v>1</v>
      </c>
      <c r="P12" s="31">
        <v>35</v>
      </c>
      <c r="Q12">
        <v>1.6E-2</v>
      </c>
      <c r="R12">
        <v>2</v>
      </c>
      <c r="S12" s="42" t="s">
        <v>29</v>
      </c>
      <c r="T12" s="34" t="s">
        <v>29</v>
      </c>
      <c r="U12" s="36">
        <v>22.519725933610399</v>
      </c>
      <c r="V12">
        <v>1.6E-2</v>
      </c>
      <c r="W12" s="42" t="s">
        <v>29</v>
      </c>
      <c r="X12" s="42" t="s">
        <v>29</v>
      </c>
      <c r="Y12" s="29">
        <v>1.2537499999999999</v>
      </c>
      <c r="Z12" s="35">
        <v>0.90939037794493005</v>
      </c>
    </row>
    <row r="13" spans="1:26" x14ac:dyDescent="0.3">
      <c r="A13" s="5">
        <v>11</v>
      </c>
      <c r="B13" s="5" t="s">
        <v>64</v>
      </c>
      <c r="C13">
        <v>1</v>
      </c>
      <c r="D13">
        <v>6.0000000000000001E-3</v>
      </c>
      <c r="E13">
        <v>3.0000000000000001E-3</v>
      </c>
      <c r="F13">
        <v>1</v>
      </c>
      <c r="G13">
        <v>1</v>
      </c>
      <c r="H13">
        <v>1</v>
      </c>
      <c r="I13" s="31">
        <v>728.865462431227</v>
      </c>
      <c r="J13" s="29">
        <v>16.477507657744699</v>
      </c>
      <c r="K13" s="29">
        <v>36.644878703447503</v>
      </c>
      <c r="L13" s="35">
        <v>54.429184435948599</v>
      </c>
      <c r="M13" s="31">
        <v>40</v>
      </c>
      <c r="N13">
        <v>1.6E-2</v>
      </c>
      <c r="O13">
        <v>1</v>
      </c>
      <c r="P13" s="31">
        <v>40</v>
      </c>
      <c r="Q13">
        <v>1.6E-2</v>
      </c>
      <c r="R13">
        <v>2</v>
      </c>
      <c r="S13" s="42" t="s">
        <v>29</v>
      </c>
      <c r="T13" s="34" t="s">
        <v>29</v>
      </c>
      <c r="U13" s="36">
        <v>22.9131308769004</v>
      </c>
      <c r="V13">
        <v>1.6E-2</v>
      </c>
      <c r="W13" s="42" t="s">
        <v>29</v>
      </c>
      <c r="X13" s="42" t="s">
        <v>29</v>
      </c>
      <c r="Y13" s="29">
        <v>1.24624998092651</v>
      </c>
      <c r="Z13" s="35">
        <v>0.91257580123739002</v>
      </c>
    </row>
    <row r="14" spans="1:26" x14ac:dyDescent="0.3">
      <c r="A14" s="5">
        <v>12</v>
      </c>
      <c r="B14" s="5" t="s">
        <v>64</v>
      </c>
      <c r="C14">
        <v>1</v>
      </c>
      <c r="D14">
        <v>6.0000000000000001E-3</v>
      </c>
      <c r="E14">
        <v>3.0000000000000001E-3</v>
      </c>
      <c r="F14">
        <v>1</v>
      </c>
      <c r="G14">
        <v>1</v>
      </c>
      <c r="H14">
        <v>1</v>
      </c>
      <c r="I14" s="31">
        <v>742.06482879778298</v>
      </c>
      <c r="J14" s="29">
        <v>16.6198871920291</v>
      </c>
      <c r="K14" s="29">
        <v>36.569624964458399</v>
      </c>
      <c r="L14" s="35">
        <v>54.295133932056999</v>
      </c>
      <c r="M14" s="31">
        <v>30</v>
      </c>
      <c r="N14">
        <v>0.02</v>
      </c>
      <c r="O14">
        <v>1</v>
      </c>
      <c r="P14" s="31">
        <v>30</v>
      </c>
      <c r="Q14">
        <v>0.02</v>
      </c>
      <c r="R14">
        <v>2</v>
      </c>
      <c r="S14" s="42" t="s">
        <v>29</v>
      </c>
      <c r="T14" s="34" t="s">
        <v>29</v>
      </c>
      <c r="U14" s="36">
        <v>25.2822436303912</v>
      </c>
      <c r="V14">
        <v>0.02</v>
      </c>
      <c r="W14" s="42" t="s">
        <v>29</v>
      </c>
      <c r="X14" s="42" t="s">
        <v>29</v>
      </c>
      <c r="Y14" s="29">
        <v>1.225625</v>
      </c>
      <c r="Z14" s="35">
        <v>0.91782078448728499</v>
      </c>
    </row>
    <row r="15" spans="1:26" x14ac:dyDescent="0.3">
      <c r="A15" s="5">
        <v>13</v>
      </c>
      <c r="B15" s="5" t="s">
        <v>64</v>
      </c>
      <c r="C15">
        <v>1</v>
      </c>
      <c r="D15">
        <v>6.0000000000000001E-3</v>
      </c>
      <c r="E15">
        <v>3.0000000000000001E-3</v>
      </c>
      <c r="F15">
        <v>1</v>
      </c>
      <c r="G15">
        <v>1</v>
      </c>
      <c r="H15">
        <v>1</v>
      </c>
      <c r="I15" s="31">
        <v>730.62428252622499</v>
      </c>
      <c r="J15" s="29">
        <v>16.504562223301399</v>
      </c>
      <c r="K15" s="29">
        <v>36.578824612818799</v>
      </c>
      <c r="L15" s="35">
        <v>54.326810028509001</v>
      </c>
      <c r="M15" s="31">
        <v>35</v>
      </c>
      <c r="N15">
        <v>0.02</v>
      </c>
      <c r="O15">
        <v>1</v>
      </c>
      <c r="P15" s="31">
        <v>35</v>
      </c>
      <c r="Q15">
        <v>0.02</v>
      </c>
      <c r="R15">
        <v>2</v>
      </c>
      <c r="S15" s="42" t="s">
        <v>29</v>
      </c>
      <c r="T15" s="34" t="s">
        <v>29</v>
      </c>
      <c r="U15" s="36">
        <v>25.61278065039</v>
      </c>
      <c r="V15">
        <v>0.02</v>
      </c>
      <c r="W15" s="42" t="s">
        <v>29</v>
      </c>
      <c r="X15" s="42" t="s">
        <v>29</v>
      </c>
      <c r="Y15" s="29">
        <v>1.2262500000000001</v>
      </c>
      <c r="Z15" s="35">
        <v>0.92574560670878503</v>
      </c>
    </row>
    <row r="16" spans="1:26" x14ac:dyDescent="0.3">
      <c r="A16" s="5">
        <v>14</v>
      </c>
      <c r="B16" s="5" t="s">
        <v>64</v>
      </c>
      <c r="C16">
        <v>1</v>
      </c>
      <c r="D16">
        <v>6.0000000000000001E-3</v>
      </c>
      <c r="E16">
        <v>3.0000000000000001E-3</v>
      </c>
      <c r="F16">
        <v>1</v>
      </c>
      <c r="G16">
        <v>1</v>
      </c>
      <c r="H16">
        <v>1</v>
      </c>
      <c r="I16" s="31">
        <v>719.454602956842</v>
      </c>
      <c r="J16" s="29">
        <v>16.391149235566999</v>
      </c>
      <c r="K16" s="29">
        <v>36.588100680279297</v>
      </c>
      <c r="L16" s="35">
        <v>54.358557262020803</v>
      </c>
      <c r="M16" s="31">
        <v>40</v>
      </c>
      <c r="N16">
        <v>0.02</v>
      </c>
      <c r="O16">
        <v>1</v>
      </c>
      <c r="P16" s="31">
        <v>40</v>
      </c>
      <c r="Q16">
        <v>0.02</v>
      </c>
      <c r="R16">
        <v>2</v>
      </c>
      <c r="S16" s="42" t="s">
        <v>29</v>
      </c>
      <c r="T16" s="34" t="s">
        <v>29</v>
      </c>
      <c r="U16" s="36">
        <v>25.949354816239101</v>
      </c>
      <c r="V16">
        <v>0.02</v>
      </c>
      <c r="W16" s="42" t="s">
        <v>29</v>
      </c>
      <c r="X16" s="42" t="s">
        <v>29</v>
      </c>
      <c r="Y16" s="29">
        <v>1.22</v>
      </c>
      <c r="Z16" s="35">
        <v>0.92803737733236802</v>
      </c>
    </row>
    <row r="17" spans="1:26" x14ac:dyDescent="0.3">
      <c r="A17" s="5">
        <f>A16+1</f>
        <v>15</v>
      </c>
      <c r="B17" s="5" t="s">
        <v>64</v>
      </c>
      <c r="C17">
        <v>1</v>
      </c>
      <c r="D17">
        <v>6.0000000000000001E-3</v>
      </c>
      <c r="E17">
        <v>3.0000000000000001E-3</v>
      </c>
      <c r="F17">
        <v>1</v>
      </c>
      <c r="G17">
        <v>1</v>
      </c>
      <c r="H17">
        <v>1</v>
      </c>
      <c r="I17" s="31">
        <v>785.03645994119199</v>
      </c>
      <c r="J17" s="29">
        <v>17.021603884104099</v>
      </c>
      <c r="K17" s="29">
        <v>36.688661426728103</v>
      </c>
      <c r="L17" s="35">
        <v>54.410831152135103</v>
      </c>
      <c r="M17" s="31">
        <v>25.015973284441799</v>
      </c>
      <c r="N17">
        <v>0.01</v>
      </c>
      <c r="O17">
        <v>1</v>
      </c>
      <c r="P17">
        <v>24.5</v>
      </c>
      <c r="Q17" s="22">
        <v>9.5999999999999992E-3</v>
      </c>
      <c r="R17">
        <v>2</v>
      </c>
      <c r="S17" s="42" t="s">
        <v>29</v>
      </c>
      <c r="T17" s="34" t="s">
        <v>29</v>
      </c>
      <c r="U17" s="36">
        <v>15.0309331111009</v>
      </c>
      <c r="V17">
        <v>0.01</v>
      </c>
      <c r="W17" s="42" t="s">
        <v>29</v>
      </c>
      <c r="X17" s="42" t="s">
        <v>29</v>
      </c>
      <c r="Y17" s="29">
        <v>1.4127451171512</v>
      </c>
      <c r="Z17" s="35">
        <v>0.90461915335274701</v>
      </c>
    </row>
    <row r="18" spans="1:26" x14ac:dyDescent="0.3">
      <c r="A18" s="5">
        <f>A17+1</f>
        <v>16</v>
      </c>
      <c r="B18" s="5" t="s">
        <v>64</v>
      </c>
      <c r="C18">
        <v>1</v>
      </c>
      <c r="D18">
        <v>6.0000000000000001E-3</v>
      </c>
      <c r="E18">
        <v>3.0000000000000001E-3</v>
      </c>
      <c r="F18">
        <v>1</v>
      </c>
      <c r="G18">
        <v>1</v>
      </c>
      <c r="H18">
        <v>1</v>
      </c>
      <c r="I18" s="31">
        <v>772.38825548034094</v>
      </c>
      <c r="J18" s="29">
        <v>16.897695186159901</v>
      </c>
      <c r="K18" s="29">
        <v>36.700587763526599</v>
      </c>
      <c r="L18" s="35">
        <v>54.447041618805201</v>
      </c>
      <c r="M18" s="31">
        <v>30.0319474829485</v>
      </c>
      <c r="N18">
        <v>0.01</v>
      </c>
      <c r="O18">
        <v>1</v>
      </c>
      <c r="P18">
        <v>24.5</v>
      </c>
      <c r="Q18">
        <v>9.5999999999999992E-3</v>
      </c>
      <c r="R18">
        <v>2</v>
      </c>
      <c r="S18" s="42" t="s">
        <v>29</v>
      </c>
      <c r="T18" s="34" t="s">
        <v>29</v>
      </c>
      <c r="U18" s="30">
        <v>15.4042742634477</v>
      </c>
      <c r="V18">
        <v>0.01</v>
      </c>
      <c r="W18" s="42" t="s">
        <v>29</v>
      </c>
      <c r="X18" s="42" t="s">
        <v>29</v>
      </c>
      <c r="Y18" s="29">
        <v>1.3990196365798699</v>
      </c>
      <c r="Z18" s="35">
        <v>0.91108369206782802</v>
      </c>
    </row>
    <row r="19" spans="1:26" x14ac:dyDescent="0.3">
      <c r="A19" s="5">
        <f>A18+1</f>
        <v>17</v>
      </c>
      <c r="B19" s="5" t="s">
        <v>64</v>
      </c>
      <c r="C19">
        <v>1</v>
      </c>
      <c r="D19">
        <v>6.0000000000000001E-3</v>
      </c>
      <c r="E19">
        <v>3.0000000000000001E-3</v>
      </c>
      <c r="F19">
        <v>1</v>
      </c>
      <c r="G19">
        <v>1</v>
      </c>
      <c r="H19">
        <v>1</v>
      </c>
      <c r="I19" s="31">
        <v>760.16283877528804</v>
      </c>
      <c r="J19" s="29">
        <v>16.777009084014701</v>
      </c>
      <c r="K19" s="29">
        <v>36.712433594637901</v>
      </c>
      <c r="L19" s="35">
        <v>54.482925860094902</v>
      </c>
      <c r="M19" s="31">
        <v>35.015976026636501</v>
      </c>
      <c r="N19">
        <v>0.01</v>
      </c>
      <c r="O19">
        <v>1</v>
      </c>
      <c r="P19">
        <v>24.5</v>
      </c>
      <c r="Q19">
        <v>9.5999999999999992E-3</v>
      </c>
      <c r="R19">
        <v>2</v>
      </c>
      <c r="S19" s="42" t="s">
        <v>29</v>
      </c>
      <c r="T19" s="34" t="s">
        <v>29</v>
      </c>
      <c r="U19" s="30">
        <v>15.766751059681299</v>
      </c>
      <c r="V19">
        <v>0.01</v>
      </c>
      <c r="W19" s="42" t="s">
        <v>29</v>
      </c>
      <c r="X19" s="42" t="s">
        <v>29</v>
      </c>
      <c r="Y19" s="29">
        <v>1.3833333730697699</v>
      </c>
      <c r="Z19" s="35">
        <v>0.91498968807563497</v>
      </c>
    </row>
    <row r="20" spans="1:26" x14ac:dyDescent="0.3">
      <c r="A20" s="5">
        <f>A19+1</f>
        <v>18</v>
      </c>
      <c r="B20" s="5" t="s">
        <v>64</v>
      </c>
      <c r="C20">
        <v>1</v>
      </c>
      <c r="D20">
        <v>6.0000000000000001E-3</v>
      </c>
      <c r="E20">
        <v>3.0000000000000001E-3</v>
      </c>
      <c r="F20">
        <v>1</v>
      </c>
      <c r="G20">
        <v>1</v>
      </c>
      <c r="H20">
        <v>1</v>
      </c>
      <c r="I20" s="31">
        <v>748.571518132292</v>
      </c>
      <c r="J20" s="29">
        <v>16.661728525158001</v>
      </c>
      <c r="K20" s="29">
        <v>36.723967932069101</v>
      </c>
      <c r="L20" s="35">
        <v>54.517786887695202</v>
      </c>
      <c r="M20" s="31">
        <v>40.031949311078399</v>
      </c>
      <c r="N20">
        <v>0.01</v>
      </c>
      <c r="O20">
        <v>1</v>
      </c>
      <c r="P20">
        <v>24.5</v>
      </c>
      <c r="Q20">
        <v>9.5999999999999992E-3</v>
      </c>
      <c r="R20">
        <v>2</v>
      </c>
      <c r="S20" s="42" t="s">
        <v>29</v>
      </c>
      <c r="T20" s="34" t="s">
        <v>29</v>
      </c>
      <c r="U20" s="30">
        <v>15.949965166054801</v>
      </c>
      <c r="V20">
        <v>0.01</v>
      </c>
      <c r="W20" s="42" t="s">
        <v>29</v>
      </c>
      <c r="X20" s="42" t="s">
        <v>29</v>
      </c>
      <c r="Y20" s="29">
        <v>1.3774509962042301</v>
      </c>
      <c r="Z20" s="35">
        <v>0.92428391444542102</v>
      </c>
    </row>
    <row r="21" spans="1:26" x14ac:dyDescent="0.3">
      <c r="A21" s="5">
        <f>A20+1</f>
        <v>19</v>
      </c>
      <c r="B21" s="5" t="s">
        <v>64</v>
      </c>
      <c r="C21">
        <v>1</v>
      </c>
      <c r="D21">
        <v>6.0000000000000001E-3</v>
      </c>
      <c r="E21">
        <v>3.0000000000000001E-3</v>
      </c>
      <c r="F21">
        <v>1</v>
      </c>
      <c r="G21">
        <v>1</v>
      </c>
      <c r="H21">
        <v>1</v>
      </c>
      <c r="I21" s="31">
        <v>783.33873242264997</v>
      </c>
      <c r="J21" s="29">
        <v>17.005027406965599</v>
      </c>
      <c r="K21" s="29">
        <v>36.690243383297698</v>
      </c>
      <c r="L21" s="35">
        <v>54.415638955855499</v>
      </c>
      <c r="M21" s="31">
        <v>24.984023973363399</v>
      </c>
      <c r="N21">
        <v>0.01</v>
      </c>
      <c r="O21">
        <v>1</v>
      </c>
      <c r="P21" s="31">
        <v>24.984023973363399</v>
      </c>
      <c r="Q21">
        <v>0.01</v>
      </c>
      <c r="R21">
        <v>2</v>
      </c>
      <c r="S21" s="42" t="s">
        <v>29</v>
      </c>
      <c r="T21" s="34" t="s">
        <v>29</v>
      </c>
      <c r="U21" s="30">
        <v>15.778094524390401</v>
      </c>
      <c r="V21">
        <v>0.01</v>
      </c>
      <c r="W21" s="42" t="s">
        <v>29</v>
      </c>
      <c r="X21" s="42" t="s">
        <v>29</v>
      </c>
      <c r="Y21" s="29">
        <v>1.3068627262610399</v>
      </c>
      <c r="Z21" s="35">
        <v>0.836819776275598</v>
      </c>
    </row>
    <row r="22" spans="1:26" x14ac:dyDescent="0.3">
      <c r="A22" s="5">
        <f>A21+1</f>
        <v>20</v>
      </c>
      <c r="B22" s="5" t="s">
        <v>64</v>
      </c>
      <c r="C22">
        <v>1</v>
      </c>
      <c r="D22">
        <v>6.0000000000000001E-3</v>
      </c>
      <c r="E22">
        <v>3.0000000000000001E-3</v>
      </c>
      <c r="F22">
        <v>1</v>
      </c>
      <c r="G22">
        <v>1</v>
      </c>
      <c r="H22">
        <v>1</v>
      </c>
      <c r="I22" s="31">
        <v>770.11184897331998</v>
      </c>
      <c r="J22" s="29">
        <v>16.875292209119401</v>
      </c>
      <c r="K22" s="29">
        <v>36.702769336609599</v>
      </c>
      <c r="L22" s="35">
        <v>54.453656360500901</v>
      </c>
      <c r="M22" s="31">
        <v>29.984024887428301</v>
      </c>
      <c r="N22">
        <v>0.01</v>
      </c>
      <c r="O22">
        <v>1</v>
      </c>
      <c r="P22" s="31">
        <v>29.984024887428301</v>
      </c>
      <c r="Q22">
        <v>0.01</v>
      </c>
      <c r="R22">
        <v>2</v>
      </c>
      <c r="S22" s="42" t="s">
        <v>29</v>
      </c>
      <c r="T22" s="34" t="s">
        <v>29</v>
      </c>
      <c r="U22" s="30">
        <v>16.437328715266698</v>
      </c>
      <c r="V22">
        <v>0.01</v>
      </c>
      <c r="W22" s="42" t="s">
        <v>29</v>
      </c>
      <c r="X22" s="42" t="s">
        <v>29</v>
      </c>
      <c r="Y22" s="29">
        <v>1.3</v>
      </c>
      <c r="Z22" s="35">
        <v>0.84659912438968599</v>
      </c>
    </row>
    <row r="23" spans="1:26" x14ac:dyDescent="0.3">
      <c r="A23" s="5">
        <f>A22+1</f>
        <v>21</v>
      </c>
      <c r="B23" s="5" t="s">
        <v>64</v>
      </c>
      <c r="C23">
        <v>1</v>
      </c>
      <c r="D23">
        <v>6.0000000000000001E-3</v>
      </c>
      <c r="E23">
        <v>3.0000000000000001E-3</v>
      </c>
      <c r="F23">
        <v>1</v>
      </c>
      <c r="G23">
        <v>1</v>
      </c>
      <c r="H23">
        <v>1</v>
      </c>
      <c r="I23" s="31">
        <v>757.33532068000102</v>
      </c>
      <c r="J23" s="29">
        <v>16.748965629223701</v>
      </c>
      <c r="K23" s="29">
        <v>36.715219479804702</v>
      </c>
      <c r="L23" s="35">
        <v>54.491353077965101</v>
      </c>
      <c r="M23" s="31">
        <v>35.031948397013402</v>
      </c>
      <c r="N23">
        <v>0.01</v>
      </c>
      <c r="O23">
        <v>1</v>
      </c>
      <c r="P23" s="31">
        <v>35.031948397013402</v>
      </c>
      <c r="Q23">
        <v>0.01</v>
      </c>
      <c r="R23">
        <v>2</v>
      </c>
      <c r="S23" s="42" t="s">
        <v>29</v>
      </c>
      <c r="T23" s="34" t="s">
        <v>29</v>
      </c>
      <c r="U23" s="30">
        <v>17.007166583594401</v>
      </c>
      <c r="V23">
        <v>0.01</v>
      </c>
      <c r="W23" s="42" t="s">
        <v>29</v>
      </c>
      <c r="X23" s="42" t="s">
        <v>29</v>
      </c>
      <c r="Y23" s="29">
        <v>1.29411765118371</v>
      </c>
      <c r="Z23" s="35">
        <v>0.85597899171168401</v>
      </c>
    </row>
    <row r="24" spans="1:26" x14ac:dyDescent="0.3">
      <c r="A24" s="5">
        <f>A23+1</f>
        <v>22</v>
      </c>
      <c r="B24" s="5" t="s">
        <v>64</v>
      </c>
      <c r="C24">
        <v>1</v>
      </c>
      <c r="D24">
        <v>6.0000000000000001E-3</v>
      </c>
      <c r="E24">
        <v>3.0000000000000001E-3</v>
      </c>
      <c r="F24">
        <v>1</v>
      </c>
      <c r="G24">
        <v>1</v>
      </c>
      <c r="H24">
        <v>1</v>
      </c>
      <c r="I24" s="31">
        <v>745.341395324735</v>
      </c>
      <c r="J24" s="29">
        <v>16.629452893516198</v>
      </c>
      <c r="K24" s="29">
        <v>36.727236629243698</v>
      </c>
      <c r="L24" s="35">
        <v>54.527651630825403</v>
      </c>
      <c r="M24" s="31">
        <v>40.031949311078399</v>
      </c>
      <c r="N24">
        <v>0.01</v>
      </c>
      <c r="O24">
        <v>1</v>
      </c>
      <c r="P24" s="31">
        <v>40.031949311078399</v>
      </c>
      <c r="Q24">
        <v>0.01</v>
      </c>
      <c r="R24">
        <v>2</v>
      </c>
      <c r="S24" s="42" t="s">
        <v>29</v>
      </c>
      <c r="T24" s="34" t="s">
        <v>29</v>
      </c>
      <c r="U24" s="30">
        <v>17.422067353623699</v>
      </c>
      <c r="V24">
        <v>0.01</v>
      </c>
      <c r="W24" s="42" t="s">
        <v>29</v>
      </c>
      <c r="X24" s="42" t="s">
        <v>29</v>
      </c>
      <c r="Y24" s="29">
        <v>1.2931372456896999</v>
      </c>
      <c r="Z24" s="35">
        <v>0.86770851312960395</v>
      </c>
    </row>
    <row r="25" spans="1:26" x14ac:dyDescent="0.3">
      <c r="A25" s="5">
        <f>A24+1</f>
        <v>23</v>
      </c>
      <c r="B25" s="5" t="s">
        <v>68</v>
      </c>
      <c r="C25" s="30">
        <v>0.301284776895972</v>
      </c>
      <c r="D25">
        <v>6.0000000000000001E-3</v>
      </c>
      <c r="E25">
        <v>3.0000000000000001E-3</v>
      </c>
      <c r="F25">
        <v>1</v>
      </c>
      <c r="G25">
        <v>1</v>
      </c>
      <c r="H25">
        <v>1</v>
      </c>
      <c r="I25" s="31">
        <v>749.26534553170995</v>
      </c>
      <c r="J25" s="29">
        <v>16.6686526715953</v>
      </c>
      <c r="K25" s="29">
        <v>36.723268963230602</v>
      </c>
      <c r="L25" s="35">
        <v>54.515676602551501</v>
      </c>
      <c r="M25" s="31">
        <v>30</v>
      </c>
      <c r="N25">
        <v>0.01</v>
      </c>
      <c r="O25">
        <v>1</v>
      </c>
      <c r="P25" s="31">
        <v>30</v>
      </c>
      <c r="Q25">
        <v>0.01</v>
      </c>
      <c r="R25">
        <v>2</v>
      </c>
      <c r="S25" s="42" t="s">
        <v>29</v>
      </c>
      <c r="T25" s="34" t="s">
        <v>29</v>
      </c>
      <c r="U25" s="30">
        <v>25.667047792912001</v>
      </c>
      <c r="V25">
        <v>0.01</v>
      </c>
      <c r="W25" s="42" t="s">
        <v>29</v>
      </c>
      <c r="X25" s="42" t="s">
        <v>29</v>
      </c>
      <c r="Y25" s="29">
        <v>0.41531920613072099</v>
      </c>
      <c r="Z25" s="35">
        <v>0.27046836626293802</v>
      </c>
    </row>
    <row r="26" spans="1:26" x14ac:dyDescent="0.3">
      <c r="A26" s="5">
        <f>A25+1</f>
        <v>24</v>
      </c>
      <c r="B26" s="5" t="s">
        <v>68</v>
      </c>
      <c r="C26" s="30">
        <v>0.49914343305825298</v>
      </c>
      <c r="D26">
        <v>6.0000000000000001E-3</v>
      </c>
      <c r="E26">
        <v>3.0000000000000001E-3</v>
      </c>
      <c r="F26">
        <v>1</v>
      </c>
      <c r="G26">
        <v>1</v>
      </c>
      <c r="H26">
        <v>1</v>
      </c>
      <c r="I26" s="31">
        <v>760.92310534084299</v>
      </c>
      <c r="J26" s="29">
        <v>16.784540989952699</v>
      </c>
      <c r="K26" s="29">
        <v>36.711687524969399</v>
      </c>
      <c r="L26" s="35">
        <v>54.480668243680697</v>
      </c>
      <c r="M26" s="31">
        <v>30</v>
      </c>
      <c r="N26">
        <v>0.01</v>
      </c>
      <c r="O26">
        <v>1</v>
      </c>
      <c r="P26" s="31">
        <v>30</v>
      </c>
      <c r="Q26">
        <v>0.01</v>
      </c>
      <c r="R26">
        <v>2</v>
      </c>
      <c r="S26" s="42" t="s">
        <v>29</v>
      </c>
      <c r="T26" s="34" t="s">
        <v>29</v>
      </c>
      <c r="U26" s="30">
        <v>20.4461960720413</v>
      </c>
      <c r="V26">
        <v>0.01</v>
      </c>
      <c r="W26" s="42" t="s">
        <v>29</v>
      </c>
      <c r="X26" s="42" t="s">
        <v>29</v>
      </c>
      <c r="Y26" s="29">
        <v>0.91574475586710502</v>
      </c>
      <c r="Z26" s="35">
        <v>0.59636054507234404</v>
      </c>
    </row>
    <row r="27" spans="1:26" x14ac:dyDescent="0.3">
      <c r="A27" s="5">
        <f>A26+1</f>
        <v>25</v>
      </c>
      <c r="B27" s="5" t="s">
        <v>68</v>
      </c>
      <c r="C27" s="30">
        <v>0.79978578474791706</v>
      </c>
      <c r="D27">
        <v>6.0000000000000001E-3</v>
      </c>
      <c r="E27">
        <v>3.0000000000000001E-3</v>
      </c>
      <c r="F27">
        <v>1</v>
      </c>
      <c r="G27">
        <v>1</v>
      </c>
      <c r="H27">
        <v>1</v>
      </c>
      <c r="I27" s="31">
        <v>767.35052140716596</v>
      </c>
      <c r="J27" s="29">
        <v>16.848074685577298</v>
      </c>
      <c r="K27" s="29">
        <v>36.705430326367598</v>
      </c>
      <c r="L27" s="35">
        <v>54.461720984109498</v>
      </c>
      <c r="M27" s="31">
        <v>30</v>
      </c>
      <c r="N27">
        <v>0.01</v>
      </c>
      <c r="O27">
        <v>1</v>
      </c>
      <c r="P27" s="31">
        <v>30</v>
      </c>
      <c r="Q27">
        <v>0.01</v>
      </c>
      <c r="R27">
        <v>2</v>
      </c>
      <c r="S27" s="42" t="s">
        <v>29</v>
      </c>
      <c r="T27" s="34" t="s">
        <v>29</v>
      </c>
      <c r="U27" s="30">
        <v>17.622675471318299</v>
      </c>
      <c r="V27">
        <v>0.01</v>
      </c>
      <c r="W27" s="42" t="s">
        <v>29</v>
      </c>
      <c r="X27" s="42" t="s">
        <v>29</v>
      </c>
      <c r="Y27" s="29">
        <v>1.1863829441165501</v>
      </c>
      <c r="Z27" s="35">
        <v>0.77260827813942901</v>
      </c>
    </row>
    <row r="28" spans="1:26" x14ac:dyDescent="0.3">
      <c r="A28" s="5">
        <f>A27+1</f>
        <v>26</v>
      </c>
      <c r="B28" s="5" t="s">
        <v>68</v>
      </c>
      <c r="C28" s="30">
        <v>0.99764451442684499</v>
      </c>
      <c r="D28">
        <v>6.0000000000000001E-3</v>
      </c>
      <c r="E28">
        <v>3.0000000000000001E-3</v>
      </c>
      <c r="F28">
        <v>1</v>
      </c>
      <c r="G28">
        <v>1</v>
      </c>
      <c r="H28">
        <v>1</v>
      </c>
      <c r="I28" s="31">
        <v>770.12619435771796</v>
      </c>
      <c r="J28" s="29">
        <v>16.875433485810099</v>
      </c>
      <c r="K28" s="29">
        <v>36.702755554558998</v>
      </c>
      <c r="L28" s="35">
        <v>54.453614580881101</v>
      </c>
      <c r="M28" s="31">
        <v>30</v>
      </c>
      <c r="N28">
        <v>0.01</v>
      </c>
      <c r="O28">
        <v>1</v>
      </c>
      <c r="P28" s="31">
        <v>30</v>
      </c>
      <c r="Q28">
        <v>0.01</v>
      </c>
      <c r="R28">
        <v>2</v>
      </c>
      <c r="S28" s="42" t="s">
        <v>29</v>
      </c>
      <c r="T28" s="34" t="s">
        <v>29</v>
      </c>
      <c r="U28" s="30">
        <v>16.415130795503199</v>
      </c>
      <c r="V28">
        <v>0.01</v>
      </c>
      <c r="W28" s="42" t="s">
        <v>29</v>
      </c>
      <c r="X28" s="42" t="s">
        <v>29</v>
      </c>
      <c r="Y28" s="29">
        <v>1.30212769998366</v>
      </c>
      <c r="Z28" s="35">
        <v>0.84798474666427404</v>
      </c>
    </row>
    <row r="29" spans="1:26" x14ac:dyDescent="0.3">
      <c r="A29" s="5">
        <f>A28+1</f>
        <v>27</v>
      </c>
      <c r="B29" s="5" t="s">
        <v>68</v>
      </c>
      <c r="C29" s="30">
        <v>1.198072797897717</v>
      </c>
      <c r="D29">
        <v>6.0000000000000001E-3</v>
      </c>
      <c r="E29">
        <v>3.0000000000000001E-3</v>
      </c>
      <c r="F29">
        <v>1</v>
      </c>
      <c r="G29">
        <v>1</v>
      </c>
      <c r="H29">
        <v>1</v>
      </c>
      <c r="I29" s="31">
        <v>771.64330884277797</v>
      </c>
      <c r="J29" s="29">
        <v>16.8903673403337</v>
      </c>
      <c r="K29" s="29">
        <v>36.701300476801102</v>
      </c>
      <c r="L29" s="35">
        <v>54.449202940596102</v>
      </c>
      <c r="M29" s="31">
        <v>30</v>
      </c>
      <c r="N29">
        <v>0.01</v>
      </c>
      <c r="O29">
        <v>1</v>
      </c>
      <c r="P29" s="31">
        <v>30</v>
      </c>
      <c r="Q29">
        <v>0.01</v>
      </c>
      <c r="R29">
        <v>2</v>
      </c>
      <c r="S29" s="42" t="s">
        <v>29</v>
      </c>
      <c r="T29" s="34" t="s">
        <v>29</v>
      </c>
      <c r="U29" s="30">
        <v>15.758085787115901</v>
      </c>
      <c r="V29">
        <v>0.01</v>
      </c>
      <c r="W29" s="42" t="s">
        <v>29</v>
      </c>
      <c r="X29" s="42" t="s">
        <v>29</v>
      </c>
      <c r="Y29" s="29">
        <v>1.3651063338660101</v>
      </c>
      <c r="Z29" s="35">
        <v>0.88899832851016503</v>
      </c>
    </row>
    <row r="30" spans="1:26" x14ac:dyDescent="0.3">
      <c r="A30" s="5">
        <f>A29+1</f>
        <v>28</v>
      </c>
      <c r="B30" s="5" t="s">
        <v>68</v>
      </c>
      <c r="C30" s="30">
        <v>1.4961455957954342</v>
      </c>
      <c r="D30">
        <v>6.0000000000000001E-3</v>
      </c>
      <c r="E30">
        <v>3.0000000000000001E-3</v>
      </c>
      <c r="F30">
        <v>1</v>
      </c>
      <c r="G30">
        <v>1</v>
      </c>
      <c r="H30">
        <v>1</v>
      </c>
      <c r="I30" s="31">
        <v>773.37130570137003</v>
      </c>
      <c r="J30" s="29">
        <v>16.9073600586044</v>
      </c>
      <c r="K30" s="29">
        <v>36.699649024610899</v>
      </c>
      <c r="L30" s="35">
        <v>54.444194420984097</v>
      </c>
      <c r="M30" s="31">
        <v>30</v>
      </c>
      <c r="N30">
        <v>0.01</v>
      </c>
      <c r="O30">
        <v>1</v>
      </c>
      <c r="P30" s="31">
        <v>30</v>
      </c>
      <c r="Q30">
        <v>0.01</v>
      </c>
      <c r="R30">
        <v>2</v>
      </c>
      <c r="S30" s="42" t="s">
        <v>29</v>
      </c>
      <c r="T30" s="34" t="s">
        <v>29</v>
      </c>
      <c r="U30" s="30">
        <v>15.0122490996746</v>
      </c>
      <c r="V30">
        <v>0.01</v>
      </c>
      <c r="W30" s="42" t="s">
        <v>29</v>
      </c>
      <c r="X30" s="42" t="s">
        <v>29</v>
      </c>
      <c r="Y30" s="29">
        <v>1.4365957676829999</v>
      </c>
      <c r="Z30" s="35">
        <v>0.93555439945440699</v>
      </c>
    </row>
    <row r="31" spans="1:26" x14ac:dyDescent="0.3">
      <c r="A31" s="5">
        <f>A30+1</f>
        <v>29</v>
      </c>
      <c r="B31" s="5" t="s">
        <v>68</v>
      </c>
      <c r="C31" s="30">
        <v>0.30513910758389101</v>
      </c>
      <c r="D31">
        <v>0.01</v>
      </c>
      <c r="E31">
        <v>5.0000000000000001E-3</v>
      </c>
      <c r="F31">
        <v>1</v>
      </c>
      <c r="G31">
        <v>1</v>
      </c>
      <c r="H31">
        <v>1</v>
      </c>
      <c r="I31" s="31">
        <v>1240.0790793334199</v>
      </c>
      <c r="J31" s="29">
        <v>20.869826879554399</v>
      </c>
      <c r="K31" s="29">
        <v>27.6779697124168</v>
      </c>
      <c r="L31" s="35">
        <v>40.6963228460721</v>
      </c>
      <c r="M31" s="31">
        <v>30</v>
      </c>
      <c r="N31">
        <v>0.01</v>
      </c>
      <c r="O31">
        <v>1</v>
      </c>
      <c r="P31" s="31">
        <v>30</v>
      </c>
      <c r="Q31">
        <v>0.01</v>
      </c>
      <c r="R31">
        <v>2</v>
      </c>
      <c r="S31" s="42" t="s">
        <v>29</v>
      </c>
      <c r="T31" s="34" t="s">
        <v>29</v>
      </c>
      <c r="U31" s="30">
        <v>28.0466206711443</v>
      </c>
      <c r="V31">
        <v>0.01</v>
      </c>
      <c r="W31" s="42" t="s">
        <v>29</v>
      </c>
      <c r="X31" s="42" t="s">
        <v>29</v>
      </c>
      <c r="Y31" s="29">
        <v>0.18723399489106499</v>
      </c>
      <c r="Z31" s="35">
        <v>0.121932412479218</v>
      </c>
    </row>
    <row r="32" spans="1:26" x14ac:dyDescent="0.3">
      <c r="A32" s="5">
        <f>A31+1</f>
        <v>30</v>
      </c>
      <c r="B32" s="5" t="s">
        <v>68</v>
      </c>
      <c r="C32" s="30">
        <v>0.5</v>
      </c>
      <c r="D32">
        <v>0.01</v>
      </c>
      <c r="E32">
        <v>5.0000000000000001E-3</v>
      </c>
      <c r="F32">
        <v>1</v>
      </c>
      <c r="G32">
        <v>1</v>
      </c>
      <c r="H32">
        <v>1</v>
      </c>
      <c r="I32" s="31">
        <v>1250.40897430787</v>
      </c>
      <c r="J32" s="29">
        <v>20.949768962860801</v>
      </c>
      <c r="K32" s="29">
        <v>27.676110466349002</v>
      </c>
      <c r="L32" s="35">
        <v>40.687660507845898</v>
      </c>
      <c r="M32" s="31">
        <v>30</v>
      </c>
      <c r="N32">
        <v>0.01</v>
      </c>
      <c r="O32">
        <v>1</v>
      </c>
      <c r="P32" s="31">
        <v>30</v>
      </c>
      <c r="Q32">
        <v>0.01</v>
      </c>
      <c r="R32">
        <v>2</v>
      </c>
      <c r="S32" s="42" t="s">
        <v>29</v>
      </c>
      <c r="T32" s="34" t="s">
        <v>29</v>
      </c>
      <c r="U32" s="30">
        <v>25.223097524812299</v>
      </c>
      <c r="V32">
        <v>0.01</v>
      </c>
      <c r="W32" s="42" t="s">
        <v>29</v>
      </c>
      <c r="X32" s="42" t="s">
        <v>29</v>
      </c>
      <c r="Y32" s="29">
        <v>0.45787242663181099</v>
      </c>
      <c r="Z32" s="35">
        <v>0.298180304446447</v>
      </c>
    </row>
    <row r="33" spans="1:26" x14ac:dyDescent="0.3">
      <c r="A33" s="5">
        <f>A32+1</f>
        <v>31</v>
      </c>
      <c r="B33" s="5" t="s">
        <v>68</v>
      </c>
      <c r="C33" s="30">
        <v>0.7997858092534651</v>
      </c>
      <c r="D33">
        <v>0.01</v>
      </c>
      <c r="E33">
        <v>5.0000000000000001E-3</v>
      </c>
      <c r="F33">
        <v>1</v>
      </c>
      <c r="G33">
        <v>1</v>
      </c>
      <c r="H33">
        <v>1</v>
      </c>
      <c r="I33" s="31">
        <v>1264.7998319476401</v>
      </c>
      <c r="J33" s="29">
        <v>21.0606176934517</v>
      </c>
      <c r="K33" s="29">
        <v>27.673574925721599</v>
      </c>
      <c r="L33" s="35">
        <v>40.675787469366803</v>
      </c>
      <c r="M33" s="31">
        <v>30</v>
      </c>
      <c r="N33">
        <v>0.01</v>
      </c>
      <c r="O33">
        <v>1</v>
      </c>
      <c r="P33" s="31">
        <v>30</v>
      </c>
      <c r="Q33">
        <v>0.01</v>
      </c>
      <c r="R33">
        <v>2</v>
      </c>
      <c r="S33" s="42" t="s">
        <v>29</v>
      </c>
      <c r="T33" s="34" t="s">
        <v>29</v>
      </c>
      <c r="U33" s="30">
        <v>21.3518543285149</v>
      </c>
      <c r="V33">
        <v>0.01</v>
      </c>
      <c r="W33" s="42" t="s">
        <v>29</v>
      </c>
      <c r="X33" s="42" t="s">
        <v>29</v>
      </c>
      <c r="Y33" s="29">
        <v>0.82893621331590495</v>
      </c>
      <c r="Z33" s="35">
        <v>0.53982820930823305</v>
      </c>
    </row>
    <row r="34" spans="1:26" x14ac:dyDescent="0.3">
      <c r="A34" s="5">
        <f>A33+1</f>
        <v>32</v>
      </c>
      <c r="B34" s="5" t="s">
        <v>68</v>
      </c>
      <c r="C34" s="30">
        <v>1.00107070867718</v>
      </c>
      <c r="D34">
        <v>0.01</v>
      </c>
      <c r="E34">
        <v>5.0000000000000001E-3</v>
      </c>
      <c r="F34">
        <v>1</v>
      </c>
      <c r="G34">
        <v>1</v>
      </c>
      <c r="H34">
        <v>1</v>
      </c>
      <c r="I34" s="31">
        <v>1272.0287204456799</v>
      </c>
      <c r="J34" s="29">
        <v>21.1160738162495</v>
      </c>
      <c r="K34" s="29">
        <v>27.672324517789502</v>
      </c>
      <c r="L34" s="35">
        <v>40.669906786420697</v>
      </c>
      <c r="M34" s="31">
        <v>30</v>
      </c>
      <c r="N34">
        <v>0.01</v>
      </c>
      <c r="O34">
        <v>1</v>
      </c>
      <c r="P34" s="31">
        <v>30</v>
      </c>
      <c r="Q34">
        <v>0.01</v>
      </c>
      <c r="R34">
        <v>2</v>
      </c>
      <c r="S34" s="42" t="s">
        <v>29</v>
      </c>
      <c r="T34" s="34" t="s">
        <v>29</v>
      </c>
      <c r="U34" s="30">
        <v>19.433990450640302</v>
      </c>
      <c r="V34">
        <v>0.01</v>
      </c>
      <c r="W34" s="42" t="s">
        <v>29</v>
      </c>
      <c r="X34" s="42" t="s">
        <v>29</v>
      </c>
      <c r="Y34" s="29">
        <v>1.01276600510893</v>
      </c>
      <c r="Z34" s="35">
        <v>0.65954370234203097</v>
      </c>
    </row>
    <row r="35" spans="1:26" x14ac:dyDescent="0.3">
      <c r="A35" s="5">
        <f>A34+1</f>
        <v>33</v>
      </c>
      <c r="B35" s="5" t="s">
        <v>68</v>
      </c>
      <c r="C35" s="30">
        <v>1.2002140682187901</v>
      </c>
      <c r="D35">
        <v>0.01</v>
      </c>
      <c r="E35">
        <v>5.0000000000000001E-3</v>
      </c>
      <c r="F35">
        <v>1</v>
      </c>
      <c r="G35">
        <v>1</v>
      </c>
      <c r="H35">
        <v>1</v>
      </c>
      <c r="I35" s="31">
        <v>1277.02049451788</v>
      </c>
      <c r="J35" s="29">
        <v>21.154280701797401</v>
      </c>
      <c r="K35" s="29">
        <v>27.671469920626102</v>
      </c>
      <c r="L35" s="35">
        <v>40.665877904072502</v>
      </c>
      <c r="M35" s="31">
        <v>30</v>
      </c>
      <c r="N35">
        <v>0.01</v>
      </c>
      <c r="O35">
        <v>1</v>
      </c>
      <c r="P35" s="31">
        <v>30</v>
      </c>
      <c r="Q35">
        <v>0.01</v>
      </c>
      <c r="R35">
        <v>2</v>
      </c>
      <c r="S35" s="42" t="s">
        <v>29</v>
      </c>
      <c r="T35" s="34" t="s">
        <v>29</v>
      </c>
      <c r="U35" s="30">
        <v>18.119898910673299</v>
      </c>
      <c r="V35">
        <v>0.01</v>
      </c>
      <c r="W35" s="42" t="s">
        <v>29</v>
      </c>
      <c r="X35" s="42" t="s">
        <v>29</v>
      </c>
      <c r="Y35" s="29">
        <v>1.1387234189684099</v>
      </c>
      <c r="Z35" s="35">
        <v>0.74157096111340803</v>
      </c>
    </row>
    <row r="36" spans="1:26" x14ac:dyDescent="0.3">
      <c r="A36" s="5">
        <f>A35+1</f>
        <v>34</v>
      </c>
      <c r="B36" s="5" t="s">
        <v>68</v>
      </c>
      <c r="C36" s="30">
        <v>1.4978587051733749</v>
      </c>
      <c r="D36">
        <v>0.01</v>
      </c>
      <c r="E36">
        <v>5.0000000000000001E-3</v>
      </c>
      <c r="F36">
        <v>1</v>
      </c>
      <c r="G36">
        <v>1</v>
      </c>
      <c r="H36">
        <v>1</v>
      </c>
      <c r="I36" s="31">
        <v>1281.6355101460099</v>
      </c>
      <c r="J36" s="29">
        <v>21.189540843853599</v>
      </c>
      <c r="K36" s="29">
        <v>27.670686152120901</v>
      </c>
      <c r="L36" s="35">
        <v>40.662176002991998</v>
      </c>
      <c r="M36" s="31">
        <v>30</v>
      </c>
      <c r="N36">
        <v>0.01</v>
      </c>
      <c r="O36">
        <v>1</v>
      </c>
      <c r="P36" s="31">
        <v>30</v>
      </c>
      <c r="Q36">
        <v>0.01</v>
      </c>
      <c r="R36">
        <v>2</v>
      </c>
      <c r="S36" s="42" t="s">
        <v>29</v>
      </c>
      <c r="T36" s="34" t="s">
        <v>29</v>
      </c>
      <c r="U36" s="30">
        <v>16.912355758050499</v>
      </c>
      <c r="V36">
        <v>0.01</v>
      </c>
      <c r="W36" s="42" t="s">
        <v>29</v>
      </c>
      <c r="X36" s="42" t="s">
        <v>29</v>
      </c>
      <c r="Y36" s="29">
        <v>1.2544680287407299</v>
      </c>
      <c r="Z36" s="35">
        <v>0.81694733455865798</v>
      </c>
    </row>
    <row r="37" spans="1:26" x14ac:dyDescent="0.3">
      <c r="A37" s="5">
        <f>A36+1</f>
        <v>35</v>
      </c>
      <c r="B37" s="5" t="s">
        <v>68</v>
      </c>
      <c r="C37" s="30">
        <v>1.994646701669575</v>
      </c>
      <c r="D37">
        <v>0.01</v>
      </c>
      <c r="E37">
        <v>5.0000000000000001E-3</v>
      </c>
      <c r="F37">
        <v>1</v>
      </c>
      <c r="G37">
        <v>1</v>
      </c>
      <c r="H37">
        <v>1</v>
      </c>
      <c r="I37" s="31">
        <v>1286.2090897165499</v>
      </c>
      <c r="J37" s="29">
        <v>21.224424962136801</v>
      </c>
      <c r="K37" s="29">
        <v>27.669915336734402</v>
      </c>
      <c r="L37" s="35">
        <v>40.658528811410299</v>
      </c>
      <c r="M37" s="31">
        <v>30</v>
      </c>
      <c r="N37">
        <v>0.01</v>
      </c>
      <c r="O37">
        <v>1</v>
      </c>
      <c r="P37" s="31">
        <v>30</v>
      </c>
      <c r="Q37">
        <v>0.01</v>
      </c>
      <c r="R37">
        <v>2</v>
      </c>
      <c r="S37" s="42" t="s">
        <v>29</v>
      </c>
      <c r="T37" s="34" t="s">
        <v>29</v>
      </c>
      <c r="U37" s="30">
        <v>15.7225693241508</v>
      </c>
      <c r="V37">
        <v>0.01</v>
      </c>
      <c r="W37" s="42" t="s">
        <v>29</v>
      </c>
      <c r="X37" s="42" t="s">
        <v>29</v>
      </c>
      <c r="Y37" s="29">
        <v>1.36851063436056</v>
      </c>
      <c r="Z37" s="35">
        <v>0.89121531112490304</v>
      </c>
    </row>
    <row r="38" spans="1:26" x14ac:dyDescent="0.3">
      <c r="A38" s="5">
        <f>A37+1</f>
        <v>36</v>
      </c>
      <c r="B38" s="5" t="s">
        <v>28</v>
      </c>
      <c r="C38">
        <v>1</v>
      </c>
      <c r="D38">
        <v>0.01</v>
      </c>
      <c r="E38">
        <v>5.0000000000000001E-3</v>
      </c>
      <c r="F38">
        <v>1</v>
      </c>
      <c r="G38">
        <v>1</v>
      </c>
      <c r="H38">
        <v>1</v>
      </c>
      <c r="I38" s="31">
        <v>1270.6335788952499</v>
      </c>
      <c r="J38" s="29">
        <v>21.105382721137701</v>
      </c>
      <c r="K38" s="29">
        <v>27.6725646524376</v>
      </c>
      <c r="L38" s="35">
        <v>40.671037451501398</v>
      </c>
      <c r="M38" s="31">
        <v>30</v>
      </c>
      <c r="N38">
        <v>0.01</v>
      </c>
      <c r="O38">
        <v>1</v>
      </c>
      <c r="P38" s="31">
        <v>30</v>
      </c>
      <c r="Q38">
        <v>0.01</v>
      </c>
      <c r="R38">
        <v>2</v>
      </c>
      <c r="S38" s="42" t="s">
        <v>29</v>
      </c>
      <c r="T38" s="34" t="s">
        <v>29</v>
      </c>
      <c r="U38" s="43">
        <v>19.802755132384601</v>
      </c>
      <c r="V38">
        <v>0.01</v>
      </c>
      <c r="W38" s="42" t="s">
        <v>29</v>
      </c>
      <c r="X38" s="42" t="s">
        <v>29</v>
      </c>
      <c r="Y38" s="29">
        <v>0.97741942182415997</v>
      </c>
      <c r="Z38" s="35">
        <v>0.63652494371282498</v>
      </c>
    </row>
    <row r="39" spans="1:26" x14ac:dyDescent="0.3">
      <c r="A39" s="5">
        <f>A38+1</f>
        <v>37</v>
      </c>
      <c r="B39" s="5" t="s">
        <v>28</v>
      </c>
      <c r="C39">
        <v>1</v>
      </c>
      <c r="D39">
        <v>0.01</v>
      </c>
      <c r="E39">
        <v>5.0000000000000001E-3</v>
      </c>
      <c r="F39">
        <v>1</v>
      </c>
      <c r="G39">
        <v>1</v>
      </c>
      <c r="H39">
        <v>1</v>
      </c>
      <c r="I39" s="31">
        <v>1887.02203993593</v>
      </c>
      <c r="J39" s="29">
        <v>25.2804755590379</v>
      </c>
      <c r="K39" s="29">
        <v>33.302403057094203</v>
      </c>
      <c r="L39" s="35">
        <v>48.640043059655099</v>
      </c>
      <c r="M39" s="31">
        <v>30</v>
      </c>
      <c r="N39">
        <v>0.01</v>
      </c>
      <c r="O39">
        <v>1.5</v>
      </c>
      <c r="P39" s="31">
        <v>30</v>
      </c>
      <c r="Q39">
        <v>0.01</v>
      </c>
      <c r="R39">
        <v>3</v>
      </c>
      <c r="S39" s="42" t="s">
        <v>29</v>
      </c>
      <c r="T39" s="34" t="s">
        <v>29</v>
      </c>
      <c r="U39" s="43">
        <v>23.168182999664999</v>
      </c>
      <c r="V39">
        <v>0.01</v>
      </c>
      <c r="W39" s="42" t="s">
        <v>29</v>
      </c>
      <c r="X39" s="42" t="s">
        <v>29</v>
      </c>
      <c r="Y39" s="29">
        <v>0.65483870521172205</v>
      </c>
      <c r="Z39" s="35">
        <v>0.42645067251498198</v>
      </c>
    </row>
    <row r="40" spans="1:26" x14ac:dyDescent="0.3">
      <c r="A40" s="5">
        <f>A39+1</f>
        <v>38</v>
      </c>
      <c r="B40" s="5" t="s">
        <v>28</v>
      </c>
      <c r="C40">
        <v>1</v>
      </c>
      <c r="D40">
        <v>0.01</v>
      </c>
      <c r="E40">
        <v>5.0000000000000001E-3</v>
      </c>
      <c r="F40">
        <v>1</v>
      </c>
      <c r="G40">
        <v>1</v>
      </c>
      <c r="H40">
        <v>1</v>
      </c>
      <c r="I40" s="31">
        <v>2496.25319287814</v>
      </c>
      <c r="J40" s="29">
        <v>11.5292488568947</v>
      </c>
      <c r="K40" s="29">
        <v>15.244001620622999</v>
      </c>
      <c r="L40" s="35">
        <v>55.3530367949854</v>
      </c>
      <c r="M40" s="31">
        <v>30</v>
      </c>
      <c r="N40">
        <v>0.01</v>
      </c>
      <c r="O40">
        <v>2</v>
      </c>
      <c r="P40" s="31">
        <v>30</v>
      </c>
      <c r="Q40">
        <v>0.01</v>
      </c>
      <c r="R40">
        <v>4</v>
      </c>
      <c r="S40" s="42" t="s">
        <v>29</v>
      </c>
      <c r="T40" s="34" t="s">
        <v>29</v>
      </c>
      <c r="U40" s="43">
        <v>25.843698216593399</v>
      </c>
      <c r="V40">
        <v>0.01</v>
      </c>
      <c r="W40" s="42" t="s">
        <v>29</v>
      </c>
      <c r="X40" s="42" t="s">
        <v>29</v>
      </c>
      <c r="Y40" s="29">
        <v>0.398387029044459</v>
      </c>
      <c r="Z40" s="35">
        <v>0.259441623015083</v>
      </c>
    </row>
    <row r="41" spans="1:26" ht="15" thickBot="1" x14ac:dyDescent="0.35">
      <c r="A41" s="7">
        <f>A40+1</f>
        <v>39</v>
      </c>
      <c r="B41" s="7" t="s">
        <v>28</v>
      </c>
      <c r="C41" s="8">
        <v>1</v>
      </c>
      <c r="D41" s="8">
        <v>0.01</v>
      </c>
      <c r="E41" s="8">
        <v>5.0000000000000001E-3</v>
      </c>
      <c r="F41" s="8">
        <v>1</v>
      </c>
      <c r="G41" s="8">
        <v>1</v>
      </c>
      <c r="H41" s="8">
        <v>1</v>
      </c>
      <c r="I41" s="44">
        <v>3106.46284376217</v>
      </c>
      <c r="J41" s="48">
        <v>14.953190814619299</v>
      </c>
      <c r="K41" s="48">
        <v>19.812447654647499</v>
      </c>
      <c r="L41" s="37">
        <v>61.263242880352699</v>
      </c>
      <c r="M41" s="44">
        <v>30</v>
      </c>
      <c r="N41" s="8">
        <v>0.01</v>
      </c>
      <c r="O41" s="8">
        <v>2.5</v>
      </c>
      <c r="P41" s="44">
        <v>30</v>
      </c>
      <c r="Q41" s="8">
        <v>0.01</v>
      </c>
      <c r="R41" s="8">
        <v>5</v>
      </c>
      <c r="S41" s="45" t="s">
        <v>29</v>
      </c>
      <c r="T41" s="46" t="s">
        <v>29</v>
      </c>
      <c r="U41" s="47">
        <v>27.358140468402102</v>
      </c>
      <c r="V41" s="8">
        <v>0.01</v>
      </c>
      <c r="W41" s="45" t="s">
        <v>29</v>
      </c>
      <c r="X41" s="45" t="s">
        <v>29</v>
      </c>
      <c r="Y41" s="48">
        <v>0.253225734256182</v>
      </c>
      <c r="Z41" s="37">
        <v>0.164908218982566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2026-01-28T07:56:52Z</dcterms:modified>
</cp:coreProperties>
</file>