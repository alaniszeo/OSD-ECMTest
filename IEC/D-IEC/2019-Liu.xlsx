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IEC\D-IEC\"/>
    </mc:Choice>
  </mc:AlternateContent>
  <xr:revisionPtr revIDLastSave="0" documentId="13_ncr:1_{D20C3B41-076E-4E5A-8402-ADB2D63AF236}" xr6:coauthVersionLast="47" xr6:coauthVersionMax="47" xr10:uidLastSave="{00000000-0000-0000-0000-000000000000}"/>
  <bookViews>
    <workbookView xWindow="-108" yWindow="-108" windowWidth="30936" windowHeight="16776" xr2:uid="{1306219A-737B-4B5D-BCFD-98C34D3C77CC}"/>
  </bookViews>
  <sheets>
    <sheet name="Liu2019" sheetId="12" r:id="rId1"/>
    <sheet name="Data" sheetId="1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3" l="1"/>
  <c r="D19" i="13"/>
  <c r="C19" i="13"/>
  <c r="E18" i="13"/>
  <c r="D18" i="13"/>
  <c r="C18" i="13"/>
  <c r="E17" i="13"/>
  <c r="D17" i="13"/>
  <c r="C17" i="13"/>
  <c r="E16" i="13"/>
  <c r="D16" i="13"/>
  <c r="C16" i="13"/>
  <c r="E15" i="13"/>
  <c r="D15" i="13"/>
  <c r="C15" i="13"/>
  <c r="E14" i="13"/>
  <c r="D14" i="13"/>
  <c r="C14" i="13"/>
  <c r="E13" i="13"/>
  <c r="D13" i="13"/>
  <c r="C13" i="13"/>
  <c r="E12" i="13"/>
  <c r="D12" i="13"/>
  <c r="C12" i="13"/>
  <c r="E11" i="13"/>
  <c r="D11" i="13"/>
  <c r="C11" i="13"/>
  <c r="E10" i="13"/>
  <c r="D10" i="13"/>
  <c r="C10" i="13"/>
  <c r="E9" i="13"/>
  <c r="D9" i="13"/>
  <c r="C9" i="13"/>
  <c r="E8" i="13"/>
  <c r="D8" i="13"/>
  <c r="C8" i="13"/>
  <c r="E7" i="13"/>
  <c r="D7" i="13"/>
  <c r="C7" i="13"/>
  <c r="E6" i="13"/>
  <c r="D6" i="13"/>
  <c r="C6" i="13"/>
  <c r="E5" i="13"/>
  <c r="D5" i="13"/>
  <c r="C5" i="13"/>
  <c r="E4" i="13"/>
  <c r="D4" i="13"/>
  <c r="C4" i="13"/>
  <c r="E3" i="13"/>
  <c r="D3" i="13"/>
  <c r="C3" i="13"/>
  <c r="C22" i="12" l="1"/>
</calcChain>
</file>

<file path=xl/sharedStrings.xml><?xml version="1.0" encoding="utf-8"?>
<sst xmlns="http://schemas.openxmlformats.org/spreadsheetml/2006/main" count="144" uniqueCount="83">
  <si>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</si>
  <si>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</si>
  <si>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</si>
  <si>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</si>
  <si>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</si>
  <si>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</si>
  <si>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</si>
  <si>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</si>
  <si>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</si>
  <si>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</si>
  <si>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</si>
  <si>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</si>
  <si>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</si>
  <si>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</si>
  <si>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</si>
  <si>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</si>
  <si>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</si>
  <si>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</si>
  <si>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</si>
  <si>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</si>
  <si>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</si>
  <si>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</si>
  <si>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</si>
  <si>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</si>
  <si>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</si>
  <si>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</si>
  <si>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</si>
  <si>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</si>
  <si>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</si>
  <si>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</si>
  <si>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</si>
  <si>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</si>
  <si>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</si>
  <si>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</si>
  <si>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</si>
  <si>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</si>
  <si>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</si>
  <si>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</si>
  <si>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</si>
  <si>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</si>
  <si>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</si>
  <si>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</si>
  <si>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kg/s</t>
  </si>
  <si>
    <t>Testing conditions</t>
  </si>
  <si>
    <t>Inlet conditions</t>
  </si>
  <si>
    <t>Outlet conditions</t>
  </si>
  <si>
    <t>Run</t>
  </si>
  <si>
    <t>Yes</t>
  </si>
  <si>
    <t>PCC</t>
  </si>
  <si>
    <t>Sprayed-water theory</t>
  </si>
  <si>
    <t>Experimental and numerical investigation of a high-eﬃciency dew-point evaporative cooler</t>
  </si>
  <si>
    <t>Experimental data, extracted from table</t>
  </si>
  <si>
    <t>Test</t>
  </si>
  <si>
    <t>Aluminium</t>
  </si>
  <si>
    <t>pd</t>
  </si>
  <si>
    <t>sw</t>
  </si>
  <si>
    <t>A</t>
  </si>
  <si>
    <t>D-IEC</t>
  </si>
  <si>
    <t>Liu et al.</t>
  </si>
  <si>
    <t>SPR</t>
  </si>
  <si>
    <t>m_dot_wf</t>
  </si>
  <si>
    <t>T_pdi</t>
  </si>
  <si>
    <t>w_pdi</t>
  </si>
  <si>
    <t>v_pdi</t>
  </si>
  <si>
    <t>T_swi</t>
  </si>
  <si>
    <t>w_swi</t>
  </si>
  <si>
    <t>v_swi</t>
  </si>
  <si>
    <t>T_wfi</t>
  </si>
  <si>
    <t>T_pdo</t>
  </si>
  <si>
    <t>w_pdo</t>
  </si>
  <si>
    <t>T_swo</t>
  </si>
  <si>
    <t>w_swo</t>
  </si>
  <si>
    <t>1.6-2.5</t>
  </si>
  <si>
    <t>0.75-1</t>
  </si>
  <si>
    <t>0.1 - 0.266</t>
  </si>
  <si>
    <t>0.36-0.54</t>
  </si>
  <si>
    <t>Nu</t>
  </si>
  <si>
    <t>Re</t>
  </si>
  <si>
    <t>WWR</t>
  </si>
  <si>
    <t>h_T_pd</t>
  </si>
  <si>
    <t>h_T_sw</t>
  </si>
  <si>
    <t>Description</t>
  </si>
  <si>
    <t>D-IEC similar to a cooling tower to investigate the effect of water temperature and water flow rate on the primary air outlet temperature. Core of the exchanger made of 235 vertical aluminium plates, coated with a high-wettability porous fiber on the wet channel side, with water distribution in the wet channels by spraying. The temperature and water flow rate should be adjusted to optimise the performance of the D-IEC for large water-to-air flow rate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</si>
</sst>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5" fontId="0" fillId="0" borderId="2" xfId="0" applyNumberFormat="1" applyBorder="1"/>
    <xf numFmtId="1" fontId="0" fillId="0" borderId="0" xfId="0" applyNumberFormat="1"/>
    <xf numFmtId="0" fontId="0" fillId="0" borderId="0" xfId="0" applyAlignment="1">
      <alignment vertical="center"/>
    </xf>
    <xf numFmtId="165" fontId="0" fillId="0" borderId="7" xfId="0" applyNumberFormat="1" applyBorder="1"/>
    <xf numFmtId="166" fontId="0" fillId="0" borderId="3" xfId="0" applyNumberFormat="1" applyBorder="1"/>
    <xf numFmtId="166" fontId="0" fillId="0" borderId="5" xfId="0" applyNumberFormat="1" applyBorder="1"/>
    <xf numFmtId="1" fontId="0" fillId="0" borderId="2" xfId="0" applyNumberFormat="1" applyBorder="1"/>
    <xf numFmtId="1" fontId="0" fillId="0" borderId="7" xfId="0" applyNumberFormat="1" applyBorder="1"/>
    <xf numFmtId="166" fontId="0" fillId="0" borderId="8"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0" fillId="0" borderId="4" xfId="0" applyBorder="1" applyAlignment="1">
      <alignment horizontal="right" vertical="center"/>
    </xf>
    <xf numFmtId="0" fontId="0" fillId="0" borderId="0" xfId="0" applyAlignment="1">
      <alignment horizontal="right"/>
    </xf>
    <xf numFmtId="0" fontId="0" fillId="0" borderId="6" xfId="0" applyBorder="1" applyAlignment="1">
      <alignment horizontal="right" vertical="center"/>
    </xf>
    <xf numFmtId="0" fontId="0" fillId="0" borderId="4" xfId="0" applyBorder="1" applyAlignment="1">
      <alignment horizontal="left"/>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center"/>
    </xf>
    <xf numFmtId="0" fontId="0" fillId="0" borderId="9" xfId="0" applyBorder="1" applyAlignment="1">
      <alignment horizontal="center"/>
    </xf>
    <xf numFmtId="0" fontId="0" fillId="0" borderId="1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167640</xdr:colOff>
      <xdr:row>6</xdr:row>
      <xdr:rowOff>132209</xdr:rowOff>
    </xdr:from>
    <xdr:to>
      <xdr:col>24</xdr:col>
      <xdr:colOff>391799</xdr:colOff>
      <xdr:row>24</xdr:row>
      <xdr:rowOff>150852</xdr:rowOff>
    </xdr:to>
    <xdr:pic>
      <xdr:nvPicPr>
        <xdr:cNvPr id="2" name="Image 1">
          <a:extLst>
            <a:ext uri="{FF2B5EF4-FFF2-40B4-BE49-F238E27FC236}">
              <a16:creationId xmlns:a16="http://schemas.microsoft.com/office/drawing/2014/main" id="{1ED515C6-35F6-17D6-6E33-8B0B1655E1E7}"/>
            </a:ext>
          </a:extLst>
        </xdr:cNvPr>
        <xdr:cNvPicPr>
          <a:picLocks noChangeAspect="1"/>
        </xdr:cNvPicPr>
      </xdr:nvPicPr>
      <xdr:blipFill>
        <a:blip xmlns:r="http://schemas.openxmlformats.org/officeDocument/2006/relationships" r:embed="rId1"/>
        <a:stretch>
          <a:fillRect/>
        </a:stretch>
      </xdr:blipFill>
      <xdr:spPr>
        <a:xfrm>
          <a:off x="11148060" y="1244729"/>
          <a:ext cx="5885819" cy="3965803"/>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890-E284-42EA-AA4A-F7C2FA3BED20}">
  <dimension ref="B1:AB49"/>
  <sheetViews>
    <sheetView tabSelected="1" zoomScaleNormal="100" workbookViewId="0">
      <selection activeCell="I22" sqref="I22"/>
    </sheetView>
  </sheetViews>
  <sheetFormatPr defaultColWidth="8.88671875" defaultRowHeight="14.4" x14ac:dyDescent="0.3"/>
  <cols>
    <col min="1" max="1" width="2.6640625" customWidth="1"/>
    <col min="2" max="2" width="22.33203125" bestFit="1" customWidth="1"/>
    <col min="3" max="3" width="19.5546875" customWidth="1"/>
    <col min="6" max="6" width="12.44140625" customWidth="1"/>
    <col min="7" max="12" width="9.33203125" customWidth="1"/>
    <col min="13" max="14" width="9.6640625" customWidth="1"/>
    <col min="15" max="15" width="10" customWidth="1"/>
    <col min="16" max="19" width="9.109375" customWidth="1"/>
    <col min="20" max="20" width="9.6640625" bestFit="1" customWidth="1"/>
    <col min="21" max="24" width="9.109375" customWidth="1"/>
    <col min="25" max="25" width="10.5546875" bestFit="1" customWidth="1"/>
    <col min="26" max="26" width="10.2187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1" t="s">
        <v>19</v>
      </c>
      <c r="C3" s="13" t="s">
        <v>58</v>
      </c>
      <c r="D3" s="3"/>
      <c r="E3" s="3"/>
      <c r="F3" s="3"/>
      <c r="G3" s="3"/>
      <c r="H3" s="3"/>
      <c r="I3" s="3"/>
      <c r="J3" s="3"/>
      <c r="K3" s="3"/>
      <c r="L3" s="3"/>
      <c r="M3" s="3"/>
      <c r="N3" s="4"/>
    </row>
    <row r="4" spans="2:14" x14ac:dyDescent="0.3">
      <c r="B4" s="22" t="s">
        <v>20</v>
      </c>
      <c r="C4" s="5" t="s">
        <v>50</v>
      </c>
      <c r="N4" s="6"/>
    </row>
    <row r="5" spans="2:14" x14ac:dyDescent="0.3">
      <c r="B5" s="22" t="s">
        <v>21</v>
      </c>
      <c r="C5" s="52">
        <v>2019</v>
      </c>
      <c r="N5" s="6"/>
    </row>
    <row r="6" spans="2:14" x14ac:dyDescent="0.3">
      <c r="B6" s="22" t="s">
        <v>22</v>
      </c>
      <c r="C6" s="5" t="s">
        <v>51</v>
      </c>
      <c r="N6" s="6"/>
    </row>
    <row r="7" spans="2:14" ht="59.4" customHeight="1" thickBot="1" x14ac:dyDescent="0.35">
      <c r="B7" s="16" t="s">
        <v>81</v>
      </c>
      <c r="C7" s="53" t="s">
        <v>82</v>
      </c>
      <c r="D7" s="54"/>
      <c r="E7" s="54"/>
      <c r="F7" s="54"/>
      <c r="G7" s="54"/>
      <c r="H7" s="54"/>
      <c r="I7" s="54"/>
      <c r="J7" s="54"/>
      <c r="K7" s="54"/>
      <c r="L7" s="54"/>
      <c r="M7" s="54"/>
      <c r="N7" s="55"/>
    </row>
    <row r="8" spans="2:14" ht="15" thickBot="1" x14ac:dyDescent="0.35"/>
    <row r="9" spans="2:14" ht="15" thickBot="1" x14ac:dyDescent="0.35">
      <c r="B9" s="10" t="s">
        <v>23</v>
      </c>
      <c r="C9" s="19"/>
      <c r="E9" s="10" t="s">
        <v>27</v>
      </c>
      <c r="F9" s="18"/>
      <c r="G9" s="18"/>
      <c r="H9" s="18"/>
      <c r="I9" s="18"/>
      <c r="J9" s="19"/>
    </row>
    <row r="10" spans="2:14" ht="15" thickBot="1" x14ac:dyDescent="0.35">
      <c r="B10" s="21" t="s">
        <v>24</v>
      </c>
      <c r="C10" s="6" t="s">
        <v>57</v>
      </c>
      <c r="E10" s="10" t="s">
        <v>54</v>
      </c>
      <c r="F10" s="11" t="s">
        <v>13</v>
      </c>
      <c r="G10" s="10" t="s">
        <v>54</v>
      </c>
      <c r="H10" s="12" t="s">
        <v>55</v>
      </c>
      <c r="I10" s="11" t="s">
        <v>55</v>
      </c>
      <c r="J10" s="12" t="s">
        <v>13</v>
      </c>
    </row>
    <row r="11" spans="2:14" ht="15" thickBot="1" x14ac:dyDescent="0.35">
      <c r="B11" s="22" t="s">
        <v>11</v>
      </c>
      <c r="C11" s="6" t="s">
        <v>49</v>
      </c>
      <c r="E11" s="57" t="s">
        <v>0</v>
      </c>
      <c r="F11" s="58"/>
      <c r="G11" s="57" t="s">
        <v>0</v>
      </c>
      <c r="H11" s="58"/>
      <c r="I11" s="57" t="s">
        <v>5</v>
      </c>
      <c r="J11" s="58"/>
    </row>
    <row r="12" spans="2:14" x14ac:dyDescent="0.3">
      <c r="B12" s="22" t="s">
        <v>25</v>
      </c>
      <c r="C12" s="6" t="s">
        <v>47</v>
      </c>
    </row>
    <row r="13" spans="2:14" x14ac:dyDescent="0.3">
      <c r="B13" s="22" t="s">
        <v>26</v>
      </c>
      <c r="C13" s="6" t="s">
        <v>53</v>
      </c>
      <c r="E13" s="1"/>
      <c r="F13" s="1"/>
      <c r="G13" s="1"/>
      <c r="H13" s="1"/>
      <c r="I13" s="1"/>
      <c r="J13" s="1"/>
    </row>
    <row r="14" spans="2:14" ht="15" thickBot="1" x14ac:dyDescent="0.35">
      <c r="B14" s="16" t="s">
        <v>27</v>
      </c>
      <c r="C14" s="9" t="s">
        <v>48</v>
      </c>
      <c r="E14" s="56"/>
      <c r="F14" s="56"/>
      <c r="G14" s="56"/>
      <c r="H14" s="56"/>
      <c r="I14" s="56"/>
      <c r="J14" s="56"/>
    </row>
    <row r="15" spans="2:14" ht="15" thickBot="1" x14ac:dyDescent="0.35">
      <c r="B15" s="1"/>
    </row>
    <row r="16" spans="2:14" ht="15" thickBot="1" x14ac:dyDescent="0.35">
      <c r="B16" s="10" t="s">
        <v>28</v>
      </c>
      <c r="C16" s="18"/>
      <c r="D16" s="19"/>
      <c r="F16" s="10" t="s">
        <v>29</v>
      </c>
      <c r="G16" s="18"/>
      <c r="H16" s="19"/>
    </row>
    <row r="17" spans="2:28" x14ac:dyDescent="0.3">
      <c r="B17" s="21" t="s">
        <v>30</v>
      </c>
      <c r="C17" s="3">
        <v>1.05</v>
      </c>
      <c r="D17" s="4" t="s">
        <v>6</v>
      </c>
      <c r="F17" s="21" t="s">
        <v>14</v>
      </c>
      <c r="G17" s="31">
        <v>0.1</v>
      </c>
      <c r="H17" s="6" t="s">
        <v>31</v>
      </c>
    </row>
    <row r="18" spans="2:28" x14ac:dyDescent="0.3">
      <c r="B18" s="22" t="s">
        <v>32</v>
      </c>
      <c r="C18">
        <v>0.71599999999999997</v>
      </c>
      <c r="D18" s="6" t="s">
        <v>6</v>
      </c>
      <c r="F18" s="22" t="s">
        <v>33</v>
      </c>
      <c r="G18" s="37">
        <v>3.2441052663735577</v>
      </c>
      <c r="H18" s="6" t="s">
        <v>34</v>
      </c>
    </row>
    <row r="19" spans="2:28" ht="15" thickBot="1" x14ac:dyDescent="0.35">
      <c r="B19" s="22" t="s">
        <v>35</v>
      </c>
      <c r="C19" s="34">
        <v>1.0062</v>
      </c>
      <c r="D19" s="6" t="s">
        <v>6</v>
      </c>
      <c r="F19" s="16" t="s">
        <v>36</v>
      </c>
      <c r="G19" s="8">
        <v>6.3</v>
      </c>
      <c r="H19" s="9" t="s">
        <v>34</v>
      </c>
    </row>
    <row r="20" spans="2:28" x14ac:dyDescent="0.3">
      <c r="B20" s="22" t="s">
        <v>10</v>
      </c>
      <c r="C20">
        <v>4.3E-3</v>
      </c>
      <c r="D20" s="6" t="s">
        <v>6</v>
      </c>
    </row>
    <row r="21" spans="2:28" x14ac:dyDescent="0.3">
      <c r="B21" s="22" t="s">
        <v>15</v>
      </c>
      <c r="C21" s="50" t="s">
        <v>8</v>
      </c>
      <c r="D21" s="6" t="s">
        <v>6</v>
      </c>
    </row>
    <row r="22" spans="2:28" ht="15" thickBot="1" x14ac:dyDescent="0.35">
      <c r="B22" s="16" t="s">
        <v>12</v>
      </c>
      <c r="C22" s="8">
        <f>2*117</f>
        <v>234</v>
      </c>
      <c r="D22" s="9" t="s">
        <v>2</v>
      </c>
    </row>
    <row r="23" spans="2:28" ht="15" thickBot="1" x14ac:dyDescent="0.35">
      <c r="B23" s="1"/>
      <c r="D23" s="6"/>
    </row>
    <row r="24" spans="2:28" ht="15" thickBot="1" x14ac:dyDescent="0.35">
      <c r="B24" s="2" t="s">
        <v>37</v>
      </c>
      <c r="C24" s="3"/>
      <c r="D24" s="4"/>
    </row>
    <row r="25" spans="2:28" x14ac:dyDescent="0.3">
      <c r="B25" s="2" t="s">
        <v>38</v>
      </c>
      <c r="C25" s="45" t="s">
        <v>72</v>
      </c>
      <c r="D25" s="4" t="s">
        <v>16</v>
      </c>
    </row>
    <row r="26" spans="2:28" x14ac:dyDescent="0.3">
      <c r="B26" s="20" t="s">
        <v>39</v>
      </c>
      <c r="C26" s="46" t="s">
        <v>73</v>
      </c>
      <c r="D26" s="6" t="s">
        <v>16</v>
      </c>
    </row>
    <row r="27" spans="2:28" ht="28.8" x14ac:dyDescent="0.3">
      <c r="B27" s="32" t="s">
        <v>40</v>
      </c>
      <c r="C27" s="49" t="s">
        <v>75</v>
      </c>
      <c r="D27" s="33" t="s">
        <v>17</v>
      </c>
      <c r="E27" s="38"/>
      <c r="G27" s="23"/>
      <c r="H27" s="23"/>
      <c r="Q27" s="23"/>
    </row>
    <row r="28" spans="2:28" ht="15" thickBot="1" x14ac:dyDescent="0.35">
      <c r="B28" s="14" t="s">
        <v>41</v>
      </c>
      <c r="C28" s="51" t="s">
        <v>74</v>
      </c>
      <c r="D28" s="9" t="s">
        <v>42</v>
      </c>
      <c r="I28" s="34"/>
      <c r="J28" s="34"/>
      <c r="K28" s="34"/>
      <c r="L28" s="34"/>
    </row>
    <row r="32" spans="2:28" x14ac:dyDescent="0.3">
      <c r="AA32" s="34"/>
      <c r="AB32" s="23"/>
    </row>
    <row r="33" spans="27:27" x14ac:dyDescent="0.3">
      <c r="AA33" s="23"/>
    </row>
    <row r="34" spans="27:27" x14ac:dyDescent="0.3">
      <c r="AA34" s="23"/>
    </row>
    <row r="35" spans="27:27" x14ac:dyDescent="0.3">
      <c r="AA35" s="23"/>
    </row>
    <row r="36" spans="27:27" x14ac:dyDescent="0.3">
      <c r="AA36" s="23"/>
    </row>
    <row r="37" spans="27:27" x14ac:dyDescent="0.3">
      <c r="AA37" s="23"/>
    </row>
    <row r="38" spans="27:27" x14ac:dyDescent="0.3">
      <c r="AA38" s="23"/>
    </row>
    <row r="39" spans="27:27" x14ac:dyDescent="0.3">
      <c r="AA39" s="23"/>
    </row>
    <row r="40" spans="27:27" x14ac:dyDescent="0.3">
      <c r="AA40" s="23"/>
    </row>
    <row r="41" spans="27:27" x14ac:dyDescent="0.3">
      <c r="AA41" s="23"/>
    </row>
    <row r="42" spans="27:27" x14ac:dyDescent="0.3">
      <c r="AA42" s="23"/>
    </row>
    <row r="43" spans="27:27" x14ac:dyDescent="0.3">
      <c r="AA43" s="23"/>
    </row>
    <row r="44" spans="27:27" x14ac:dyDescent="0.3">
      <c r="AA44" s="23"/>
    </row>
    <row r="45" spans="27:27" x14ac:dyDescent="0.3">
      <c r="AA45" s="23"/>
    </row>
    <row r="46" spans="27:27" x14ac:dyDescent="0.3">
      <c r="AA46" s="23"/>
    </row>
    <row r="47" spans="27:27" x14ac:dyDescent="0.3">
      <c r="AA47" s="23"/>
    </row>
    <row r="48" spans="27:27" ht="15" thickBot="1" x14ac:dyDescent="0.35">
      <c r="AA48" s="23"/>
    </row>
    <row r="49" spans="2:2" x14ac:dyDescent="0.3">
      <c r="B49" s="3"/>
    </row>
  </sheetData>
  <mergeCells count="7">
    <mergeCell ref="C7:N7"/>
    <mergeCell ref="E14:F14"/>
    <mergeCell ref="G14:H14"/>
    <mergeCell ref="I14:J14"/>
    <mergeCell ref="E11:F11"/>
    <mergeCell ref="G11:H11"/>
    <mergeCell ref="I11:J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A197-F53C-4181-9DB9-2F6B486C6D7E}">
  <dimension ref="A1:Y19"/>
  <sheetViews>
    <sheetView workbookViewId="0">
      <selection activeCell="T30" sqref="T30"/>
    </sheetView>
  </sheetViews>
  <sheetFormatPr defaultRowHeight="14.4" x14ac:dyDescent="0.3"/>
  <cols>
    <col min="24" max="24" width="10.5546875" bestFit="1" customWidth="1"/>
    <col min="25" max="25" width="10.21875" bestFit="1" customWidth="1"/>
  </cols>
  <sheetData>
    <row r="1" spans="1:25" ht="15" thickBot="1" x14ac:dyDescent="0.35">
      <c r="A1" s="2"/>
      <c r="B1" s="10" t="s">
        <v>43</v>
      </c>
      <c r="C1" s="11"/>
      <c r="D1" s="11"/>
      <c r="E1" s="11"/>
      <c r="F1" s="11"/>
      <c r="G1" s="11"/>
      <c r="H1" s="11"/>
      <c r="I1" s="11"/>
      <c r="J1" s="11"/>
      <c r="K1" s="12"/>
      <c r="L1" s="10" t="s">
        <v>44</v>
      </c>
      <c r="M1" s="11"/>
      <c r="N1" s="11"/>
      <c r="O1" s="11"/>
      <c r="P1" s="11"/>
      <c r="Q1" s="11"/>
      <c r="R1" s="11"/>
      <c r="S1" s="12"/>
      <c r="T1" s="12" t="s">
        <v>45</v>
      </c>
      <c r="U1" s="3"/>
      <c r="V1" s="3"/>
      <c r="W1" s="18"/>
      <c r="X1" s="3"/>
      <c r="Y1" s="4"/>
    </row>
    <row r="2" spans="1:25" ht="15" thickBot="1" x14ac:dyDescent="0.35">
      <c r="A2" s="14" t="s">
        <v>46</v>
      </c>
      <c r="B2" s="14" t="s">
        <v>52</v>
      </c>
      <c r="C2" s="15" t="s">
        <v>4</v>
      </c>
      <c r="D2" s="15" t="s">
        <v>9</v>
      </c>
      <c r="E2" s="15" t="s">
        <v>7</v>
      </c>
      <c r="F2" s="15" t="s">
        <v>78</v>
      </c>
      <c r="G2" s="15" t="s">
        <v>59</v>
      </c>
      <c r="H2" s="15" t="s">
        <v>77</v>
      </c>
      <c r="I2" s="15" t="s">
        <v>76</v>
      </c>
      <c r="J2" s="15" t="s">
        <v>79</v>
      </c>
      <c r="K2" s="25" t="s">
        <v>80</v>
      </c>
      <c r="L2" s="10" t="s">
        <v>61</v>
      </c>
      <c r="M2" s="11" t="s">
        <v>62</v>
      </c>
      <c r="N2" s="11" t="s">
        <v>63</v>
      </c>
      <c r="O2" s="11" t="s">
        <v>64</v>
      </c>
      <c r="P2" s="11" t="s">
        <v>65</v>
      </c>
      <c r="Q2" s="15" t="s">
        <v>66</v>
      </c>
      <c r="R2" s="15" t="s">
        <v>67</v>
      </c>
      <c r="S2" s="25" t="s">
        <v>60</v>
      </c>
      <c r="T2" s="10" t="s">
        <v>68</v>
      </c>
      <c r="U2" s="11" t="s">
        <v>69</v>
      </c>
      <c r="V2" s="11" t="s">
        <v>70</v>
      </c>
      <c r="W2" s="11" t="s">
        <v>71</v>
      </c>
      <c r="X2" s="11" t="s">
        <v>1</v>
      </c>
      <c r="Y2" s="12" t="s">
        <v>3</v>
      </c>
    </row>
    <row r="3" spans="1:25" x14ac:dyDescent="0.3">
      <c r="A3" s="5">
        <v>1</v>
      </c>
      <c r="B3" s="13" t="s">
        <v>56</v>
      </c>
      <c r="C3" s="3">
        <f>'Liu2019'!$C$17</f>
        <v>1.05</v>
      </c>
      <c r="D3" s="3">
        <f>'Liu2019'!$C$20</f>
        <v>4.3E-3</v>
      </c>
      <c r="E3" s="36">
        <f>'Liu2019'!$C$18</f>
        <v>0.71599999999999997</v>
      </c>
      <c r="F3" s="3">
        <v>1.1000000000000001</v>
      </c>
      <c r="G3" s="3">
        <v>0.40300000000000002</v>
      </c>
      <c r="H3" s="42">
        <v>1165.1947218170601</v>
      </c>
      <c r="I3" s="3">
        <v>8.23</v>
      </c>
      <c r="J3" s="30">
        <v>28.0597520322249</v>
      </c>
      <c r="K3" s="26">
        <v>28.0597520322249</v>
      </c>
      <c r="L3" s="13">
        <v>38.299999999999997</v>
      </c>
      <c r="M3" s="29">
        <v>1.0741779419395201E-2</v>
      </c>
      <c r="N3" s="30">
        <v>2.4313872241636303</v>
      </c>
      <c r="O3" s="3">
        <v>23.4</v>
      </c>
      <c r="P3" s="29">
        <v>1.0741779419395201E-2</v>
      </c>
      <c r="Q3" s="30">
        <v>0.97984905133794298</v>
      </c>
      <c r="R3" s="3">
        <v>26</v>
      </c>
      <c r="S3" s="40">
        <v>2.2792022792022791E-3</v>
      </c>
      <c r="T3" s="5">
        <v>23.4</v>
      </c>
      <c r="U3" s="29">
        <v>1.0741779419395201E-2</v>
      </c>
      <c r="V3" s="47" t="s">
        <v>8</v>
      </c>
      <c r="W3" s="47" t="s">
        <v>8</v>
      </c>
      <c r="X3" s="30">
        <v>0.95499999999999996</v>
      </c>
      <c r="Y3" s="26">
        <v>0.64800000000000002</v>
      </c>
    </row>
    <row r="4" spans="1:25" x14ac:dyDescent="0.3">
      <c r="A4" s="5">
        <v>2</v>
      </c>
      <c r="B4" s="5" t="s">
        <v>56</v>
      </c>
      <c r="C4">
        <f>'Liu2019'!$C$17</f>
        <v>1.05</v>
      </c>
      <c r="D4">
        <f>'Liu2019'!$C$20</f>
        <v>4.3E-3</v>
      </c>
      <c r="E4" s="35">
        <f>'Liu2019'!$C$18</f>
        <v>0.71599999999999997</v>
      </c>
      <c r="F4">
        <v>1.1000000000000001</v>
      </c>
      <c r="G4">
        <v>0.437</v>
      </c>
      <c r="H4" s="37">
        <v>1084.27316369697</v>
      </c>
      <c r="I4">
        <v>8.23</v>
      </c>
      <c r="J4" s="34">
        <v>28.0374963946918</v>
      </c>
      <c r="K4" s="27">
        <v>28.0374963946918</v>
      </c>
      <c r="L4" s="5">
        <v>38.1</v>
      </c>
      <c r="M4" s="23">
        <v>1.0454159324088001E-2</v>
      </c>
      <c r="N4" s="34">
        <v>2.2578819512689847</v>
      </c>
      <c r="O4">
        <v>23</v>
      </c>
      <c r="P4" s="23">
        <v>1.0454159324088001E-2</v>
      </c>
      <c r="Q4" s="34">
        <v>0.98669441270454628</v>
      </c>
      <c r="R4">
        <v>26</v>
      </c>
      <c r="S4" s="41">
        <v>2.2792022792022791E-3</v>
      </c>
      <c r="T4" s="5">
        <v>23</v>
      </c>
      <c r="U4" s="23">
        <v>1.0454159324088001E-2</v>
      </c>
      <c r="V4" s="47" t="s">
        <v>8</v>
      </c>
      <c r="W4" s="47" t="s">
        <v>8</v>
      </c>
      <c r="X4" s="34">
        <v>0.96199999999999997</v>
      </c>
      <c r="Y4" s="27">
        <v>0.65100000000000002</v>
      </c>
    </row>
    <row r="5" spans="1:25" x14ac:dyDescent="0.3">
      <c r="A5" s="5">
        <v>3</v>
      </c>
      <c r="B5" s="5" t="s">
        <v>56</v>
      </c>
      <c r="C5">
        <f>'Liu2019'!$C$17</f>
        <v>1.05</v>
      </c>
      <c r="D5">
        <f>'Liu2019'!$C$20</f>
        <v>4.3E-3</v>
      </c>
      <c r="E5" s="35">
        <f>'Liu2019'!$C$18</f>
        <v>0.71599999999999997</v>
      </c>
      <c r="F5">
        <v>1.1000000000000001</v>
      </c>
      <c r="G5">
        <v>0.437</v>
      </c>
      <c r="H5" s="37">
        <v>1085.85462188172</v>
      </c>
      <c r="I5">
        <v>8.23</v>
      </c>
      <c r="J5" s="34">
        <v>28.018357558767899</v>
      </c>
      <c r="K5" s="27">
        <v>28.018357558767899</v>
      </c>
      <c r="L5" s="5">
        <v>38.1</v>
      </c>
      <c r="M5" s="23">
        <v>1.0454159324088001E-2</v>
      </c>
      <c r="N5" s="34">
        <v>2.2578819512689847</v>
      </c>
      <c r="O5">
        <v>22.5</v>
      </c>
      <c r="P5" s="23">
        <v>1.0454159324088001E-2</v>
      </c>
      <c r="Q5" s="34">
        <v>0.98669441270454628</v>
      </c>
      <c r="R5">
        <v>26</v>
      </c>
      <c r="S5" s="41">
        <v>8.547008547008547E-4</v>
      </c>
      <c r="T5" s="5">
        <v>22.5</v>
      </c>
      <c r="U5" s="23">
        <v>1.0454159324088001E-2</v>
      </c>
      <c r="V5" s="47" t="s">
        <v>8</v>
      </c>
      <c r="W5" s="47" t="s">
        <v>8</v>
      </c>
      <c r="X5" s="34">
        <v>0.96899999999999997</v>
      </c>
      <c r="Y5" s="27">
        <v>0.64700000000000002</v>
      </c>
    </row>
    <row r="6" spans="1:25" x14ac:dyDescent="0.3">
      <c r="A6" s="5">
        <v>4</v>
      </c>
      <c r="B6" s="5" t="s">
        <v>56</v>
      </c>
      <c r="C6">
        <f>'Liu2019'!$C$17</f>
        <v>1.05</v>
      </c>
      <c r="D6">
        <f>'Liu2019'!$C$20</f>
        <v>4.3E-3</v>
      </c>
      <c r="E6" s="35">
        <f>'Liu2019'!$C$18</f>
        <v>0.71599999999999997</v>
      </c>
      <c r="F6">
        <v>1.1000000000000001</v>
      </c>
      <c r="G6">
        <v>0.44500000000000001</v>
      </c>
      <c r="H6" s="37">
        <v>1104.11621666259</v>
      </c>
      <c r="I6">
        <v>8.23</v>
      </c>
      <c r="J6" s="34">
        <v>28.004343576172499</v>
      </c>
      <c r="K6" s="27">
        <v>28.004343576172499</v>
      </c>
      <c r="L6" s="5">
        <v>38.1</v>
      </c>
      <c r="M6" s="23">
        <v>9.9018882101399308E-3</v>
      </c>
      <c r="N6" s="34">
        <v>2.2918118713017157</v>
      </c>
      <c r="O6">
        <v>22.1</v>
      </c>
      <c r="P6" s="23">
        <v>9.9018882101399308E-3</v>
      </c>
      <c r="Q6" s="34">
        <v>1.0198562827292634</v>
      </c>
      <c r="R6">
        <v>26</v>
      </c>
      <c r="S6" s="41">
        <v>9.1168091168091175E-4</v>
      </c>
      <c r="T6" s="5">
        <v>22.1</v>
      </c>
      <c r="U6" s="23">
        <v>9.9018882101399308E-3</v>
      </c>
      <c r="V6" s="47" t="s">
        <v>8</v>
      </c>
      <c r="W6" s="47" t="s">
        <v>8</v>
      </c>
      <c r="X6" s="34">
        <v>0.99399999999999999</v>
      </c>
      <c r="Y6" s="27">
        <v>0.66400000000000003</v>
      </c>
    </row>
    <row r="7" spans="1:25" x14ac:dyDescent="0.3">
      <c r="A7" s="5">
        <v>5</v>
      </c>
      <c r="B7" s="5" t="s">
        <v>56</v>
      </c>
      <c r="C7">
        <f>'Liu2019'!$C$17</f>
        <v>1.05</v>
      </c>
      <c r="D7">
        <f>'Liu2019'!$C$20</f>
        <v>4.3E-3</v>
      </c>
      <c r="E7" s="35">
        <f>'Liu2019'!$C$18</f>
        <v>0.71599999999999997</v>
      </c>
      <c r="F7">
        <v>1.1000000000000001</v>
      </c>
      <c r="G7">
        <v>0.46300000000000002</v>
      </c>
      <c r="H7" s="37">
        <v>1054.1074608762699</v>
      </c>
      <c r="I7">
        <v>8.23</v>
      </c>
      <c r="J7" s="34">
        <v>28.025479615268701</v>
      </c>
      <c r="K7" s="27">
        <v>28.025479615268701</v>
      </c>
      <c r="L7" s="5">
        <v>38.4</v>
      </c>
      <c r="M7" s="23">
        <v>9.0751996707636503E-3</v>
      </c>
      <c r="N7" s="34">
        <v>2.1892509766573252</v>
      </c>
      <c r="O7">
        <v>22.3</v>
      </c>
      <c r="P7" s="23">
        <v>9.0751996707636503E-3</v>
      </c>
      <c r="Q7" s="34">
        <v>1.0136232021923417</v>
      </c>
      <c r="R7">
        <v>25.2</v>
      </c>
      <c r="S7" s="41">
        <v>2.0512820512820513E-3</v>
      </c>
      <c r="T7" s="5">
        <v>22.3</v>
      </c>
      <c r="U7" s="23">
        <v>9.0751996707636503E-3</v>
      </c>
      <c r="V7" s="47" t="s">
        <v>8</v>
      </c>
      <c r="W7" s="47" t="s">
        <v>8</v>
      </c>
      <c r="X7" s="34">
        <v>0.95499999999999996</v>
      </c>
      <c r="Y7" s="27">
        <v>0.626</v>
      </c>
    </row>
    <row r="8" spans="1:25" x14ac:dyDescent="0.3">
      <c r="A8" s="5">
        <v>6</v>
      </c>
      <c r="B8" s="5" t="s">
        <v>56</v>
      </c>
      <c r="C8">
        <f>'Liu2019'!$C$17</f>
        <v>1.05</v>
      </c>
      <c r="D8">
        <f>'Liu2019'!$C$20</f>
        <v>4.3E-3</v>
      </c>
      <c r="E8" s="35">
        <f>'Liu2019'!$C$18</f>
        <v>0.71599999999999997</v>
      </c>
      <c r="F8">
        <v>1.1000000000000001</v>
      </c>
      <c r="G8">
        <v>0.45300000000000001</v>
      </c>
      <c r="H8" s="37">
        <v>1037.41996169097</v>
      </c>
      <c r="I8">
        <v>8.23</v>
      </c>
      <c r="J8" s="34">
        <v>28.003366941084799</v>
      </c>
      <c r="K8" s="27">
        <v>28.003366941084799</v>
      </c>
      <c r="L8" s="5">
        <v>38.4</v>
      </c>
      <c r="M8" s="23">
        <v>8.6882007306675092E-3</v>
      </c>
      <c r="N8" s="34">
        <v>2.1499231148012057</v>
      </c>
      <c r="O8">
        <v>21.7</v>
      </c>
      <c r="P8" s="23">
        <v>8.6882007306675092E-3</v>
      </c>
      <c r="Q8" s="34">
        <v>0.97391517100494618</v>
      </c>
      <c r="R8">
        <v>25.2</v>
      </c>
      <c r="S8" s="41">
        <v>1.8233618233618235E-3</v>
      </c>
      <c r="T8" s="5">
        <v>21.7</v>
      </c>
      <c r="U8" s="23">
        <v>8.6882007306675092E-3</v>
      </c>
      <c r="V8" s="47" t="s">
        <v>8</v>
      </c>
      <c r="W8" s="47" t="s">
        <v>8</v>
      </c>
      <c r="X8" s="34">
        <v>0.97699999999999998</v>
      </c>
      <c r="Y8" s="27">
        <v>0.63500000000000001</v>
      </c>
    </row>
    <row r="9" spans="1:25" x14ac:dyDescent="0.3">
      <c r="A9" s="5">
        <v>7</v>
      </c>
      <c r="B9" s="5" t="s">
        <v>56</v>
      </c>
      <c r="C9">
        <f>'Liu2019'!$C$17</f>
        <v>1.05</v>
      </c>
      <c r="D9">
        <f>'Liu2019'!$C$20</f>
        <v>4.3E-3</v>
      </c>
      <c r="E9" s="35">
        <f>'Liu2019'!$C$18</f>
        <v>0.71599999999999997</v>
      </c>
      <c r="F9">
        <v>1.1000000000000001</v>
      </c>
      <c r="G9">
        <v>0.45500000000000002</v>
      </c>
      <c r="H9" s="37">
        <v>1043.7654451891201</v>
      </c>
      <c r="I9">
        <v>8.23</v>
      </c>
      <c r="J9" s="34">
        <v>27.982724081825001</v>
      </c>
      <c r="K9" s="27">
        <v>27.982724081825001</v>
      </c>
      <c r="L9" s="5">
        <v>38.799999999999997</v>
      </c>
      <c r="M9" s="23">
        <v>7.6524395972919898E-3</v>
      </c>
      <c r="N9" s="34">
        <v>2.1568633257169916</v>
      </c>
      <c r="O9">
        <v>20.7</v>
      </c>
      <c r="P9" s="23">
        <v>7.6524395972919898E-3</v>
      </c>
      <c r="Q9" s="34">
        <v>0.98137281320123115</v>
      </c>
      <c r="R9">
        <v>24.4</v>
      </c>
      <c r="S9" s="41">
        <v>1.8233618233618235E-3</v>
      </c>
      <c r="T9" s="5">
        <v>20.7</v>
      </c>
      <c r="U9" s="23">
        <v>7.6524395972919898E-3</v>
      </c>
      <c r="V9" s="47" t="s">
        <v>8</v>
      </c>
      <c r="W9" s="47" t="s">
        <v>8</v>
      </c>
      <c r="X9" s="34">
        <v>0.996</v>
      </c>
      <c r="Y9" s="27">
        <v>0.63300000000000001</v>
      </c>
    </row>
    <row r="10" spans="1:25" x14ac:dyDescent="0.3">
      <c r="A10" s="5">
        <v>8</v>
      </c>
      <c r="B10" s="5" t="s">
        <v>56</v>
      </c>
      <c r="C10">
        <f>'Liu2019'!$C$17</f>
        <v>1.05</v>
      </c>
      <c r="D10">
        <f>'Liu2019'!$C$20</f>
        <v>4.3E-3</v>
      </c>
      <c r="E10" s="35">
        <f>'Liu2019'!$C$18</f>
        <v>0.71599999999999997</v>
      </c>
      <c r="F10">
        <v>1.1000000000000001</v>
      </c>
      <c r="G10">
        <v>0.437</v>
      </c>
      <c r="H10" s="37">
        <v>1016.5696961411001</v>
      </c>
      <c r="I10">
        <v>8.23</v>
      </c>
      <c r="J10" s="34">
        <v>27.964364864230902</v>
      </c>
      <c r="K10" s="27">
        <v>27.964364864230902</v>
      </c>
      <c r="L10" s="5">
        <v>38.6</v>
      </c>
      <c r="M10" s="23">
        <v>7.2665867827907101E-3</v>
      </c>
      <c r="N10" s="34">
        <v>2.0967148311135144</v>
      </c>
      <c r="O10">
        <v>20.399999999999999</v>
      </c>
      <c r="P10" s="23">
        <v>7.2665867827907101E-3</v>
      </c>
      <c r="Q10" s="34">
        <v>0.9162643811966058</v>
      </c>
      <c r="R10">
        <v>24</v>
      </c>
      <c r="S10" s="41">
        <v>1.8233618233618235E-3</v>
      </c>
      <c r="T10" s="5">
        <v>20.399999999999999</v>
      </c>
      <c r="U10" s="23">
        <v>7.2665867827907101E-3</v>
      </c>
      <c r="V10" s="47" t="s">
        <v>8</v>
      </c>
      <c r="W10" s="47" t="s">
        <v>8</v>
      </c>
      <c r="X10" s="34">
        <v>0.96299999999999997</v>
      </c>
      <c r="Y10" s="27">
        <v>0.59299999999999997</v>
      </c>
    </row>
    <row r="11" spans="1:25" x14ac:dyDescent="0.3">
      <c r="A11" s="5">
        <v>9</v>
      </c>
      <c r="B11" s="5" t="s">
        <v>56</v>
      </c>
      <c r="C11">
        <f>'Liu2019'!$C$17</f>
        <v>1.05</v>
      </c>
      <c r="D11">
        <f>'Liu2019'!$C$20</f>
        <v>4.3E-3</v>
      </c>
      <c r="E11" s="35">
        <f>'Liu2019'!$C$18</f>
        <v>0.71599999999999997</v>
      </c>
      <c r="F11">
        <v>1.1000000000000001</v>
      </c>
      <c r="G11">
        <v>0.38100000000000001</v>
      </c>
      <c r="H11" s="37">
        <v>1211.3177939181201</v>
      </c>
      <c r="I11">
        <v>8.23</v>
      </c>
      <c r="J11" s="34">
        <v>27.962427649539102</v>
      </c>
      <c r="K11" s="27">
        <v>27.962427649539102</v>
      </c>
      <c r="L11" s="5">
        <v>37.6</v>
      </c>
      <c r="M11" s="23">
        <v>6.4298957076500103E-3</v>
      </c>
      <c r="N11" s="34">
        <v>2.4953913914980994</v>
      </c>
      <c r="O11">
        <v>21.3</v>
      </c>
      <c r="P11" s="23">
        <v>6.4298957076500103E-3</v>
      </c>
      <c r="Q11" s="34">
        <v>0.95074412016077592</v>
      </c>
      <c r="R11">
        <v>24.5</v>
      </c>
      <c r="S11" s="41">
        <v>1.8233618233618235E-3</v>
      </c>
      <c r="T11" s="5">
        <v>21.3</v>
      </c>
      <c r="U11" s="23">
        <v>6.4298957076500103E-3</v>
      </c>
      <c r="V11" s="47" t="s">
        <v>8</v>
      </c>
      <c r="W11" s="47" t="s">
        <v>8</v>
      </c>
      <c r="X11" s="34">
        <v>0.89200000000000002</v>
      </c>
      <c r="Y11" s="27">
        <v>0.54400000000000004</v>
      </c>
    </row>
    <row r="12" spans="1:25" x14ac:dyDescent="0.3">
      <c r="A12" s="5">
        <v>10</v>
      </c>
      <c r="B12" s="5" t="s">
        <v>56</v>
      </c>
      <c r="C12">
        <f>'Liu2019'!$C$17</f>
        <v>1.05</v>
      </c>
      <c r="D12">
        <f>'Liu2019'!$C$20</f>
        <v>4.3E-3</v>
      </c>
      <c r="E12" s="35">
        <f>'Liu2019'!$C$18</f>
        <v>0.71599999999999997</v>
      </c>
      <c r="F12">
        <v>1.1000000000000001</v>
      </c>
      <c r="G12">
        <v>0.53600000000000003</v>
      </c>
      <c r="H12" s="37">
        <v>913.44753225551005</v>
      </c>
      <c r="I12">
        <v>8.23</v>
      </c>
      <c r="J12" s="34">
        <v>27.927546269095799</v>
      </c>
      <c r="K12" s="27">
        <v>27.927546269095799</v>
      </c>
      <c r="L12" s="5">
        <v>37.799999999999997</v>
      </c>
      <c r="M12" s="23">
        <v>6.5007881603096401E-3</v>
      </c>
      <c r="N12" s="34">
        <v>1.8769414854469635</v>
      </c>
      <c r="O12">
        <v>20.2</v>
      </c>
      <c r="P12" s="23">
        <v>6.5007881603096401E-3</v>
      </c>
      <c r="Q12" s="34">
        <v>1.0060406361995724</v>
      </c>
      <c r="R12">
        <v>23.9</v>
      </c>
      <c r="S12" s="41">
        <v>2.2792022792022791E-3</v>
      </c>
      <c r="T12" s="5">
        <v>20.2</v>
      </c>
      <c r="U12" s="23">
        <v>6.5007881603096401E-3</v>
      </c>
      <c r="V12" s="47" t="s">
        <v>8</v>
      </c>
      <c r="W12" s="47" t="s">
        <v>8</v>
      </c>
      <c r="X12" s="34">
        <v>0.95899999999999996</v>
      </c>
      <c r="Y12" s="27">
        <v>0.58699999999999997</v>
      </c>
    </row>
    <row r="13" spans="1:25" x14ac:dyDescent="0.3">
      <c r="A13" s="5">
        <v>11</v>
      </c>
      <c r="B13" s="5" t="s">
        <v>56</v>
      </c>
      <c r="C13">
        <f>'Liu2019'!$C$17</f>
        <v>1.05</v>
      </c>
      <c r="D13">
        <f>'Liu2019'!$C$20</f>
        <v>4.3E-3</v>
      </c>
      <c r="E13" s="35">
        <f>'Liu2019'!$C$18</f>
        <v>0.71599999999999997</v>
      </c>
      <c r="F13">
        <v>1.1000000000000001</v>
      </c>
      <c r="G13">
        <v>0.46100000000000002</v>
      </c>
      <c r="H13" s="37">
        <v>830.39927467058499</v>
      </c>
      <c r="I13">
        <v>8.23</v>
      </c>
      <c r="J13" s="34">
        <v>27.3315787828898</v>
      </c>
      <c r="K13" s="27">
        <v>27.3315787828898</v>
      </c>
      <c r="L13" s="5">
        <v>25.4</v>
      </c>
      <c r="M13" s="23">
        <v>5.8577429796421903E-3</v>
      </c>
      <c r="N13" s="34">
        <v>1.6286361615710712</v>
      </c>
      <c r="O13">
        <v>17.2</v>
      </c>
      <c r="P13" s="23">
        <v>5.8577429796421903E-3</v>
      </c>
      <c r="Q13" s="34">
        <v>0.75080127048426382</v>
      </c>
      <c r="R13">
        <v>20</v>
      </c>
      <c r="S13" s="41">
        <v>2.2792022792022791E-3</v>
      </c>
      <c r="T13" s="5">
        <v>17.2</v>
      </c>
      <c r="U13" s="23">
        <v>5.8577429796421903E-3</v>
      </c>
      <c r="V13" s="47" t="s">
        <v>8</v>
      </c>
      <c r="W13" s="47" t="s">
        <v>8</v>
      </c>
      <c r="X13" s="34">
        <v>0.749</v>
      </c>
      <c r="Y13" s="27">
        <v>0.42899999999999999</v>
      </c>
    </row>
    <row r="14" spans="1:25" x14ac:dyDescent="0.3">
      <c r="A14" s="5">
        <v>12</v>
      </c>
      <c r="B14" s="5" t="s">
        <v>56</v>
      </c>
      <c r="C14">
        <f>'Liu2019'!$C$17</f>
        <v>1.05</v>
      </c>
      <c r="D14">
        <f>'Liu2019'!$C$20</f>
        <v>4.3E-3</v>
      </c>
      <c r="E14" s="35">
        <f>'Liu2019'!$C$18</f>
        <v>0.71599999999999997</v>
      </c>
      <c r="F14">
        <v>1.1000000000000001</v>
      </c>
      <c r="G14">
        <v>0.36099999999999999</v>
      </c>
      <c r="H14" s="37">
        <v>1169.90545396629</v>
      </c>
      <c r="I14">
        <v>8.23</v>
      </c>
      <c r="J14" s="34">
        <v>28.0972992673981</v>
      </c>
      <c r="K14" s="27">
        <v>28.0972992673981</v>
      </c>
      <c r="L14" s="5">
        <v>38.4</v>
      </c>
      <c r="M14" s="23">
        <v>1.25361802851232E-2</v>
      </c>
      <c r="N14" s="34">
        <v>2.4537501260033845</v>
      </c>
      <c r="O14">
        <v>24.4</v>
      </c>
      <c r="P14" s="23">
        <v>1.25361802851232E-2</v>
      </c>
      <c r="Q14" s="34">
        <v>0.88580379548722177</v>
      </c>
      <c r="R14">
        <v>25</v>
      </c>
      <c r="S14" s="41">
        <v>2.2792022792022791E-3</v>
      </c>
      <c r="T14" s="5">
        <v>24.4</v>
      </c>
      <c r="U14" s="23">
        <v>1.25361802851232E-2</v>
      </c>
      <c r="V14" s="47" t="s">
        <v>8</v>
      </c>
      <c r="W14" s="47" t="s">
        <v>8</v>
      </c>
      <c r="X14" s="34">
        <v>0.96599999999999997</v>
      </c>
      <c r="Y14" s="27">
        <v>0.71399999999999997</v>
      </c>
    </row>
    <row r="15" spans="1:25" x14ac:dyDescent="0.3">
      <c r="A15" s="5">
        <v>13</v>
      </c>
      <c r="B15" s="5" t="s">
        <v>56</v>
      </c>
      <c r="C15">
        <f>'Liu2019'!$C$17</f>
        <v>1.05</v>
      </c>
      <c r="D15">
        <f>'Liu2019'!$C$20</f>
        <v>4.3E-3</v>
      </c>
      <c r="E15" s="35">
        <f>'Liu2019'!$C$18</f>
        <v>0.71599999999999997</v>
      </c>
      <c r="F15">
        <v>1.1000000000000001</v>
      </c>
      <c r="G15">
        <v>0.46200000000000002</v>
      </c>
      <c r="H15" s="37">
        <v>1011.56550414039</v>
      </c>
      <c r="I15">
        <v>8.23</v>
      </c>
      <c r="J15" s="34">
        <v>28.037216246787001</v>
      </c>
      <c r="K15" s="27">
        <v>28.037216246787001</v>
      </c>
      <c r="L15" s="5">
        <v>38.6</v>
      </c>
      <c r="M15" s="23">
        <v>1.0570390611453401E-2</v>
      </c>
      <c r="N15" s="34">
        <v>2.1067395802140938</v>
      </c>
      <c r="O15">
        <v>22.5</v>
      </c>
      <c r="P15" s="23">
        <v>1.0570390611453401E-2</v>
      </c>
      <c r="Q15" s="34">
        <v>0.97331368605891133</v>
      </c>
      <c r="R15">
        <v>25</v>
      </c>
      <c r="S15" s="41">
        <v>2.2792022792022791E-3</v>
      </c>
      <c r="T15" s="5">
        <v>22.5</v>
      </c>
      <c r="U15" s="23">
        <v>1.0570390611453401E-2</v>
      </c>
      <c r="V15" s="47" t="s">
        <v>8</v>
      </c>
      <c r="W15" s="47" t="s">
        <v>8</v>
      </c>
      <c r="X15" s="34">
        <v>1.006</v>
      </c>
      <c r="Y15" s="27">
        <v>0.68200000000000005</v>
      </c>
    </row>
    <row r="16" spans="1:25" x14ac:dyDescent="0.3">
      <c r="A16" s="5">
        <v>14</v>
      </c>
      <c r="B16" s="5" t="s">
        <v>56</v>
      </c>
      <c r="C16">
        <f>'Liu2019'!$C$17</f>
        <v>1.05</v>
      </c>
      <c r="D16">
        <f>'Liu2019'!$C$20</f>
        <v>4.3E-3</v>
      </c>
      <c r="E16" s="35">
        <f>'Liu2019'!$C$18</f>
        <v>0.71599999999999997</v>
      </c>
      <c r="F16">
        <v>1.1000000000000001</v>
      </c>
      <c r="G16">
        <v>0.44700000000000001</v>
      </c>
      <c r="H16" s="37">
        <v>966.41002946789501</v>
      </c>
      <c r="I16">
        <v>8.23</v>
      </c>
      <c r="J16" s="34">
        <v>28.036755794206702</v>
      </c>
      <c r="K16" s="27">
        <v>28.036755794206702</v>
      </c>
      <c r="L16" s="5">
        <v>37.299999999999997</v>
      </c>
      <c r="M16" s="23">
        <v>1.39300706405851E-2</v>
      </c>
      <c r="N16" s="34">
        <v>2.021143645586069</v>
      </c>
      <c r="O16">
        <v>24</v>
      </c>
      <c r="P16" s="23">
        <v>1.39300706405851E-2</v>
      </c>
      <c r="Q16" s="34">
        <v>0.90345120957697289</v>
      </c>
      <c r="R16">
        <v>25</v>
      </c>
      <c r="S16" s="41">
        <v>2.2792022792022791E-3</v>
      </c>
      <c r="T16" s="5">
        <v>24</v>
      </c>
      <c r="U16" s="23">
        <v>1.39300706405851E-2</v>
      </c>
      <c r="V16" s="47" t="s">
        <v>8</v>
      </c>
      <c r="W16" s="47" t="s">
        <v>8</v>
      </c>
      <c r="X16" s="34">
        <v>1.0389999999999999</v>
      </c>
      <c r="Y16" s="27">
        <v>0.73899999999999999</v>
      </c>
    </row>
    <row r="17" spans="1:25" x14ac:dyDescent="0.3">
      <c r="A17" s="5">
        <v>15</v>
      </c>
      <c r="B17" s="5" t="s">
        <v>56</v>
      </c>
      <c r="C17">
        <f>'Liu2019'!$C$17</f>
        <v>1.05</v>
      </c>
      <c r="D17">
        <f>'Liu2019'!$C$20</f>
        <v>4.3E-3</v>
      </c>
      <c r="E17" s="35">
        <f>'Liu2019'!$C$18</f>
        <v>0.71599999999999997</v>
      </c>
      <c r="F17">
        <v>1.1000000000000001</v>
      </c>
      <c r="G17">
        <v>0.39500000000000002</v>
      </c>
      <c r="H17" s="37">
        <v>1070.81765381173</v>
      </c>
      <c r="I17">
        <v>8.23</v>
      </c>
      <c r="J17" s="34">
        <v>28.073696254674299</v>
      </c>
      <c r="K17" s="27">
        <v>28.073696254674299</v>
      </c>
      <c r="L17" s="5">
        <v>38.299999999999997</v>
      </c>
      <c r="M17" s="23">
        <v>1.43762928217429E-2</v>
      </c>
      <c r="N17" s="34">
        <v>2.2470860676222069</v>
      </c>
      <c r="O17">
        <v>24</v>
      </c>
      <c r="P17" s="23">
        <v>1.43762928217429E-2</v>
      </c>
      <c r="Q17" s="34">
        <v>0.8875989967107718</v>
      </c>
      <c r="R17">
        <v>25</v>
      </c>
      <c r="S17" s="41">
        <v>2.2792022792022791E-3</v>
      </c>
      <c r="T17" s="5">
        <v>24</v>
      </c>
      <c r="U17" s="23">
        <v>1.43762928217429E-2</v>
      </c>
      <c r="V17" s="47" t="s">
        <v>8</v>
      </c>
      <c r="W17" s="47" t="s">
        <v>8</v>
      </c>
      <c r="X17" s="34">
        <v>1.075</v>
      </c>
      <c r="Y17" s="27">
        <v>0.77300000000000002</v>
      </c>
    </row>
    <row r="18" spans="1:25" x14ac:dyDescent="0.3">
      <c r="A18" s="5">
        <v>16</v>
      </c>
      <c r="B18" s="5" t="s">
        <v>56</v>
      </c>
      <c r="C18">
        <f>'Liu2019'!$C$17</f>
        <v>1.05</v>
      </c>
      <c r="D18">
        <f>'Liu2019'!$C$20</f>
        <v>4.3E-3</v>
      </c>
      <c r="E18" s="35">
        <f>'Liu2019'!$C$18</f>
        <v>0.71599999999999997</v>
      </c>
      <c r="F18">
        <v>1.1000000000000001</v>
      </c>
      <c r="G18">
        <v>0.40200000000000002</v>
      </c>
      <c r="H18" s="37">
        <v>1167.5734943007201</v>
      </c>
      <c r="I18">
        <v>8.23</v>
      </c>
      <c r="J18" s="34">
        <v>28.141240040683499</v>
      </c>
      <c r="K18" s="27">
        <v>28.141240040683499</v>
      </c>
      <c r="L18" s="5">
        <v>38.700000000000003</v>
      </c>
      <c r="M18" s="23">
        <v>1.46972911569645E-2</v>
      </c>
      <c r="N18" s="34">
        <v>2.4637748751039643</v>
      </c>
      <c r="O18">
        <v>25.4</v>
      </c>
      <c r="P18" s="23">
        <v>1.46972911569645E-2</v>
      </c>
      <c r="Q18" s="34">
        <v>0.99043749979179374</v>
      </c>
      <c r="R18">
        <v>27</v>
      </c>
      <c r="S18" s="41">
        <v>2.2792022792022791E-3</v>
      </c>
      <c r="T18" s="5">
        <v>25.4</v>
      </c>
      <c r="U18" s="23">
        <v>1.46972911569645E-2</v>
      </c>
      <c r="V18" s="47" t="s">
        <v>8</v>
      </c>
      <c r="W18" s="47" t="s">
        <v>8</v>
      </c>
      <c r="X18" s="34">
        <v>0.99299999999999999</v>
      </c>
      <c r="Y18" s="27">
        <v>0.71499999999999997</v>
      </c>
    </row>
    <row r="19" spans="1:25" ht="15" thickBot="1" x14ac:dyDescent="0.35">
      <c r="A19" s="5">
        <v>17</v>
      </c>
      <c r="B19" s="7" t="s">
        <v>56</v>
      </c>
      <c r="C19" s="8">
        <f>'Liu2019'!$C$17</f>
        <v>1.05</v>
      </c>
      <c r="D19" s="8">
        <f>'Liu2019'!$C$20</f>
        <v>4.3E-3</v>
      </c>
      <c r="E19" s="39">
        <f>'Liu2019'!$C$18</f>
        <v>0.71599999999999997</v>
      </c>
      <c r="F19" s="8">
        <v>1.1000000000000001</v>
      </c>
      <c r="G19" s="8">
        <v>0.39100000000000001</v>
      </c>
      <c r="H19" s="43">
        <v>1206.94049429855</v>
      </c>
      <c r="I19" s="8">
        <v>8.23</v>
      </c>
      <c r="J19" s="17">
        <v>28.091197399565001</v>
      </c>
      <c r="K19" s="28">
        <v>28.091197399565001</v>
      </c>
      <c r="L19" s="7">
        <v>37.6</v>
      </c>
      <c r="M19" s="24">
        <v>1.3453334748545801E-2</v>
      </c>
      <c r="N19" s="17">
        <v>2.5331769842618224</v>
      </c>
      <c r="O19" s="8">
        <v>25.1</v>
      </c>
      <c r="P19" s="24">
        <v>1.3453334748545801E-2</v>
      </c>
      <c r="Q19" s="17">
        <v>0.99047220084637255</v>
      </c>
      <c r="R19" s="8">
        <v>27</v>
      </c>
      <c r="S19" s="44">
        <v>2.2792022792022791E-3</v>
      </c>
      <c r="T19" s="7">
        <v>25.1</v>
      </c>
      <c r="U19" s="24">
        <v>1.3453334748545801E-2</v>
      </c>
      <c r="V19" s="48" t="s">
        <v>8</v>
      </c>
      <c r="W19" s="48" t="s">
        <v>8</v>
      </c>
      <c r="X19" s="17">
        <v>0.99299999999999999</v>
      </c>
      <c r="Y19" s="28">
        <v>0.71099999999999997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Liu2019</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