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Z\alaniszeo_git\OSD-ECMTest\IEC\D-IEC\"/>
    </mc:Choice>
  </mc:AlternateContent>
  <xr:revisionPtr revIDLastSave="0" documentId="13_ncr:1_{6E13E5CA-0CA5-4B81-B2B6-8690FA473748}" xr6:coauthVersionLast="47" xr6:coauthVersionMax="47" xr10:uidLastSave="{00000000-0000-0000-0000-000000000000}"/>
  <bookViews>
    <workbookView xWindow="-108" yWindow="-108" windowWidth="30936" windowHeight="16776" xr2:uid="{1306219A-737B-4B5D-BCFD-98C34D3C77CC}"/>
  </bookViews>
  <sheets>
    <sheet name="Characteristics" sheetId="15" r:id="rId1"/>
    <sheet name="Data" sheetId="1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16" l="1"/>
  <c r="U16" i="16"/>
  <c r="U15" i="16"/>
  <c r="U14" i="16"/>
  <c r="U13" i="16"/>
  <c r="U12" i="16"/>
  <c r="U11" i="16"/>
  <c r="U10" i="16"/>
  <c r="U9" i="16"/>
  <c r="U8" i="16"/>
  <c r="U7" i="16"/>
  <c r="U6" i="16"/>
  <c r="U5" i="16"/>
  <c r="U4" i="16"/>
  <c r="U3" i="16"/>
  <c r="C21" i="15" l="1"/>
  <c r="C22" i="15" l="1"/>
  <c r="C20" i="15"/>
  <c r="C18" i="15"/>
  <c r="C17" i="15"/>
  <c r="C17" i="16" l="1"/>
  <c r="C13" i="16"/>
  <c r="C11" i="16"/>
  <c r="C9" i="16"/>
  <c r="C5" i="16"/>
  <c r="C3" i="16"/>
  <c r="C15" i="16"/>
  <c r="C7" i="16"/>
  <c r="C16" i="16"/>
  <c r="C14" i="16"/>
  <c r="C12" i="16"/>
  <c r="C10" i="16"/>
  <c r="C8" i="16"/>
  <c r="C6" i="16"/>
  <c r="C4" i="16"/>
  <c r="E17" i="16"/>
  <c r="E13" i="16"/>
  <c r="E11" i="16"/>
  <c r="E9" i="16"/>
  <c r="E5" i="16"/>
  <c r="E3" i="16"/>
  <c r="E16" i="16"/>
  <c r="E12" i="16"/>
  <c r="E10" i="16"/>
  <c r="E6" i="16"/>
  <c r="E15" i="16"/>
  <c r="E7" i="16"/>
  <c r="E14" i="16"/>
  <c r="E4" i="16"/>
  <c r="E8" i="16"/>
  <c r="D15" i="16"/>
  <c r="D11" i="16"/>
  <c r="D9" i="16"/>
  <c r="D5" i="16"/>
  <c r="D3" i="16"/>
  <c r="D16" i="16"/>
  <c r="D14" i="16"/>
  <c r="D10" i="16"/>
  <c r="D6" i="16"/>
  <c r="D4" i="16"/>
  <c r="D7" i="16"/>
  <c r="D8" i="16"/>
  <c r="D17" i="16"/>
  <c r="D13" i="16"/>
  <c r="D12" i="16"/>
  <c r="C19" i="15"/>
</calcChain>
</file>

<file path=xl/sharedStrings.xml><?xml version="1.0" encoding="utf-8"?>
<sst xmlns="http://schemas.openxmlformats.org/spreadsheetml/2006/main" count="622" uniqueCount="85">
  <si>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</si>
  <si>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</si>
  <si>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</si>
  <si>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</si>
  <si>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</si>
  <si>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</si>
  <si>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</si>
  <si>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</si>
  <si>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</si>
  <si>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</si>
  <si>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</si>
  <si>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</si>
  <si>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</si>
  <si>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</si>
  <si>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</si>
  <si>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</si>
  <si>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</si>
  <si>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</si>
  <si>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</si>
  <si>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</si>
  <si>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</si>
  <si>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</si>
  <si>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</si>
  <si>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</si>
  <si>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</si>
  <si>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</si>
  <si>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</si>
  <si>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</si>
  <si>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</si>
  <si>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</si>
  <si>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</si>
  <si>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</si>
  <si>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</si>
  <si>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</si>
  <si>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</si>
  <si>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</si>
  <si>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</si>
  <si>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</si>
  <si>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</si>
  <si>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</si>
  <si>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</si>
  <si>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</si>
  <si>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kg/s</t>
  </si>
  <si>
    <t>Testing conditions</t>
  </si>
  <si>
    <t>Inlet conditions</t>
  </si>
  <si>
    <t>Outlet conditions</t>
  </si>
  <si>
    <t>Run</t>
  </si>
  <si>
    <t>Wet surface theory</t>
  </si>
  <si>
    <t>Yes</t>
  </si>
  <si>
    <t>PCC</t>
  </si>
  <si>
    <t>Pakari &amp; Ghani</t>
  </si>
  <si>
    <t>Regression models for performance prediction of counter ﬂow dew point evaporative cooling systems</t>
  </si>
  <si>
    <t>Test</t>
  </si>
  <si>
    <t>pd</t>
  </si>
  <si>
    <t>sw</t>
  </si>
  <si>
    <t>D-IEC</t>
  </si>
  <si>
    <t>Experimental data (extracted from graphs) and numerical data (from table)</t>
  </si>
  <si>
    <t>E</t>
  </si>
  <si>
    <t>Experimental</t>
  </si>
  <si>
    <t>N</t>
  </si>
  <si>
    <t>Numerical</t>
  </si>
  <si>
    <t>Plastic sheets</t>
  </si>
  <si>
    <t>SPR</t>
  </si>
  <si>
    <t>m_dot_wf</t>
  </si>
  <si>
    <t>T_pdi</t>
  </si>
  <si>
    <t>w_pdi</t>
  </si>
  <si>
    <t>v_pdi</t>
  </si>
  <si>
    <t>T_swi</t>
  </si>
  <si>
    <t>w_swi</t>
  </si>
  <si>
    <t>v_swi</t>
  </si>
  <si>
    <t>T_wfi</t>
  </si>
  <si>
    <t>T_pdo</t>
  </si>
  <si>
    <t>w_pdo</t>
  </si>
  <si>
    <t>T_swo</t>
  </si>
  <si>
    <t>w_swo</t>
  </si>
  <si>
    <t>0.5-1.5</t>
  </si>
  <si>
    <t>0.15-0.52</t>
  </si>
  <si>
    <t>0.15-0.5</t>
  </si>
  <si>
    <t>Nu</t>
  </si>
  <si>
    <t>Re</t>
  </si>
  <si>
    <t>WWR</t>
  </si>
  <si>
    <t>h_T_pd</t>
  </si>
  <si>
    <t>h_T_sw</t>
  </si>
  <si>
    <t>Description</t>
  </si>
  <si>
    <t>Numerically testing of 90 combinations of geometrical parameters and operating conditions to evaluate the performance of D-IEC. Validation of the model performed with a vertical 100-channel D-IEC with dry channels made of corrugated plastic sheets stacked next to each other, and wicking paper pasted on the wet channels to enhance their wettability. Cooling system tested by varying the primary air extraction ratio and the inlet air conditions (temperature,  relative humidity, and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</si>
</sst>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3">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0" fillId="0" borderId="14" xfId="0"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6" fontId="0" fillId="0" borderId="0" xfId="0" applyNumberFormat="1"/>
    <xf numFmtId="166" fontId="0" fillId="0" borderId="4" xfId="0" applyNumberFormat="1" applyBorder="1"/>
    <xf numFmtId="166" fontId="0" fillId="0" borderId="1" xfId="0" applyNumberFormat="1" applyBorder="1"/>
    <xf numFmtId="165" fontId="0" fillId="0" borderId="2" xfId="0" applyNumberFormat="1" applyBorder="1"/>
    <xf numFmtId="166" fontId="0" fillId="0" borderId="7" xfId="0" applyNumberFormat="1" applyBorder="1"/>
    <xf numFmtId="165" fontId="0" fillId="0" borderId="7" xfId="0" applyNumberFormat="1" applyBorder="1"/>
    <xf numFmtId="166" fontId="0" fillId="0" borderId="6" xfId="0" applyNumberFormat="1" applyBorder="1"/>
    <xf numFmtId="0" fontId="0" fillId="0" borderId="13" xfId="0"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0" fillId="0" borderId="3" xfId="0" applyBorder="1" applyAlignment="1">
      <alignment horizontal="right"/>
    </xf>
    <xf numFmtId="0" fontId="0" fillId="0" borderId="5" xfId="0" applyBorder="1" applyAlignment="1">
      <alignment horizontal="right"/>
    </xf>
    <xf numFmtId="0" fontId="0" fillId="0" borderId="8" xfId="0" applyBorder="1" applyAlignment="1">
      <alignment horizontal="right"/>
    </xf>
    <xf numFmtId="0" fontId="0" fillId="0" borderId="4" xfId="0" applyBorder="1" applyAlignment="1">
      <alignment horizontal="right" vertical="center"/>
    </xf>
    <xf numFmtId="0" fontId="0" fillId="0" borderId="6" xfId="0" applyBorder="1" applyAlignment="1">
      <alignment horizontal="right"/>
    </xf>
    <xf numFmtId="0" fontId="0" fillId="0" borderId="4" xfId="0" applyBorder="1" applyAlignment="1">
      <alignment horizontal="left"/>
    </xf>
    <xf numFmtId="0" fontId="1" fillId="0" borderId="14" xfId="0" applyFont="1" applyBorder="1" applyAlignment="1">
      <alignment horizontal="left" vertical="top"/>
    </xf>
    <xf numFmtId="0" fontId="0" fillId="0" borderId="0" xfId="0"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451900</xdr:colOff>
      <xdr:row>9</xdr:row>
      <xdr:rowOff>60960</xdr:rowOff>
    </xdr:from>
    <xdr:to>
      <xdr:col>19</xdr:col>
      <xdr:colOff>587224</xdr:colOff>
      <xdr:row>26</xdr:row>
      <xdr:rowOff>330802</xdr:rowOff>
    </xdr:to>
    <xdr:pic>
      <xdr:nvPicPr>
        <xdr:cNvPr id="3" name="Image 2">
          <a:extLst>
            <a:ext uri="{FF2B5EF4-FFF2-40B4-BE49-F238E27FC236}">
              <a16:creationId xmlns:a16="http://schemas.microsoft.com/office/drawing/2014/main" id="{42262248-5F2E-ECF2-66DD-FA8C79B0028F}"/>
            </a:ext>
          </a:extLst>
        </xdr:cNvPr>
        <xdr:cNvPicPr>
          <a:picLocks noChangeAspect="1"/>
        </xdr:cNvPicPr>
      </xdr:nvPicPr>
      <xdr:blipFill>
        <a:blip xmlns:r="http://schemas.openxmlformats.org/officeDocument/2006/relationships" r:embed="rId1"/>
        <a:stretch>
          <a:fillRect/>
        </a:stretch>
      </xdr:blipFill>
      <xdr:spPr>
        <a:xfrm>
          <a:off x="7980460" y="2301240"/>
          <a:ext cx="6002724" cy="3455002"/>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E837-918F-4C24-9D6C-75D64455D52B}">
  <dimension ref="B1:AA32"/>
  <sheetViews>
    <sheetView tabSelected="1" zoomScaleNormal="100" workbookViewId="0">
      <selection activeCell="J16" sqref="J16"/>
    </sheetView>
  </sheetViews>
  <sheetFormatPr defaultColWidth="8.88671875" defaultRowHeight="14.4" x14ac:dyDescent="0.3"/>
  <cols>
    <col min="1" max="1" width="2.6640625" customWidth="1"/>
    <col min="2" max="2" width="22.33203125" bestFit="1" customWidth="1"/>
    <col min="3" max="3" width="17.21875" customWidth="1"/>
    <col min="6" max="6" width="12.44140625" customWidth="1"/>
    <col min="7" max="10" width="9.33203125" customWidth="1"/>
    <col min="11" max="11" width="10.109375" customWidth="1"/>
    <col min="12" max="12" width="9.33203125" customWidth="1"/>
    <col min="13" max="19" width="9.44140625" customWidth="1"/>
    <col min="20" max="20" width="9.6640625" bestFit="1" customWidth="1"/>
    <col min="21" max="24" width="9.44140625" customWidth="1"/>
    <col min="25" max="25" width="10.5546875" bestFit="1" customWidth="1"/>
    <col min="26" max="26" width="10.21875" bestFit="1"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22" t="s">
        <v>19</v>
      </c>
      <c r="C3" s="13" t="s">
        <v>50</v>
      </c>
      <c r="D3" s="3"/>
      <c r="E3" s="3"/>
      <c r="F3" s="3"/>
      <c r="G3" s="3"/>
      <c r="H3" s="3"/>
      <c r="I3" s="3"/>
      <c r="J3" s="3"/>
      <c r="K3" s="3"/>
      <c r="L3" s="3"/>
      <c r="M3" s="3"/>
      <c r="N3" s="4"/>
    </row>
    <row r="4" spans="2:14" x14ac:dyDescent="0.3">
      <c r="B4" s="23" t="s">
        <v>20</v>
      </c>
      <c r="C4" s="5" t="s">
        <v>51</v>
      </c>
      <c r="N4" s="6"/>
    </row>
    <row r="5" spans="2:14" x14ac:dyDescent="0.3">
      <c r="B5" s="23" t="s">
        <v>21</v>
      </c>
      <c r="C5" s="55">
        <v>2019</v>
      </c>
      <c r="N5" s="6"/>
    </row>
    <row r="6" spans="2:14" x14ac:dyDescent="0.3">
      <c r="B6" s="23" t="s">
        <v>22</v>
      </c>
      <c r="C6" s="55" t="s">
        <v>56</v>
      </c>
      <c r="N6" s="6"/>
    </row>
    <row r="7" spans="2:14" ht="58.8" customHeight="1" thickBot="1" x14ac:dyDescent="0.35">
      <c r="B7" s="56" t="s">
        <v>83</v>
      </c>
      <c r="C7" s="60" t="s">
        <v>84</v>
      </c>
      <c r="D7" s="61"/>
      <c r="E7" s="61"/>
      <c r="F7" s="61"/>
      <c r="G7" s="61"/>
      <c r="H7" s="61"/>
      <c r="I7" s="61"/>
      <c r="J7" s="61"/>
      <c r="K7" s="61"/>
      <c r="L7" s="61"/>
      <c r="M7" s="61"/>
      <c r="N7" s="62"/>
    </row>
    <row r="8" spans="2:14" ht="15" thickBot="1" x14ac:dyDescent="0.35"/>
    <row r="9" spans="2:14" ht="15" thickBot="1" x14ac:dyDescent="0.35">
      <c r="B9" s="10" t="s">
        <v>23</v>
      </c>
      <c r="C9" s="20"/>
      <c r="E9" s="10" t="s">
        <v>27</v>
      </c>
      <c r="F9" s="19"/>
      <c r="G9" s="19"/>
      <c r="H9" s="19"/>
      <c r="I9" s="19"/>
      <c r="J9" s="20"/>
    </row>
    <row r="10" spans="2:14" ht="15" thickBot="1" x14ac:dyDescent="0.35">
      <c r="B10" s="22" t="s">
        <v>24</v>
      </c>
      <c r="C10" s="6" t="s">
        <v>55</v>
      </c>
      <c r="E10" s="10" t="s">
        <v>53</v>
      </c>
      <c r="F10" s="11" t="s">
        <v>13</v>
      </c>
      <c r="G10" s="10" t="s">
        <v>53</v>
      </c>
      <c r="H10" s="12" t="s">
        <v>54</v>
      </c>
      <c r="I10" s="11" t="s">
        <v>54</v>
      </c>
      <c r="J10" s="12" t="s">
        <v>13</v>
      </c>
    </row>
    <row r="11" spans="2:14" ht="15" thickBot="1" x14ac:dyDescent="0.35">
      <c r="B11" s="23" t="s">
        <v>11</v>
      </c>
      <c r="C11" s="6" t="s">
        <v>47</v>
      </c>
      <c r="E11" s="58" t="s">
        <v>0</v>
      </c>
      <c r="F11" s="59"/>
      <c r="G11" s="58" t="s">
        <v>0</v>
      </c>
      <c r="H11" s="59"/>
      <c r="I11" s="58" t="s">
        <v>5</v>
      </c>
      <c r="J11" s="59"/>
    </row>
    <row r="12" spans="2:14" x14ac:dyDescent="0.3">
      <c r="B12" s="23" t="s">
        <v>25</v>
      </c>
      <c r="C12" s="6" t="s">
        <v>48</v>
      </c>
    </row>
    <row r="13" spans="2:14" x14ac:dyDescent="0.3">
      <c r="B13" s="23" t="s">
        <v>26</v>
      </c>
      <c r="C13" s="6" t="s">
        <v>61</v>
      </c>
      <c r="E13" s="1"/>
      <c r="F13" s="1"/>
      <c r="G13" s="1"/>
      <c r="H13" s="1"/>
      <c r="I13" s="1"/>
      <c r="J13" s="1"/>
    </row>
    <row r="14" spans="2:14" ht="15" thickBot="1" x14ac:dyDescent="0.35">
      <c r="B14" s="17" t="s">
        <v>27</v>
      </c>
      <c r="C14" s="9" t="s">
        <v>49</v>
      </c>
      <c r="E14" s="57"/>
      <c r="F14" s="57"/>
      <c r="G14" s="57"/>
      <c r="H14" s="57"/>
      <c r="I14" s="57"/>
      <c r="J14" s="57"/>
    </row>
    <row r="15" spans="2:14" ht="15" thickBot="1" x14ac:dyDescent="0.35">
      <c r="B15" s="1"/>
    </row>
    <row r="16" spans="2:14" ht="15" thickBot="1" x14ac:dyDescent="0.35">
      <c r="B16" s="10" t="s">
        <v>28</v>
      </c>
      <c r="C16" s="19"/>
      <c r="D16" s="20"/>
      <c r="F16" s="10" t="s">
        <v>29</v>
      </c>
      <c r="G16" s="19"/>
      <c r="H16" s="20"/>
    </row>
    <row r="17" spans="2:27" x14ac:dyDescent="0.3">
      <c r="B17" s="22" t="s">
        <v>30</v>
      </c>
      <c r="C17" s="3">
        <f>0.5</f>
        <v>0.5</v>
      </c>
      <c r="D17" s="4" t="s">
        <v>6</v>
      </c>
      <c r="F17" s="22" t="s">
        <v>14</v>
      </c>
      <c r="G17" s="32">
        <v>0.2</v>
      </c>
      <c r="H17" s="6" t="s">
        <v>31</v>
      </c>
    </row>
    <row r="18" spans="2:27" x14ac:dyDescent="0.3">
      <c r="B18" s="23" t="s">
        <v>32</v>
      </c>
      <c r="C18">
        <f>0.3</f>
        <v>0.3</v>
      </c>
      <c r="D18" s="6" t="s">
        <v>6</v>
      </c>
      <c r="F18" s="23" t="s">
        <v>33</v>
      </c>
      <c r="G18" s="37">
        <v>4.6511627906976738</v>
      </c>
      <c r="H18" s="6" t="s">
        <v>34</v>
      </c>
    </row>
    <row r="19" spans="2:27" ht="15" thickBot="1" x14ac:dyDescent="0.35">
      <c r="B19" s="23" t="s">
        <v>35</v>
      </c>
      <c r="C19">
        <f>C20*C22+C22*C21</f>
        <v>0.22</v>
      </c>
      <c r="D19" s="6" t="s">
        <v>6</v>
      </c>
      <c r="F19" s="17" t="s">
        <v>36</v>
      </c>
      <c r="G19" s="41">
        <v>5.8823529411764701</v>
      </c>
      <c r="H19" s="9" t="s">
        <v>34</v>
      </c>
    </row>
    <row r="20" spans="2:27" x14ac:dyDescent="0.3">
      <c r="B20" s="23" t="s">
        <v>10</v>
      </c>
      <c r="C20">
        <f>0.002</f>
        <v>2E-3</v>
      </c>
      <c r="D20" s="6" t="s">
        <v>6</v>
      </c>
    </row>
    <row r="21" spans="2:27" x14ac:dyDescent="0.3">
      <c r="B21" s="23" t="s">
        <v>15</v>
      </c>
      <c r="C21">
        <f>0.2*0.001</f>
        <v>2.0000000000000001E-4</v>
      </c>
      <c r="D21" s="6" t="s">
        <v>6</v>
      </c>
    </row>
    <row r="22" spans="2:27" ht="15" thickBot="1" x14ac:dyDescent="0.35">
      <c r="B22" s="17" t="s">
        <v>12</v>
      </c>
      <c r="C22" s="8">
        <f>50*2</f>
        <v>100</v>
      </c>
      <c r="D22" s="9" t="s">
        <v>2</v>
      </c>
    </row>
    <row r="23" spans="2:27" ht="15" thickBot="1" x14ac:dyDescent="0.35">
      <c r="B23" s="1"/>
    </row>
    <row r="24" spans="2:27" ht="15" thickBot="1" x14ac:dyDescent="0.35">
      <c r="B24" s="2" t="s">
        <v>37</v>
      </c>
      <c r="C24" s="3"/>
      <c r="D24" s="4"/>
      <c r="F24" s="10" t="s">
        <v>52</v>
      </c>
      <c r="G24" s="19"/>
      <c r="H24" s="20"/>
    </row>
    <row r="25" spans="2:27" x14ac:dyDescent="0.3">
      <c r="B25" s="2" t="s">
        <v>38</v>
      </c>
      <c r="C25" s="45" t="s">
        <v>75</v>
      </c>
      <c r="D25" s="4" t="s">
        <v>16</v>
      </c>
      <c r="F25" s="22" t="s">
        <v>57</v>
      </c>
      <c r="G25" t="s">
        <v>58</v>
      </c>
      <c r="H25" s="6"/>
    </row>
    <row r="26" spans="2:27" ht="15" thickBot="1" x14ac:dyDescent="0.35">
      <c r="B26" s="21" t="s">
        <v>39</v>
      </c>
      <c r="C26" s="46" t="s">
        <v>76</v>
      </c>
      <c r="D26" s="6" t="s">
        <v>16</v>
      </c>
      <c r="F26" s="17" t="s">
        <v>59</v>
      </c>
      <c r="G26" s="8" t="s">
        <v>60</v>
      </c>
      <c r="H26" s="9"/>
    </row>
    <row r="27" spans="2:27" ht="28.8" x14ac:dyDescent="0.3">
      <c r="B27" s="33" t="s">
        <v>40</v>
      </c>
      <c r="C27" s="53" t="s">
        <v>77</v>
      </c>
      <c r="D27" s="34" t="s">
        <v>17</v>
      </c>
    </row>
    <row r="28" spans="2:27" ht="15" thickBot="1" x14ac:dyDescent="0.35">
      <c r="B28" s="14" t="s">
        <v>41</v>
      </c>
      <c r="C28" s="54" t="s">
        <v>8</v>
      </c>
      <c r="D28" s="9" t="s">
        <v>42</v>
      </c>
      <c r="I28" s="35"/>
      <c r="J28" s="35"/>
      <c r="K28" s="35"/>
      <c r="L28" s="35"/>
    </row>
    <row r="29" spans="2:27" x14ac:dyDescent="0.3">
      <c r="J29" s="35"/>
    </row>
    <row r="31" spans="2:27" x14ac:dyDescent="0.3">
      <c r="AA31" s="1"/>
    </row>
    <row r="32" spans="2:27" x14ac:dyDescent="0.3">
      <c r="AA32" s="35"/>
    </row>
  </sheetData>
  <mergeCells count="7">
    <mergeCell ref="C7:N7"/>
    <mergeCell ref="E14:F14"/>
    <mergeCell ref="G14:H14"/>
    <mergeCell ref="I14:J14"/>
    <mergeCell ref="E11:F11"/>
    <mergeCell ref="G11:H11"/>
    <mergeCell ref="I11:J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2C00-CCFE-45BF-B15F-74DA65CEA462}">
  <dimension ref="A1:Y107"/>
  <sheetViews>
    <sheetView workbookViewId="0">
      <selection activeCell="V8" sqref="V8"/>
    </sheetView>
  </sheetViews>
  <sheetFormatPr defaultRowHeight="14.4" x14ac:dyDescent="0.3"/>
  <cols>
    <col min="24" max="24" width="10.5546875" bestFit="1" customWidth="1"/>
    <col min="25" max="25" width="10.21875" bestFit="1" customWidth="1"/>
  </cols>
  <sheetData>
    <row r="1" spans="1:25" ht="15" thickBot="1" x14ac:dyDescent="0.35">
      <c r="A1" s="2"/>
      <c r="B1" s="11" t="s">
        <v>43</v>
      </c>
      <c r="C1" s="11"/>
      <c r="D1" s="11"/>
      <c r="E1" s="11"/>
      <c r="F1" s="11"/>
      <c r="G1" s="11"/>
      <c r="H1" s="11"/>
      <c r="I1" s="11"/>
      <c r="J1" s="11"/>
      <c r="K1" s="12"/>
      <c r="L1" s="10" t="s">
        <v>44</v>
      </c>
      <c r="M1" s="11"/>
      <c r="N1" s="11"/>
      <c r="O1" s="11"/>
      <c r="P1" s="11"/>
      <c r="Q1" s="11"/>
      <c r="R1" s="11"/>
      <c r="S1" s="12"/>
      <c r="T1" s="12" t="s">
        <v>45</v>
      </c>
      <c r="U1" s="3"/>
      <c r="V1" s="3"/>
      <c r="W1" s="19"/>
      <c r="X1" s="3"/>
      <c r="Y1" s="4"/>
    </row>
    <row r="2" spans="1:25" ht="15" thickBot="1" x14ac:dyDescent="0.35">
      <c r="A2" s="14" t="s">
        <v>46</v>
      </c>
      <c r="B2" s="14" t="s">
        <v>52</v>
      </c>
      <c r="C2" s="15" t="s">
        <v>4</v>
      </c>
      <c r="D2" s="15" t="s">
        <v>9</v>
      </c>
      <c r="E2" s="15" t="s">
        <v>7</v>
      </c>
      <c r="F2" s="15" t="s">
        <v>80</v>
      </c>
      <c r="G2" s="15" t="s">
        <v>62</v>
      </c>
      <c r="H2" s="15" t="s">
        <v>79</v>
      </c>
      <c r="I2" s="15" t="s">
        <v>78</v>
      </c>
      <c r="J2" s="15" t="s">
        <v>81</v>
      </c>
      <c r="K2" s="26" t="s">
        <v>82</v>
      </c>
      <c r="L2" s="10" t="s">
        <v>64</v>
      </c>
      <c r="M2" s="11" t="s">
        <v>65</v>
      </c>
      <c r="N2" s="15" t="s">
        <v>66</v>
      </c>
      <c r="O2" s="11" t="s">
        <v>67</v>
      </c>
      <c r="P2" s="11" t="s">
        <v>68</v>
      </c>
      <c r="Q2" s="15" t="s">
        <v>69</v>
      </c>
      <c r="R2" s="15" t="s">
        <v>70</v>
      </c>
      <c r="S2" s="26" t="s">
        <v>63</v>
      </c>
      <c r="T2" s="11" t="s">
        <v>71</v>
      </c>
      <c r="U2" s="11" t="s">
        <v>72</v>
      </c>
      <c r="V2" s="11" t="s">
        <v>73</v>
      </c>
      <c r="W2" s="11" t="s">
        <v>74</v>
      </c>
      <c r="X2" s="11" t="s">
        <v>1</v>
      </c>
      <c r="Y2" s="12" t="s">
        <v>3</v>
      </c>
    </row>
    <row r="3" spans="1:25" x14ac:dyDescent="0.3">
      <c r="A3" s="5">
        <v>1</v>
      </c>
      <c r="B3" s="13" t="s">
        <v>57</v>
      </c>
      <c r="C3" s="3">
        <f>Characteristics!$C$17</f>
        <v>0.5</v>
      </c>
      <c r="D3" s="40">
        <f>Characteristics!$C$20</f>
        <v>2E-3</v>
      </c>
      <c r="E3" s="3">
        <f>Characteristics!$C$18</f>
        <v>0.3</v>
      </c>
      <c r="F3" s="3">
        <v>1</v>
      </c>
      <c r="G3" s="3">
        <v>0.33200000000000002</v>
      </c>
      <c r="H3" s="31">
        <v>2.81</v>
      </c>
      <c r="I3" s="31">
        <v>2.81</v>
      </c>
      <c r="J3" s="31">
        <v>18.3515212404427</v>
      </c>
      <c r="K3" s="27">
        <v>49.242160196775203</v>
      </c>
      <c r="L3" s="39">
        <v>29.2</v>
      </c>
      <c r="M3" s="30">
        <v>1.0940397857615563E-2</v>
      </c>
      <c r="N3" s="31">
        <v>0.59</v>
      </c>
      <c r="O3" s="35">
        <v>17.909635274904701</v>
      </c>
      <c r="P3" s="30">
        <v>1.0940397857615563E-2</v>
      </c>
      <c r="Q3" s="31">
        <v>0.19588</v>
      </c>
      <c r="R3" s="47" t="s">
        <v>8</v>
      </c>
      <c r="S3" s="50" t="s">
        <v>8</v>
      </c>
      <c r="T3" s="35">
        <v>17.909635274904701</v>
      </c>
      <c r="U3" s="24">
        <f>P3</f>
        <v>1.0940397857615563E-2</v>
      </c>
      <c r="V3" s="48" t="s">
        <v>8</v>
      </c>
      <c r="W3" s="48" t="s">
        <v>8</v>
      </c>
      <c r="X3" s="31">
        <v>1.2305051313946205</v>
      </c>
      <c r="Y3" s="27">
        <v>0.8150942980134126</v>
      </c>
    </row>
    <row r="4" spans="1:25" x14ac:dyDescent="0.3">
      <c r="A4" s="44">
        <v>2</v>
      </c>
      <c r="B4" s="5" t="s">
        <v>57</v>
      </c>
      <c r="C4">
        <f>Characteristics!$C$17</f>
        <v>0.5</v>
      </c>
      <c r="D4" s="36">
        <f>Characteristics!$C$20</f>
        <v>2E-3</v>
      </c>
      <c r="E4">
        <f>Characteristics!$C$18</f>
        <v>0.3</v>
      </c>
      <c r="F4">
        <v>1</v>
      </c>
      <c r="G4">
        <v>0.44700000000000006</v>
      </c>
      <c r="H4" s="35">
        <v>2.81</v>
      </c>
      <c r="I4" s="35">
        <v>2.81</v>
      </c>
      <c r="J4" s="35">
        <v>18.337037669394501</v>
      </c>
      <c r="K4" s="28">
        <v>49.203296806845003</v>
      </c>
      <c r="L4" s="38">
        <v>30.1</v>
      </c>
      <c r="M4" s="24">
        <v>8.0015282496515155E-3</v>
      </c>
      <c r="N4" s="35">
        <v>0.55000000000000004</v>
      </c>
      <c r="O4" s="35">
        <v>16.3320631464344</v>
      </c>
      <c r="P4" s="24">
        <v>8.0015282496515155E-3</v>
      </c>
      <c r="Q4" s="35">
        <v>0.24585000000000007</v>
      </c>
      <c r="R4" s="48" t="s">
        <v>8</v>
      </c>
      <c r="S4" s="51" t="s">
        <v>8</v>
      </c>
      <c r="T4" s="35">
        <v>16.3320631464344</v>
      </c>
      <c r="U4" s="24">
        <f>P4</f>
        <v>8.0015282496515155E-3</v>
      </c>
      <c r="V4" s="48" t="s">
        <v>8</v>
      </c>
      <c r="W4" s="48" t="s">
        <v>8</v>
      </c>
      <c r="X4" s="35">
        <v>1.1409079457413205</v>
      </c>
      <c r="Y4" s="28">
        <v>0.70747741439319478</v>
      </c>
    </row>
    <row r="5" spans="1:25" x14ac:dyDescent="0.3">
      <c r="A5" s="44">
        <v>3</v>
      </c>
      <c r="B5" s="5" t="s">
        <v>57</v>
      </c>
      <c r="C5">
        <f>Characteristics!$C$17</f>
        <v>0.5</v>
      </c>
      <c r="D5" s="36">
        <f>Characteristics!$C$20</f>
        <v>2E-3</v>
      </c>
      <c r="E5">
        <f>Characteristics!$C$18</f>
        <v>0.3</v>
      </c>
      <c r="F5">
        <v>1</v>
      </c>
      <c r="G5">
        <v>0.23600000000000002</v>
      </c>
      <c r="H5" s="35">
        <v>2.81</v>
      </c>
      <c r="I5" s="35">
        <v>2.81</v>
      </c>
      <c r="J5" s="35">
        <v>18.409552189126401</v>
      </c>
      <c r="K5" s="28">
        <v>49.397873133812404</v>
      </c>
      <c r="L5" s="38">
        <v>30.2</v>
      </c>
      <c r="M5" s="24">
        <v>8.3200225943932914E-3</v>
      </c>
      <c r="N5" s="35">
        <v>0.82</v>
      </c>
      <c r="O5" s="35">
        <v>19.052803483941201</v>
      </c>
      <c r="P5" s="24">
        <v>8.3200225943932914E-3</v>
      </c>
      <c r="Q5" s="35">
        <v>0.19352</v>
      </c>
      <c r="R5" s="48" t="s">
        <v>8</v>
      </c>
      <c r="S5" s="51" t="s">
        <v>8</v>
      </c>
      <c r="T5" s="35">
        <v>19.052803483941201</v>
      </c>
      <c r="U5" s="24">
        <f>P5</f>
        <v>8.3200225943932914E-3</v>
      </c>
      <c r="V5" s="48" t="s">
        <v>8</v>
      </c>
      <c r="W5" s="48" t="s">
        <v>8</v>
      </c>
      <c r="X5" s="35">
        <v>0.93847041567780065</v>
      </c>
      <c r="Y5" s="28">
        <v>0.58726972846783676</v>
      </c>
    </row>
    <row r="6" spans="1:25" x14ac:dyDescent="0.3">
      <c r="A6" s="44">
        <v>4</v>
      </c>
      <c r="B6" s="5" t="s">
        <v>57</v>
      </c>
      <c r="C6">
        <f>Characteristics!$C$17</f>
        <v>0.5</v>
      </c>
      <c r="D6" s="36">
        <f>Characteristics!$C$20</f>
        <v>2E-3</v>
      </c>
      <c r="E6">
        <f>Characteristics!$C$18</f>
        <v>0.3</v>
      </c>
      <c r="F6">
        <v>1</v>
      </c>
      <c r="G6">
        <v>0.38</v>
      </c>
      <c r="H6" s="35">
        <v>2.81</v>
      </c>
      <c r="I6" s="35">
        <v>2.81</v>
      </c>
      <c r="J6" s="35">
        <v>18.368109043640601</v>
      </c>
      <c r="K6" s="28">
        <v>49.286669818167198</v>
      </c>
      <c r="L6" s="38">
        <v>30.3</v>
      </c>
      <c r="M6" s="24">
        <v>8.0950354184995237E-3</v>
      </c>
      <c r="N6" s="35">
        <v>0.62</v>
      </c>
      <c r="O6" s="35">
        <v>17.3380511703864</v>
      </c>
      <c r="P6" s="24">
        <v>8.0950354184995237E-3</v>
      </c>
      <c r="Q6" s="35">
        <v>0.2356</v>
      </c>
      <c r="R6" s="48" t="s">
        <v>8</v>
      </c>
      <c r="S6" s="51" t="s">
        <v>8</v>
      </c>
      <c r="T6" s="35">
        <v>17.3380511703864</v>
      </c>
      <c r="U6" s="24">
        <f>P6</f>
        <v>8.0950354184995237E-3</v>
      </c>
      <c r="V6" s="48" t="s">
        <v>8</v>
      </c>
      <c r="W6" s="48" t="s">
        <v>8</v>
      </c>
      <c r="X6" s="35">
        <v>1.0689802028574651</v>
      </c>
      <c r="Y6" s="28">
        <v>0.66510954599888394</v>
      </c>
    </row>
    <row r="7" spans="1:25" x14ac:dyDescent="0.3">
      <c r="A7" s="44">
        <v>5</v>
      </c>
      <c r="B7" s="5" t="s">
        <v>57</v>
      </c>
      <c r="C7">
        <f>Characteristics!$C$17</f>
        <v>0.5</v>
      </c>
      <c r="D7" s="36">
        <f>Characteristics!$C$20</f>
        <v>2E-3</v>
      </c>
      <c r="E7">
        <f>Characteristics!$C$18</f>
        <v>0.3</v>
      </c>
      <c r="F7">
        <v>1</v>
      </c>
      <c r="G7">
        <v>0.37</v>
      </c>
      <c r="H7" s="35">
        <v>2.81</v>
      </c>
      <c r="I7" s="35">
        <v>2.81</v>
      </c>
      <c r="J7" s="35">
        <v>18.441379883486299</v>
      </c>
      <c r="K7" s="28">
        <v>49.4832755592479</v>
      </c>
      <c r="L7" s="38">
        <v>30.3</v>
      </c>
      <c r="M7" s="24">
        <v>9.1903225773597337E-3</v>
      </c>
      <c r="N7" s="35">
        <v>0.87</v>
      </c>
      <c r="O7" s="35">
        <v>20.226456178551899</v>
      </c>
      <c r="P7" s="24">
        <v>9.1903225773597337E-3</v>
      </c>
      <c r="Q7" s="35">
        <v>0.32190000000000002</v>
      </c>
      <c r="R7" s="48" t="s">
        <v>8</v>
      </c>
      <c r="S7" s="51" t="s">
        <v>8</v>
      </c>
      <c r="T7" s="35">
        <v>20.226456178551899</v>
      </c>
      <c r="U7" s="24">
        <f>P7</f>
        <v>9.1903225773597337E-3</v>
      </c>
      <c r="V7" s="48" t="s">
        <v>8</v>
      </c>
      <c r="W7" s="48" t="s">
        <v>8</v>
      </c>
      <c r="X7" s="35">
        <v>0.8946780380940943</v>
      </c>
      <c r="Y7" s="28">
        <v>0.57254398605467605</v>
      </c>
    </row>
    <row r="8" spans="1:25" x14ac:dyDescent="0.3">
      <c r="A8" s="44">
        <v>6</v>
      </c>
      <c r="B8" s="5" t="s">
        <v>57</v>
      </c>
      <c r="C8">
        <f>Characteristics!$C$17</f>
        <v>0.5</v>
      </c>
      <c r="D8" s="36">
        <f>Characteristics!$C$20</f>
        <v>2E-3</v>
      </c>
      <c r="E8">
        <f>Characteristics!$C$18</f>
        <v>0.3</v>
      </c>
      <c r="F8">
        <v>1</v>
      </c>
      <c r="G8">
        <v>0.17199999999999999</v>
      </c>
      <c r="H8" s="35">
        <v>2.81</v>
      </c>
      <c r="I8" s="35">
        <v>2.81</v>
      </c>
      <c r="J8" s="35">
        <v>18.5788117597331</v>
      </c>
      <c r="K8" s="28">
        <v>49.852042942486797</v>
      </c>
      <c r="L8" s="38">
        <v>30.5</v>
      </c>
      <c r="M8" s="24">
        <v>9.2977658366679809E-3</v>
      </c>
      <c r="N8" s="35">
        <v>0.95</v>
      </c>
      <c r="O8" s="35">
        <v>25.3783342406096</v>
      </c>
      <c r="P8" s="24">
        <v>9.2977658366679809E-3</v>
      </c>
      <c r="Q8" s="35">
        <v>0.16339999999999999</v>
      </c>
      <c r="R8" s="48" t="s">
        <v>8</v>
      </c>
      <c r="S8" s="51" t="s">
        <v>8</v>
      </c>
      <c r="T8" s="35">
        <v>25.3783342406096</v>
      </c>
      <c r="U8" s="24">
        <f>P8</f>
        <v>9.2977658366679809E-3</v>
      </c>
      <c r="V8" s="48" t="s">
        <v>8</v>
      </c>
      <c r="W8" s="48" t="s">
        <v>8</v>
      </c>
      <c r="X8" s="35">
        <v>0.45275911800655955</v>
      </c>
      <c r="Y8" s="28">
        <v>0.29067973186432666</v>
      </c>
    </row>
    <row r="9" spans="1:25" x14ac:dyDescent="0.3">
      <c r="A9" s="44">
        <v>7</v>
      </c>
      <c r="B9" s="5" t="s">
        <v>57</v>
      </c>
      <c r="C9">
        <f>Characteristics!$C$17</f>
        <v>0.5</v>
      </c>
      <c r="D9" s="36">
        <f>Characteristics!$C$20</f>
        <v>2E-3</v>
      </c>
      <c r="E9">
        <f>Characteristics!$C$18</f>
        <v>0.3</v>
      </c>
      <c r="F9">
        <v>1</v>
      </c>
      <c r="G9">
        <v>0.35899999999999999</v>
      </c>
      <c r="H9" s="35">
        <v>2.81</v>
      </c>
      <c r="I9" s="35">
        <v>2.81</v>
      </c>
      <c r="J9" s="35">
        <v>18.6001796954497</v>
      </c>
      <c r="K9" s="28">
        <v>49.909378969285001</v>
      </c>
      <c r="L9" s="38">
        <v>32.4</v>
      </c>
      <c r="M9" s="24">
        <v>1.759255514889959E-2</v>
      </c>
      <c r="N9" s="35">
        <v>0.56999999999999995</v>
      </c>
      <c r="O9" s="35">
        <v>24.7762656505171</v>
      </c>
      <c r="P9" s="24">
        <v>1.759255514889959E-2</v>
      </c>
      <c r="Q9" s="35">
        <v>0.20462999999999998</v>
      </c>
      <c r="R9" s="48" t="s">
        <v>8</v>
      </c>
      <c r="S9" s="51" t="s">
        <v>8</v>
      </c>
      <c r="T9" s="35">
        <v>24.7762656505171</v>
      </c>
      <c r="U9" s="24">
        <f>P9</f>
        <v>1.759255514889959E-2</v>
      </c>
      <c r="V9" s="48" t="s">
        <v>8</v>
      </c>
      <c r="W9" s="48" t="s">
        <v>8</v>
      </c>
      <c r="X9" s="35">
        <v>1.0800905411441084</v>
      </c>
      <c r="Y9" s="28">
        <v>0.79338085866796448</v>
      </c>
    </row>
    <row r="10" spans="1:25" x14ac:dyDescent="0.3">
      <c r="A10" s="44">
        <v>8</v>
      </c>
      <c r="B10" s="5" t="s">
        <v>57</v>
      </c>
      <c r="C10">
        <f>Characteristics!$C$17</f>
        <v>0.5</v>
      </c>
      <c r="D10" s="36">
        <f>Characteristics!$C$20</f>
        <v>2E-3</v>
      </c>
      <c r="E10">
        <f>Characteristics!$C$18</f>
        <v>0.3</v>
      </c>
      <c r="F10">
        <v>1</v>
      </c>
      <c r="G10">
        <v>0.36700000000000005</v>
      </c>
      <c r="H10" s="35">
        <v>2.81</v>
      </c>
      <c r="I10" s="35">
        <v>2.81</v>
      </c>
      <c r="J10" s="35">
        <v>18.554985529711502</v>
      </c>
      <c r="K10" s="28">
        <v>49.788110638443001</v>
      </c>
      <c r="L10" s="38">
        <v>35.1</v>
      </c>
      <c r="M10" s="24">
        <v>9.9283395349477905E-3</v>
      </c>
      <c r="N10" s="35">
        <v>0.54</v>
      </c>
      <c r="O10" s="35">
        <v>19.883505715841</v>
      </c>
      <c r="P10" s="24">
        <v>9.9283395349477905E-3</v>
      </c>
      <c r="Q10" s="35">
        <v>0.19818000000000005</v>
      </c>
      <c r="R10" s="48" t="s">
        <v>8</v>
      </c>
      <c r="S10" s="51" t="s">
        <v>8</v>
      </c>
      <c r="T10" s="35">
        <v>19.883505715841</v>
      </c>
      <c r="U10" s="24">
        <f>P10</f>
        <v>9.9283395349477905E-3</v>
      </c>
      <c r="V10" s="48" t="s">
        <v>8</v>
      </c>
      <c r="W10" s="48" t="s">
        <v>8</v>
      </c>
      <c r="X10" s="35">
        <v>1.0849350641683586</v>
      </c>
      <c r="Y10" s="28">
        <v>0.7167737273496082</v>
      </c>
    </row>
    <row r="11" spans="1:25" x14ac:dyDescent="0.3">
      <c r="A11" s="44">
        <v>9</v>
      </c>
      <c r="B11" s="5" t="s">
        <v>57</v>
      </c>
      <c r="C11">
        <f>Characteristics!$C$17</f>
        <v>0.5</v>
      </c>
      <c r="D11" s="36">
        <f>Characteristics!$C$20</f>
        <v>2E-3</v>
      </c>
      <c r="E11">
        <f>Characteristics!$C$18</f>
        <v>0.3</v>
      </c>
      <c r="F11">
        <v>1</v>
      </c>
      <c r="G11">
        <v>0.32200000000000001</v>
      </c>
      <c r="H11" s="35">
        <v>2.81</v>
      </c>
      <c r="I11" s="35">
        <v>2.81</v>
      </c>
      <c r="J11" s="35">
        <v>18.678523385022601</v>
      </c>
      <c r="K11" s="28">
        <v>50.119596556252702</v>
      </c>
      <c r="L11" s="38">
        <v>36.799999999999997</v>
      </c>
      <c r="M11" s="24">
        <v>1.1712302690966108E-2</v>
      </c>
      <c r="N11" s="35">
        <v>0.57999999999999996</v>
      </c>
      <c r="O11" s="35">
        <v>23.114861186717398</v>
      </c>
      <c r="P11" s="24">
        <v>1.1712302690966108E-2</v>
      </c>
      <c r="Q11" s="35">
        <v>0.18675999999999998</v>
      </c>
      <c r="R11" s="48" t="s">
        <v>8</v>
      </c>
      <c r="S11" s="51" t="s">
        <v>8</v>
      </c>
      <c r="T11" s="35">
        <v>23.114861186717398</v>
      </c>
      <c r="U11" s="24">
        <f>P11</f>
        <v>1.1712302690966108E-2</v>
      </c>
      <c r="V11" s="48" t="s">
        <v>8</v>
      </c>
      <c r="W11" s="48" t="s">
        <v>8</v>
      </c>
      <c r="X11" s="35">
        <v>0.97745407041396282</v>
      </c>
      <c r="Y11" s="28">
        <v>0.67067526815087242</v>
      </c>
    </row>
    <row r="12" spans="1:25" x14ac:dyDescent="0.3">
      <c r="A12" s="44">
        <v>10</v>
      </c>
      <c r="B12" s="5" t="s">
        <v>57</v>
      </c>
      <c r="C12">
        <f>Characteristics!$C$17</f>
        <v>0.5</v>
      </c>
      <c r="D12" s="36">
        <f>Characteristics!$C$20</f>
        <v>2E-3</v>
      </c>
      <c r="E12">
        <f>Characteristics!$C$18</f>
        <v>0.3</v>
      </c>
      <c r="F12">
        <v>1</v>
      </c>
      <c r="G12">
        <v>0.36899999999999999</v>
      </c>
      <c r="H12" s="35">
        <v>2.81</v>
      </c>
      <c r="I12" s="35">
        <v>2.81</v>
      </c>
      <c r="J12" s="35">
        <v>18.589338530951899</v>
      </c>
      <c r="K12" s="28">
        <v>49.880289154226801</v>
      </c>
      <c r="L12" s="38">
        <v>38.200000000000003</v>
      </c>
      <c r="M12" s="24">
        <v>9.2316697998451065E-3</v>
      </c>
      <c r="N12" s="35">
        <v>0.51</v>
      </c>
      <c r="O12" s="35">
        <v>18.084921066956898</v>
      </c>
      <c r="P12" s="24">
        <v>9.2316697998451065E-3</v>
      </c>
      <c r="Q12" s="35">
        <v>0.18819</v>
      </c>
      <c r="R12" s="48" t="s">
        <v>8</v>
      </c>
      <c r="S12" s="51" t="s">
        <v>8</v>
      </c>
      <c r="T12" s="35">
        <v>18.084921066956898</v>
      </c>
      <c r="U12" s="24">
        <f>P12</f>
        <v>9.2316697998451065E-3</v>
      </c>
      <c r="V12" s="48" t="s">
        <v>8</v>
      </c>
      <c r="W12" s="48" t="s">
        <v>8</v>
      </c>
      <c r="X12" s="35">
        <v>1.2039128235400813</v>
      </c>
      <c r="Y12" s="28">
        <v>0.7910945118235102</v>
      </c>
    </row>
    <row r="13" spans="1:25" x14ac:dyDescent="0.3">
      <c r="A13" s="44">
        <v>11</v>
      </c>
      <c r="B13" s="5" t="s">
        <v>57</v>
      </c>
      <c r="C13">
        <f>Characteristics!$C$17</f>
        <v>0.5</v>
      </c>
      <c r="D13" s="36">
        <f>Characteristics!$C$20</f>
        <v>2E-3</v>
      </c>
      <c r="E13">
        <f>Characteristics!$C$18</f>
        <v>0.3</v>
      </c>
      <c r="F13">
        <v>1</v>
      </c>
      <c r="G13">
        <v>0.376</v>
      </c>
      <c r="H13" s="35">
        <v>2.81</v>
      </c>
      <c r="I13" s="35">
        <v>2.81</v>
      </c>
      <c r="J13" s="35">
        <v>18.793589282253599</v>
      </c>
      <c r="K13" s="28">
        <v>50.428349889036397</v>
      </c>
      <c r="L13" s="38">
        <v>40.200000000000003</v>
      </c>
      <c r="M13" s="24">
        <v>1.5088219391693778E-2</v>
      </c>
      <c r="N13" s="35">
        <v>0.83</v>
      </c>
      <c r="O13" s="35">
        <v>24.4637996733805</v>
      </c>
      <c r="P13" s="24">
        <v>1.5088219391693778E-2</v>
      </c>
      <c r="Q13" s="35">
        <v>0.31207999999999997</v>
      </c>
      <c r="R13" s="48" t="s">
        <v>8</v>
      </c>
      <c r="S13" s="51" t="s">
        <v>8</v>
      </c>
      <c r="T13" s="35">
        <v>24.4637996733805</v>
      </c>
      <c r="U13" s="24">
        <f>P13</f>
        <v>1.5088219391693778E-2</v>
      </c>
      <c r="V13" s="48" t="s">
        <v>8</v>
      </c>
      <c r="W13" s="48" t="s">
        <v>8</v>
      </c>
      <c r="X13" s="35">
        <v>1.0933487452316721</v>
      </c>
      <c r="Y13" s="28">
        <v>0.79261868453359696</v>
      </c>
    </row>
    <row r="14" spans="1:25" x14ac:dyDescent="0.3">
      <c r="A14" s="44">
        <v>12</v>
      </c>
      <c r="B14" s="5" t="s">
        <v>57</v>
      </c>
      <c r="C14">
        <f>Characteristics!$C$17</f>
        <v>0.5</v>
      </c>
      <c r="D14" s="36">
        <f>Characteristics!$C$20</f>
        <v>2E-3</v>
      </c>
      <c r="E14">
        <f>Characteristics!$C$18</f>
        <v>0.3</v>
      </c>
      <c r="F14">
        <v>1</v>
      </c>
      <c r="G14">
        <v>0.48299999999999998</v>
      </c>
      <c r="H14" s="35">
        <v>2.81</v>
      </c>
      <c r="I14" s="35">
        <v>2.81</v>
      </c>
      <c r="J14" s="35">
        <v>18.768482943769701</v>
      </c>
      <c r="K14" s="28">
        <v>50.360982703211299</v>
      </c>
      <c r="L14" s="38">
        <v>42.2</v>
      </c>
      <c r="M14" s="24">
        <v>9.3492892738094666E-3</v>
      </c>
      <c r="N14" s="35">
        <v>0.67</v>
      </c>
      <c r="O14" s="35">
        <v>21.0876428960261</v>
      </c>
      <c r="P14" s="24">
        <v>9.3492892738094666E-3</v>
      </c>
      <c r="Q14" s="35">
        <v>0.32361000000000001</v>
      </c>
      <c r="R14" s="48" t="s">
        <v>8</v>
      </c>
      <c r="S14" s="51" t="s">
        <v>8</v>
      </c>
      <c r="T14" s="35">
        <v>21.0876428960261</v>
      </c>
      <c r="U14" s="24">
        <f>P14</f>
        <v>9.3492892738094666E-3</v>
      </c>
      <c r="V14" s="48" t="s">
        <v>8</v>
      </c>
      <c r="W14" s="48" t="s">
        <v>8</v>
      </c>
      <c r="X14" s="35">
        <v>1.0835197254423938</v>
      </c>
      <c r="Y14" s="28">
        <v>0.72212417085106517</v>
      </c>
    </row>
    <row r="15" spans="1:25" x14ac:dyDescent="0.3">
      <c r="A15" s="44">
        <v>13</v>
      </c>
      <c r="B15" s="5" t="s">
        <v>57</v>
      </c>
      <c r="C15">
        <f>Characteristics!$C$17</f>
        <v>0.5</v>
      </c>
      <c r="D15" s="36">
        <f>Characteristics!$C$20</f>
        <v>2E-3</v>
      </c>
      <c r="E15">
        <f>Characteristics!$C$18</f>
        <v>0.3</v>
      </c>
      <c r="F15">
        <v>1</v>
      </c>
      <c r="G15">
        <v>0.308</v>
      </c>
      <c r="H15" s="35">
        <v>2.81</v>
      </c>
      <c r="I15" s="35">
        <v>2.81</v>
      </c>
      <c r="J15" s="35">
        <v>18.887544120769501</v>
      </c>
      <c r="K15" s="28">
        <v>50.680456466406497</v>
      </c>
      <c r="L15" s="38">
        <v>43.9</v>
      </c>
      <c r="M15" s="24">
        <v>1.1388729368580012E-2</v>
      </c>
      <c r="N15" s="35">
        <v>0.59</v>
      </c>
      <c r="O15" s="35">
        <v>24.204681545998898</v>
      </c>
      <c r="P15" s="24">
        <v>1.1388729368580012E-2</v>
      </c>
      <c r="Q15" s="35">
        <v>0.18171999999999999</v>
      </c>
      <c r="R15" s="48" t="s">
        <v>8</v>
      </c>
      <c r="S15" s="51" t="s">
        <v>8</v>
      </c>
      <c r="T15" s="35">
        <v>24.204681545998898</v>
      </c>
      <c r="U15" s="24">
        <f>P15</f>
        <v>1.1388729368580012E-2</v>
      </c>
      <c r="V15" s="48" t="s">
        <v>8</v>
      </c>
      <c r="W15" s="48" t="s">
        <v>8</v>
      </c>
      <c r="X15" s="35">
        <v>1.0151622406140723</v>
      </c>
      <c r="Y15" s="28">
        <v>0.70501667413066094</v>
      </c>
    </row>
    <row r="16" spans="1:25" x14ac:dyDescent="0.3">
      <c r="A16" s="44">
        <v>14</v>
      </c>
      <c r="B16" s="5" t="s">
        <v>57</v>
      </c>
      <c r="C16">
        <f>Characteristics!$C$17</f>
        <v>0.5</v>
      </c>
      <c r="D16" s="36">
        <f>Characteristics!$C$20</f>
        <v>2E-3</v>
      </c>
      <c r="E16">
        <f>Characteristics!$C$18</f>
        <v>0.3</v>
      </c>
      <c r="F16">
        <v>1</v>
      </c>
      <c r="G16">
        <v>0.41700000000000004</v>
      </c>
      <c r="H16" s="35">
        <v>2.81</v>
      </c>
      <c r="I16" s="35">
        <v>2.81</v>
      </c>
      <c r="J16" s="35">
        <v>18.867344754585599</v>
      </c>
      <c r="K16" s="28">
        <v>50.626256031877404</v>
      </c>
      <c r="L16" s="38">
        <v>44.1</v>
      </c>
      <c r="M16" s="24">
        <v>1.4453903596287407E-2</v>
      </c>
      <c r="N16" s="35">
        <v>0.77</v>
      </c>
      <c r="O16" s="35">
        <v>23.4349482852476</v>
      </c>
      <c r="P16" s="24">
        <v>1.4453903596287407E-2</v>
      </c>
      <c r="Q16" s="35">
        <v>0.32109000000000004</v>
      </c>
      <c r="R16" s="48" t="s">
        <v>8</v>
      </c>
      <c r="S16" s="51" t="s">
        <v>8</v>
      </c>
      <c r="T16" s="35">
        <v>23.4349482852476</v>
      </c>
      <c r="U16" s="24">
        <f>P16</f>
        <v>1.4453903596287407E-2</v>
      </c>
      <c r="V16" s="48" t="s">
        <v>8</v>
      </c>
      <c r="W16" s="48" t="s">
        <v>8</v>
      </c>
      <c r="X16" s="35">
        <v>1.1668808154652861</v>
      </c>
      <c r="Y16" s="28">
        <v>0.84586888280498473</v>
      </c>
    </row>
    <row r="17" spans="1:25" x14ac:dyDescent="0.3">
      <c r="A17" s="44">
        <v>15</v>
      </c>
      <c r="B17" s="5" t="s">
        <v>57</v>
      </c>
      <c r="C17">
        <f>Characteristics!$C$17</f>
        <v>0.5</v>
      </c>
      <c r="D17" s="36">
        <f>Characteristics!$C$20</f>
        <v>2E-3</v>
      </c>
      <c r="E17">
        <f>Characteristics!$C$18</f>
        <v>0.3</v>
      </c>
      <c r="F17">
        <v>1</v>
      </c>
      <c r="G17">
        <v>0.33700000000000002</v>
      </c>
      <c r="H17" s="35">
        <v>2.81</v>
      </c>
      <c r="I17" s="35">
        <v>2.81</v>
      </c>
      <c r="J17" s="35">
        <v>18.813692833717798</v>
      </c>
      <c r="K17" s="28">
        <v>50.482293226416999</v>
      </c>
      <c r="L17" s="38">
        <v>44.2</v>
      </c>
      <c r="M17" s="24">
        <v>9.8075552020994872E-3</v>
      </c>
      <c r="N17" s="35">
        <v>0.55000000000000004</v>
      </c>
      <c r="O17" s="35">
        <v>20.8894937397931</v>
      </c>
      <c r="P17" s="24">
        <v>9.8075552020994872E-3</v>
      </c>
      <c r="Q17" s="35">
        <v>0.18535000000000001</v>
      </c>
      <c r="R17" s="48" t="s">
        <v>8</v>
      </c>
      <c r="S17" s="51" t="s">
        <v>8</v>
      </c>
      <c r="T17" s="35">
        <v>20.8894937397931</v>
      </c>
      <c r="U17" s="24">
        <f>P17</f>
        <v>9.8075552020994872E-3</v>
      </c>
      <c r="V17" s="48" t="s">
        <v>8</v>
      </c>
      <c r="W17" s="48" t="s">
        <v>8</v>
      </c>
      <c r="X17" s="35">
        <v>1.1297888540414194</v>
      </c>
      <c r="Y17" s="28">
        <v>0.76391786751592128</v>
      </c>
    </row>
    <row r="18" spans="1:25" x14ac:dyDescent="0.3">
      <c r="A18" s="44">
        <v>16</v>
      </c>
      <c r="B18" s="5" t="s">
        <v>59</v>
      </c>
      <c r="C18">
        <v>0.75</v>
      </c>
      <c r="D18" s="36">
        <v>3.5000000000000001E-3</v>
      </c>
      <c r="E18">
        <v>0.3</v>
      </c>
      <c r="F18">
        <v>1</v>
      </c>
      <c r="G18">
        <v>0.32500000000000001</v>
      </c>
      <c r="H18" s="35">
        <v>2.81</v>
      </c>
      <c r="I18" s="35">
        <v>2.81</v>
      </c>
      <c r="J18" s="35">
        <v>10.6637371462384</v>
      </c>
      <c r="K18" s="28">
        <v>28.613728855030999</v>
      </c>
      <c r="L18" s="38">
        <v>35.5</v>
      </c>
      <c r="M18" s="24">
        <v>1.08916789845473E-2</v>
      </c>
      <c r="N18" s="35">
        <v>1</v>
      </c>
      <c r="O18">
        <v>23.7</v>
      </c>
      <c r="P18" s="24">
        <v>1.08916789845473E-2</v>
      </c>
      <c r="Q18" s="35">
        <v>0.32500000000000001</v>
      </c>
      <c r="R18" s="48" t="s">
        <v>8</v>
      </c>
      <c r="S18" s="51" t="s">
        <v>8</v>
      </c>
      <c r="T18">
        <v>23.7</v>
      </c>
      <c r="U18" s="24">
        <v>1.08916789845473E-2</v>
      </c>
      <c r="V18" s="48" t="s">
        <v>8</v>
      </c>
      <c r="W18" s="48" t="s">
        <v>8</v>
      </c>
      <c r="X18">
        <v>0.86</v>
      </c>
      <c r="Y18" s="28">
        <v>0.58358453993443304</v>
      </c>
    </row>
    <row r="19" spans="1:25" x14ac:dyDescent="0.3">
      <c r="A19" s="44">
        <v>17</v>
      </c>
      <c r="B19" s="5" t="s">
        <v>59</v>
      </c>
      <c r="C19">
        <v>0.875</v>
      </c>
      <c r="D19" s="36">
        <v>2.7499999999999998E-3</v>
      </c>
      <c r="E19">
        <v>0.3</v>
      </c>
      <c r="F19">
        <v>1</v>
      </c>
      <c r="G19">
        <v>0.23749999999999999</v>
      </c>
      <c r="H19" s="35">
        <v>2.81</v>
      </c>
      <c r="I19" s="35">
        <v>2.81</v>
      </c>
      <c r="J19" s="35">
        <v>13.719466514819301</v>
      </c>
      <c r="K19" s="28">
        <v>36.813088086027498</v>
      </c>
      <c r="L19" s="38">
        <v>40.25</v>
      </c>
      <c r="M19" s="24">
        <v>1.90275189094509E-2</v>
      </c>
      <c r="N19" s="35">
        <v>0.75</v>
      </c>
      <c r="O19">
        <v>27.5</v>
      </c>
      <c r="P19" s="24">
        <v>1.90275189094509E-2</v>
      </c>
      <c r="Q19" s="35">
        <v>0.17812499999999998</v>
      </c>
      <c r="R19" s="48" t="s">
        <v>8</v>
      </c>
      <c r="S19" s="51" t="s">
        <v>8</v>
      </c>
      <c r="T19">
        <v>27.5</v>
      </c>
      <c r="U19" s="24">
        <v>1.90275189094509E-2</v>
      </c>
      <c r="V19" s="48" t="s">
        <v>8</v>
      </c>
      <c r="W19" s="48" t="s">
        <v>8</v>
      </c>
      <c r="X19">
        <v>1.05</v>
      </c>
      <c r="Y19" s="28">
        <v>0.78717209562367196</v>
      </c>
    </row>
    <row r="20" spans="1:25" x14ac:dyDescent="0.3">
      <c r="A20" s="44">
        <v>18</v>
      </c>
      <c r="B20" s="5" t="s">
        <v>59</v>
      </c>
      <c r="C20">
        <v>0.625</v>
      </c>
      <c r="D20" s="36">
        <v>2.7499999999999998E-3</v>
      </c>
      <c r="E20">
        <v>0.3</v>
      </c>
      <c r="F20">
        <v>1</v>
      </c>
      <c r="G20">
        <v>0.23749999999999999</v>
      </c>
      <c r="H20" s="35">
        <v>2.81</v>
      </c>
      <c r="I20" s="35">
        <v>2.81</v>
      </c>
      <c r="J20" s="35">
        <v>13.741357737129301</v>
      </c>
      <c r="K20" s="28">
        <v>36.871828234147799</v>
      </c>
      <c r="L20" s="38">
        <v>40.25</v>
      </c>
      <c r="M20" s="24">
        <v>1.90275189094509E-2</v>
      </c>
      <c r="N20" s="35">
        <v>0.75</v>
      </c>
      <c r="O20">
        <v>28.7</v>
      </c>
      <c r="P20" s="24">
        <v>1.90275189094509E-2</v>
      </c>
      <c r="Q20" s="35">
        <v>0.17812499999999998</v>
      </c>
      <c r="R20" s="48" t="s">
        <v>8</v>
      </c>
      <c r="S20" s="51" t="s">
        <v>8</v>
      </c>
      <c r="T20">
        <v>28.7</v>
      </c>
      <c r="U20" s="24">
        <v>1.90275189094509E-2</v>
      </c>
      <c r="V20" s="48" t="s">
        <v>8</v>
      </c>
      <c r="W20" s="48" t="s">
        <v>8</v>
      </c>
      <c r="X20">
        <v>0.94</v>
      </c>
      <c r="Y20" s="28">
        <v>0.71308531015320897</v>
      </c>
    </row>
    <row r="21" spans="1:25" x14ac:dyDescent="0.3">
      <c r="A21" s="44">
        <v>19</v>
      </c>
      <c r="B21" s="5" t="s">
        <v>59</v>
      </c>
      <c r="C21">
        <v>0.75</v>
      </c>
      <c r="D21" s="36">
        <v>3.5000000000000001E-3</v>
      </c>
      <c r="E21">
        <v>0.3</v>
      </c>
      <c r="F21">
        <v>1</v>
      </c>
      <c r="G21">
        <v>0.32500000000000001</v>
      </c>
      <c r="H21" s="35">
        <v>2.81</v>
      </c>
      <c r="I21" s="35">
        <v>2.81</v>
      </c>
      <c r="J21" s="35">
        <v>10.6637371462384</v>
      </c>
      <c r="K21" s="28">
        <v>28.613728855030999</v>
      </c>
      <c r="L21" s="38">
        <v>35.5</v>
      </c>
      <c r="M21" s="24">
        <v>1.08916789845473E-2</v>
      </c>
      <c r="N21" s="35">
        <v>1</v>
      </c>
      <c r="O21">
        <v>23.7</v>
      </c>
      <c r="P21" s="24">
        <v>1.08916789845473E-2</v>
      </c>
      <c r="Q21" s="35">
        <v>0.32500000000000001</v>
      </c>
      <c r="R21" s="48" t="s">
        <v>8</v>
      </c>
      <c r="S21" s="51" t="s">
        <v>8</v>
      </c>
      <c r="T21">
        <v>23.7</v>
      </c>
      <c r="U21" s="24">
        <v>1.08916789845473E-2</v>
      </c>
      <c r="V21" s="48" t="s">
        <v>8</v>
      </c>
      <c r="W21" s="48" t="s">
        <v>8</v>
      </c>
      <c r="X21">
        <v>0.86</v>
      </c>
      <c r="Y21" s="28">
        <v>0.58358453993443304</v>
      </c>
    </row>
    <row r="22" spans="1:25" x14ac:dyDescent="0.3">
      <c r="A22" s="44">
        <v>20</v>
      </c>
      <c r="B22" s="5" t="s">
        <v>59</v>
      </c>
      <c r="C22">
        <v>0.625</v>
      </c>
      <c r="D22" s="36">
        <v>2.7499999999999998E-3</v>
      </c>
      <c r="E22">
        <v>0.3</v>
      </c>
      <c r="F22">
        <v>1</v>
      </c>
      <c r="G22">
        <v>0.41249999999999998</v>
      </c>
      <c r="H22" s="35">
        <v>2.81</v>
      </c>
      <c r="I22" s="35">
        <v>2.81</v>
      </c>
      <c r="J22" s="35">
        <v>13.4004280031658</v>
      </c>
      <c r="K22" s="28">
        <v>35.9570203358969</v>
      </c>
      <c r="L22" s="38">
        <v>30.75</v>
      </c>
      <c r="M22" s="24">
        <v>5.5147537405077296E-3</v>
      </c>
      <c r="N22" s="35">
        <v>1.25</v>
      </c>
      <c r="O22">
        <v>19</v>
      </c>
      <c r="P22" s="24">
        <v>5.5147537405077296E-3</v>
      </c>
      <c r="Q22" s="35">
        <v>0.515625</v>
      </c>
      <c r="R22" s="48" t="s">
        <v>8</v>
      </c>
      <c r="S22" s="51" t="s">
        <v>8</v>
      </c>
      <c r="T22">
        <v>19</v>
      </c>
      <c r="U22" s="24">
        <v>5.5147537405077296E-3</v>
      </c>
      <c r="V22" s="48" t="s">
        <v>8</v>
      </c>
      <c r="W22" s="48" t="s">
        <v>8</v>
      </c>
      <c r="X22">
        <v>0.81</v>
      </c>
      <c r="Y22" s="28">
        <v>0.46050114750849402</v>
      </c>
    </row>
    <row r="23" spans="1:25" x14ac:dyDescent="0.3">
      <c r="A23" s="44">
        <v>21</v>
      </c>
      <c r="B23" s="5" t="s">
        <v>59</v>
      </c>
      <c r="C23">
        <v>0.625</v>
      </c>
      <c r="D23" s="36">
        <v>2.7499999999999998E-3</v>
      </c>
      <c r="E23">
        <v>0.3</v>
      </c>
      <c r="F23">
        <v>1</v>
      </c>
      <c r="G23">
        <v>0.23749999999999999</v>
      </c>
      <c r="H23" s="35">
        <v>2.81</v>
      </c>
      <c r="I23" s="35">
        <v>2.81</v>
      </c>
      <c r="J23" s="35">
        <v>13.7270493149373</v>
      </c>
      <c r="K23" s="28">
        <v>36.833434816593403</v>
      </c>
      <c r="L23" s="38">
        <v>40.25</v>
      </c>
      <c r="M23" s="24">
        <v>9.3704221146265598E-3</v>
      </c>
      <c r="N23" s="35">
        <v>1.25</v>
      </c>
      <c r="O23">
        <v>27.2</v>
      </c>
      <c r="P23" s="24">
        <v>9.3704221146265598E-3</v>
      </c>
      <c r="Q23" s="35">
        <v>0.296875</v>
      </c>
      <c r="R23" s="48" t="s">
        <v>8</v>
      </c>
      <c r="S23" s="51" t="s">
        <v>8</v>
      </c>
      <c r="T23">
        <v>27.2</v>
      </c>
      <c r="U23" s="24">
        <v>9.3704221146265598E-3</v>
      </c>
      <c r="V23" s="48" t="s">
        <v>8</v>
      </c>
      <c r="W23" s="48" t="s">
        <v>8</v>
      </c>
      <c r="X23">
        <v>0.72</v>
      </c>
      <c r="Y23" s="28">
        <v>0.47885557321918198</v>
      </c>
    </row>
    <row r="24" spans="1:25" x14ac:dyDescent="0.3">
      <c r="A24" s="44">
        <v>22</v>
      </c>
      <c r="B24" s="5" t="s">
        <v>59</v>
      </c>
      <c r="C24">
        <v>0.75</v>
      </c>
      <c r="D24" s="36">
        <v>3.5000000000000001E-3</v>
      </c>
      <c r="E24">
        <v>0.3</v>
      </c>
      <c r="F24">
        <v>1</v>
      </c>
      <c r="G24">
        <v>0.32500000000000001</v>
      </c>
      <c r="H24" s="35">
        <v>2.81</v>
      </c>
      <c r="I24" s="35">
        <v>2.81</v>
      </c>
      <c r="J24" s="35">
        <v>10.6637371462384</v>
      </c>
      <c r="K24" s="28">
        <v>28.613728855030999</v>
      </c>
      <c r="L24" s="38">
        <v>35.5</v>
      </c>
      <c r="M24" s="24">
        <v>1.08916789845473E-2</v>
      </c>
      <c r="N24" s="35">
        <v>1</v>
      </c>
      <c r="O24">
        <v>23.7</v>
      </c>
      <c r="P24" s="24">
        <v>1.08916789845473E-2</v>
      </c>
      <c r="Q24" s="35">
        <v>0.32500000000000001</v>
      </c>
      <c r="R24" s="48" t="s">
        <v>8</v>
      </c>
      <c r="S24" s="51" t="s">
        <v>8</v>
      </c>
      <c r="T24">
        <v>23.7</v>
      </c>
      <c r="U24" s="24">
        <v>1.08916789845473E-2</v>
      </c>
      <c r="V24" s="48" t="s">
        <v>8</v>
      </c>
      <c r="W24" s="48" t="s">
        <v>8</v>
      </c>
      <c r="X24">
        <v>0.86</v>
      </c>
      <c r="Y24" s="28">
        <v>0.58358453993443304</v>
      </c>
    </row>
    <row r="25" spans="1:25" x14ac:dyDescent="0.3">
      <c r="A25" s="44">
        <v>23</v>
      </c>
      <c r="B25" s="5" t="s">
        <v>59</v>
      </c>
      <c r="C25">
        <v>0.625</v>
      </c>
      <c r="D25" s="36">
        <v>2.7499999999999998E-3</v>
      </c>
      <c r="E25">
        <v>0.3</v>
      </c>
      <c r="F25">
        <v>1</v>
      </c>
      <c r="G25">
        <v>0.41249999999999998</v>
      </c>
      <c r="H25" s="35">
        <v>2.81</v>
      </c>
      <c r="I25" s="35">
        <v>2.81</v>
      </c>
      <c r="J25" s="35">
        <v>13.7121660784212</v>
      </c>
      <c r="K25" s="28">
        <v>36.793499014696003</v>
      </c>
      <c r="L25" s="38">
        <v>40.25</v>
      </c>
      <c r="M25" s="24">
        <v>1.90275189094509E-2</v>
      </c>
      <c r="N25" s="35">
        <v>0.75</v>
      </c>
      <c r="O25">
        <v>27.1</v>
      </c>
      <c r="P25" s="24">
        <v>1.90275189094509E-2</v>
      </c>
      <c r="Q25" s="35">
        <v>0.30937499999999996</v>
      </c>
      <c r="R25" s="48" t="s">
        <v>8</v>
      </c>
      <c r="S25" s="51" t="s">
        <v>8</v>
      </c>
      <c r="T25">
        <v>27.1</v>
      </c>
      <c r="U25" s="24">
        <v>1.90275189094509E-2</v>
      </c>
      <c r="V25" s="48" t="s">
        <v>8</v>
      </c>
      <c r="W25" s="48" t="s">
        <v>8</v>
      </c>
      <c r="X25">
        <v>1.07</v>
      </c>
      <c r="Y25" s="28">
        <v>0.81186769078049303</v>
      </c>
    </row>
    <row r="26" spans="1:25" x14ac:dyDescent="0.3">
      <c r="A26" s="44">
        <v>24</v>
      </c>
      <c r="B26" s="5" t="s">
        <v>59</v>
      </c>
      <c r="C26">
        <v>0.625</v>
      </c>
      <c r="D26" s="36">
        <v>4.2500000000000003E-3</v>
      </c>
      <c r="E26">
        <v>0.3</v>
      </c>
      <c r="F26">
        <v>1</v>
      </c>
      <c r="G26">
        <v>0.41249999999999998</v>
      </c>
      <c r="H26" s="35">
        <v>2.81</v>
      </c>
      <c r="I26" s="35">
        <v>2.81</v>
      </c>
      <c r="J26" s="35">
        <v>8.8473859163522999</v>
      </c>
      <c r="K26" s="28">
        <v>23.739960786226501</v>
      </c>
      <c r="L26" s="38">
        <v>40.25</v>
      </c>
      <c r="M26" s="24">
        <v>9.3704221146265598E-3</v>
      </c>
      <c r="N26" s="35">
        <v>0.75</v>
      </c>
      <c r="O26">
        <v>24.3</v>
      </c>
      <c r="P26" s="24">
        <v>9.3704221146265598E-3</v>
      </c>
      <c r="Q26" s="35">
        <v>0.30937499999999996</v>
      </c>
      <c r="R26" s="48" t="s">
        <v>8</v>
      </c>
      <c r="S26" s="51" t="s">
        <v>8</v>
      </c>
      <c r="T26">
        <v>24.3</v>
      </c>
      <c r="U26" s="24">
        <v>9.3704221146265598E-3</v>
      </c>
      <c r="V26" s="48" t="s">
        <v>8</v>
      </c>
      <c r="W26" s="48" t="s">
        <v>8</v>
      </c>
      <c r="X26">
        <v>0.88</v>
      </c>
      <c r="Y26" s="28">
        <v>0.58526792282344497</v>
      </c>
    </row>
    <row r="27" spans="1:25" x14ac:dyDescent="0.3">
      <c r="A27" s="44">
        <v>25</v>
      </c>
      <c r="B27" s="5" t="s">
        <v>59</v>
      </c>
      <c r="C27">
        <v>0.625</v>
      </c>
      <c r="D27" s="36">
        <v>4.2500000000000003E-3</v>
      </c>
      <c r="E27">
        <v>0.3</v>
      </c>
      <c r="F27">
        <v>1</v>
      </c>
      <c r="G27">
        <v>0.41249999999999998</v>
      </c>
      <c r="H27" s="35">
        <v>2.81</v>
      </c>
      <c r="I27" s="35">
        <v>2.81</v>
      </c>
      <c r="J27" s="35">
        <v>8.9280142689506707</v>
      </c>
      <c r="K27" s="28">
        <v>23.956308750138099</v>
      </c>
      <c r="L27" s="38">
        <v>40.25</v>
      </c>
      <c r="M27" s="24">
        <v>1.90275189094509E-2</v>
      </c>
      <c r="N27" s="35">
        <v>1.25</v>
      </c>
      <c r="O27">
        <v>31.8</v>
      </c>
      <c r="P27" s="24">
        <v>1.90275189094509E-2</v>
      </c>
      <c r="Q27" s="35">
        <v>0.515625</v>
      </c>
      <c r="R27" s="48" t="s">
        <v>8</v>
      </c>
      <c r="S27" s="51" t="s">
        <v>8</v>
      </c>
      <c r="T27">
        <v>31.8</v>
      </c>
      <c r="U27" s="24">
        <v>1.90275189094509E-2</v>
      </c>
      <c r="V27" s="48" t="s">
        <v>8</v>
      </c>
      <c r="W27" s="48" t="s">
        <v>8</v>
      </c>
      <c r="X27">
        <v>0.69</v>
      </c>
      <c r="Y27" s="28">
        <v>0.52169444768784601</v>
      </c>
    </row>
    <row r="28" spans="1:25" x14ac:dyDescent="0.3">
      <c r="A28" s="44">
        <v>26</v>
      </c>
      <c r="B28" s="5" t="s">
        <v>59</v>
      </c>
      <c r="C28">
        <v>0.875</v>
      </c>
      <c r="D28" s="36">
        <v>4.2500000000000003E-3</v>
      </c>
      <c r="E28">
        <v>0.3</v>
      </c>
      <c r="F28">
        <v>1</v>
      </c>
      <c r="G28">
        <v>0.23749999999999999</v>
      </c>
      <c r="H28" s="35">
        <v>2.81</v>
      </c>
      <c r="I28" s="35">
        <v>2.81</v>
      </c>
      <c r="J28" s="35">
        <v>8.72576961630255</v>
      </c>
      <c r="K28" s="28">
        <v>23.413630927730001</v>
      </c>
      <c r="L28" s="38">
        <v>30.75</v>
      </c>
      <c r="M28" s="24">
        <v>1.1128180474441699E-2</v>
      </c>
      <c r="N28" s="35">
        <v>1.25</v>
      </c>
      <c r="O28">
        <v>23.8</v>
      </c>
      <c r="P28" s="24">
        <v>1.1128180474441699E-2</v>
      </c>
      <c r="Q28" s="35">
        <v>0.296875</v>
      </c>
      <c r="R28" s="48" t="s">
        <v>8</v>
      </c>
      <c r="S28" s="51" t="s">
        <v>8</v>
      </c>
      <c r="T28">
        <v>23.8</v>
      </c>
      <c r="U28" s="24">
        <v>1.1128180474441699E-2</v>
      </c>
      <c r="V28" s="48" t="s">
        <v>8</v>
      </c>
      <c r="W28" s="48" t="s">
        <v>8</v>
      </c>
      <c r="X28">
        <v>0.69</v>
      </c>
      <c r="Y28" s="28">
        <v>0.45901743424276997</v>
      </c>
    </row>
    <row r="29" spans="1:25" x14ac:dyDescent="0.3">
      <c r="A29" s="44">
        <v>27</v>
      </c>
      <c r="B29" s="5" t="s">
        <v>59</v>
      </c>
      <c r="C29">
        <v>0.875</v>
      </c>
      <c r="D29" s="36">
        <v>4.2500000000000003E-3</v>
      </c>
      <c r="E29">
        <v>0.3</v>
      </c>
      <c r="F29">
        <v>1</v>
      </c>
      <c r="G29">
        <v>0.41249999999999998</v>
      </c>
      <c r="H29" s="35">
        <v>2.81</v>
      </c>
      <c r="I29" s="35">
        <v>2.81</v>
      </c>
      <c r="J29" s="35">
        <v>8.6757418287083503</v>
      </c>
      <c r="K29" s="28">
        <v>23.279392664932701</v>
      </c>
      <c r="L29" s="38">
        <v>30.75</v>
      </c>
      <c r="M29" s="24">
        <v>5.5147537405077296E-3</v>
      </c>
      <c r="N29" s="35">
        <v>1.25</v>
      </c>
      <c r="O29">
        <v>19.399999999999999</v>
      </c>
      <c r="P29" s="24">
        <v>5.5147537405077296E-3</v>
      </c>
      <c r="Q29" s="35">
        <v>0.515625</v>
      </c>
      <c r="R29" s="48" t="s">
        <v>8</v>
      </c>
      <c r="S29" s="51" t="s">
        <v>8</v>
      </c>
      <c r="T29">
        <v>19.399999999999999</v>
      </c>
      <c r="U29" s="24">
        <v>5.5147537405077296E-3</v>
      </c>
      <c r="V29" s="48" t="s">
        <v>8</v>
      </c>
      <c r="W29" s="48" t="s">
        <v>8</v>
      </c>
      <c r="X29">
        <v>0.78</v>
      </c>
      <c r="Y29" s="28">
        <v>0.44482451269969397</v>
      </c>
    </row>
    <row r="30" spans="1:25" x14ac:dyDescent="0.3">
      <c r="A30" s="44">
        <v>28</v>
      </c>
      <c r="B30" s="5" t="s">
        <v>59</v>
      </c>
      <c r="C30">
        <v>0.875</v>
      </c>
      <c r="D30" s="36">
        <v>4.2500000000000003E-3</v>
      </c>
      <c r="E30">
        <v>0.3</v>
      </c>
      <c r="F30">
        <v>1</v>
      </c>
      <c r="G30">
        <v>0.23749999999999999</v>
      </c>
      <c r="H30" s="35">
        <v>2.81</v>
      </c>
      <c r="I30" s="35">
        <v>2.81</v>
      </c>
      <c r="J30" s="35">
        <v>8.67330363930893</v>
      </c>
      <c r="K30" s="28">
        <v>23.272850334658099</v>
      </c>
      <c r="L30" s="38">
        <v>30.75</v>
      </c>
      <c r="M30" s="24">
        <v>5.5147537405077296E-3</v>
      </c>
      <c r="N30" s="35">
        <v>0.75</v>
      </c>
      <c r="O30">
        <v>19.2</v>
      </c>
      <c r="P30" s="24">
        <v>5.5147537405077296E-3</v>
      </c>
      <c r="Q30" s="35">
        <v>0.17812499999999998</v>
      </c>
      <c r="R30" s="48" t="s">
        <v>8</v>
      </c>
      <c r="S30" s="51" t="s">
        <v>8</v>
      </c>
      <c r="T30">
        <v>19.2</v>
      </c>
      <c r="U30" s="24">
        <v>5.5147537405077296E-3</v>
      </c>
      <c r="V30" s="48" t="s">
        <v>8</v>
      </c>
      <c r="W30" s="48" t="s">
        <v>8</v>
      </c>
      <c r="X30">
        <v>0.79</v>
      </c>
      <c r="Y30" s="28">
        <v>0.45266283010409403</v>
      </c>
    </row>
    <row r="31" spans="1:25" x14ac:dyDescent="0.3">
      <c r="A31" s="44">
        <v>29</v>
      </c>
      <c r="B31" s="5" t="s">
        <v>59</v>
      </c>
      <c r="C31">
        <v>0.75</v>
      </c>
      <c r="D31" s="36">
        <v>3.5000000000000001E-3</v>
      </c>
      <c r="E31">
        <v>0.3</v>
      </c>
      <c r="F31">
        <v>1</v>
      </c>
      <c r="G31">
        <v>0.32500000000000001</v>
      </c>
      <c r="H31" s="35">
        <v>2.81</v>
      </c>
      <c r="I31" s="35">
        <v>2.81</v>
      </c>
      <c r="J31" s="35">
        <v>10.6637371462384</v>
      </c>
      <c r="K31" s="28">
        <v>28.613728855030999</v>
      </c>
      <c r="L31" s="38">
        <v>35.5</v>
      </c>
      <c r="M31" s="24">
        <v>1.08916789845473E-2</v>
      </c>
      <c r="N31" s="35">
        <v>1</v>
      </c>
      <c r="O31">
        <v>23.7</v>
      </c>
      <c r="P31" s="24">
        <v>1.08916789845473E-2</v>
      </c>
      <c r="Q31" s="35">
        <v>0.32500000000000001</v>
      </c>
      <c r="R31" s="48" t="s">
        <v>8</v>
      </c>
      <c r="S31" s="51" t="s">
        <v>8</v>
      </c>
      <c r="T31">
        <v>23.7</v>
      </c>
      <c r="U31" s="24">
        <v>1.08916789845473E-2</v>
      </c>
      <c r="V31" s="48" t="s">
        <v>8</v>
      </c>
      <c r="W31" s="48" t="s">
        <v>8</v>
      </c>
      <c r="X31">
        <v>0.86</v>
      </c>
      <c r="Y31" s="28">
        <v>0.58358453993443304</v>
      </c>
    </row>
    <row r="32" spans="1:25" x14ac:dyDescent="0.3">
      <c r="A32" s="44">
        <v>30</v>
      </c>
      <c r="B32" s="5" t="s">
        <v>59</v>
      </c>
      <c r="C32">
        <v>0.875</v>
      </c>
      <c r="D32" s="36">
        <v>2.7499999999999998E-3</v>
      </c>
      <c r="E32">
        <v>0.3</v>
      </c>
      <c r="F32">
        <v>1</v>
      </c>
      <c r="G32">
        <v>0.41249999999999998</v>
      </c>
      <c r="H32" s="35">
        <v>2.81</v>
      </c>
      <c r="I32" s="35">
        <v>2.81</v>
      </c>
      <c r="J32" s="35">
        <v>13.429361892216001</v>
      </c>
      <c r="K32" s="28">
        <v>36.034657888722002</v>
      </c>
      <c r="L32" s="38">
        <v>30.75</v>
      </c>
      <c r="M32" s="24">
        <v>1.1128180474441699E-2</v>
      </c>
      <c r="N32" s="35">
        <v>1.25</v>
      </c>
      <c r="O32">
        <v>20.8</v>
      </c>
      <c r="P32" s="24">
        <v>1.1128180474441699E-2</v>
      </c>
      <c r="Q32" s="35">
        <v>0.515625</v>
      </c>
      <c r="R32" s="48" t="s">
        <v>8</v>
      </c>
      <c r="S32" s="51" t="s">
        <v>8</v>
      </c>
      <c r="T32">
        <v>20.8</v>
      </c>
      <c r="U32" s="24">
        <v>1.1128180474441699E-2</v>
      </c>
      <c r="V32" s="48" t="s">
        <v>8</v>
      </c>
      <c r="W32" s="48" t="s">
        <v>8</v>
      </c>
      <c r="X32">
        <v>0.99</v>
      </c>
      <c r="Y32" s="28">
        <v>0.65715445621806601</v>
      </c>
    </row>
    <row r="33" spans="1:25" x14ac:dyDescent="0.3">
      <c r="A33" s="44">
        <v>31</v>
      </c>
      <c r="B33" s="5" t="s">
        <v>59</v>
      </c>
      <c r="C33">
        <v>0.875</v>
      </c>
      <c r="D33" s="36">
        <v>4.2500000000000003E-3</v>
      </c>
      <c r="E33">
        <v>0.3</v>
      </c>
      <c r="F33">
        <v>1</v>
      </c>
      <c r="G33">
        <v>0.41249999999999998</v>
      </c>
      <c r="H33" s="35">
        <v>2.81</v>
      </c>
      <c r="I33" s="35">
        <v>2.81</v>
      </c>
      <c r="J33" s="35">
        <v>8.7113040105583401</v>
      </c>
      <c r="K33" s="28">
        <v>23.374815743633398</v>
      </c>
      <c r="L33" s="38">
        <v>30.75</v>
      </c>
      <c r="M33" s="24">
        <v>1.1128180474441699E-2</v>
      </c>
      <c r="N33" s="35">
        <v>1.25</v>
      </c>
      <c r="O33">
        <v>22.6</v>
      </c>
      <c r="P33" s="24">
        <v>1.1128180474441699E-2</v>
      </c>
      <c r="Q33" s="35">
        <v>0.515625</v>
      </c>
      <c r="R33" s="48" t="s">
        <v>8</v>
      </c>
      <c r="S33" s="51" t="s">
        <v>8</v>
      </c>
      <c r="T33">
        <v>22.6</v>
      </c>
      <c r="U33" s="24">
        <v>1.1128180474441699E-2</v>
      </c>
      <c r="V33" s="48" t="s">
        <v>8</v>
      </c>
      <c r="W33" s="48" t="s">
        <v>8</v>
      </c>
      <c r="X33">
        <v>0.81</v>
      </c>
      <c r="Y33" s="28">
        <v>0.53827224303288901</v>
      </c>
    </row>
    <row r="34" spans="1:25" x14ac:dyDescent="0.3">
      <c r="A34" s="44">
        <v>32</v>
      </c>
      <c r="B34" s="5" t="s">
        <v>59</v>
      </c>
      <c r="C34">
        <v>0.625</v>
      </c>
      <c r="D34" s="36">
        <v>4.2500000000000003E-3</v>
      </c>
      <c r="E34">
        <v>0.3</v>
      </c>
      <c r="F34">
        <v>1</v>
      </c>
      <c r="G34">
        <v>0.23749999999999999</v>
      </c>
      <c r="H34" s="35">
        <v>2.81</v>
      </c>
      <c r="I34" s="35">
        <v>2.81</v>
      </c>
      <c r="J34" s="35">
        <v>8.9374353391376893</v>
      </c>
      <c r="K34" s="28">
        <v>23.981588063024301</v>
      </c>
      <c r="L34" s="38">
        <v>40.25</v>
      </c>
      <c r="M34" s="24">
        <v>1.90275189094509E-2</v>
      </c>
      <c r="N34" s="35">
        <v>1.25</v>
      </c>
      <c r="O34">
        <v>32.6</v>
      </c>
      <c r="P34" s="24">
        <v>1.90275189094509E-2</v>
      </c>
      <c r="Q34" s="35">
        <v>0.296875</v>
      </c>
      <c r="R34" s="48" t="s">
        <v>8</v>
      </c>
      <c r="S34" s="51" t="s">
        <v>8</v>
      </c>
      <c r="T34">
        <v>32.6</v>
      </c>
      <c r="U34" s="24">
        <v>1.90275189094509E-2</v>
      </c>
      <c r="V34" s="48" t="s">
        <v>8</v>
      </c>
      <c r="W34" s="48" t="s">
        <v>8</v>
      </c>
      <c r="X34">
        <v>0.63</v>
      </c>
      <c r="Y34" s="28">
        <v>0.47230325737420298</v>
      </c>
    </row>
    <row r="35" spans="1:25" x14ac:dyDescent="0.3">
      <c r="A35" s="44">
        <v>33</v>
      </c>
      <c r="B35" s="5" t="s">
        <v>59</v>
      </c>
      <c r="C35">
        <v>0.75</v>
      </c>
      <c r="D35" s="36">
        <v>3.5000000000000001E-3</v>
      </c>
      <c r="E35">
        <v>0.3</v>
      </c>
      <c r="F35">
        <v>1</v>
      </c>
      <c r="G35">
        <v>0.32500000000000001</v>
      </c>
      <c r="H35" s="35">
        <v>2.81</v>
      </c>
      <c r="I35" s="35">
        <v>2.81</v>
      </c>
      <c r="J35" s="35">
        <v>10.6637371462384</v>
      </c>
      <c r="K35" s="28">
        <v>28.613728855030999</v>
      </c>
      <c r="L35" s="38">
        <v>35.5</v>
      </c>
      <c r="M35" s="24">
        <v>1.08916789845473E-2</v>
      </c>
      <c r="N35" s="35">
        <v>1</v>
      </c>
      <c r="O35">
        <v>23.7</v>
      </c>
      <c r="P35" s="24">
        <v>1.08916789845473E-2</v>
      </c>
      <c r="Q35" s="35">
        <v>0.32500000000000001</v>
      </c>
      <c r="R35" s="48" t="s">
        <v>8</v>
      </c>
      <c r="S35" s="51" t="s">
        <v>8</v>
      </c>
      <c r="T35">
        <v>23.7</v>
      </c>
      <c r="U35" s="24">
        <v>1.08916789845473E-2</v>
      </c>
      <c r="V35" s="48" t="s">
        <v>8</v>
      </c>
      <c r="W35" s="48" t="s">
        <v>8</v>
      </c>
      <c r="X35">
        <v>0.86</v>
      </c>
      <c r="Y35" s="28">
        <v>0.58358453993443304</v>
      </c>
    </row>
    <row r="36" spans="1:25" x14ac:dyDescent="0.3">
      <c r="A36" s="44">
        <v>34</v>
      </c>
      <c r="B36" s="5" t="s">
        <v>59</v>
      </c>
      <c r="C36">
        <v>0.875</v>
      </c>
      <c r="D36" s="36">
        <v>2.7499999999999998E-3</v>
      </c>
      <c r="E36">
        <v>0.3</v>
      </c>
      <c r="F36">
        <v>1</v>
      </c>
      <c r="G36">
        <v>0.23749999999999999</v>
      </c>
      <c r="H36" s="35">
        <v>2.81</v>
      </c>
      <c r="I36" s="35">
        <v>2.81</v>
      </c>
      <c r="J36" s="35">
        <v>13.637926642849999</v>
      </c>
      <c r="K36" s="28">
        <v>36.594294265868101</v>
      </c>
      <c r="L36" s="38">
        <v>40.25</v>
      </c>
      <c r="M36" s="24">
        <v>9.3704221146265598E-3</v>
      </c>
      <c r="N36" s="35">
        <v>0.75</v>
      </c>
      <c r="O36">
        <v>22.4</v>
      </c>
      <c r="P36" s="24">
        <v>9.3704221146265598E-3</v>
      </c>
      <c r="Q36" s="35">
        <v>0.17812499999999998</v>
      </c>
      <c r="R36" s="48" t="s">
        <v>8</v>
      </c>
      <c r="S36" s="51" t="s">
        <v>8</v>
      </c>
      <c r="T36">
        <v>22.4</v>
      </c>
      <c r="U36" s="24">
        <v>9.3704221146265598E-3</v>
      </c>
      <c r="V36" s="48" t="s">
        <v>8</v>
      </c>
      <c r="W36" s="48" t="s">
        <v>8</v>
      </c>
      <c r="X36">
        <v>0.99</v>
      </c>
      <c r="Y36" s="28">
        <v>0.65498635877106604</v>
      </c>
    </row>
    <row r="37" spans="1:25" x14ac:dyDescent="0.3">
      <c r="A37" s="44">
        <v>35</v>
      </c>
      <c r="B37" s="5" t="s">
        <v>59</v>
      </c>
      <c r="C37">
        <v>0.875</v>
      </c>
      <c r="D37" s="36">
        <v>2.7499999999999998E-3</v>
      </c>
      <c r="E37">
        <v>0.3</v>
      </c>
      <c r="F37">
        <v>1</v>
      </c>
      <c r="G37">
        <v>0.23749999999999999</v>
      </c>
      <c r="H37" s="35">
        <v>2.81</v>
      </c>
      <c r="I37" s="35">
        <v>2.81</v>
      </c>
      <c r="J37" s="35">
        <v>13.754120639453101</v>
      </c>
      <c r="K37" s="28">
        <v>36.906074598390198</v>
      </c>
      <c r="L37" s="38">
        <v>40.25</v>
      </c>
      <c r="M37" s="24">
        <v>1.90275189094509E-2</v>
      </c>
      <c r="N37" s="35">
        <v>1.25</v>
      </c>
      <c r="O37">
        <v>29.4</v>
      </c>
      <c r="P37" s="24">
        <v>1.90275189094509E-2</v>
      </c>
      <c r="Q37" s="35">
        <v>0.296875</v>
      </c>
      <c r="R37" s="48" t="s">
        <v>8</v>
      </c>
      <c r="S37" s="51" t="s">
        <v>8</v>
      </c>
      <c r="T37">
        <v>29.4</v>
      </c>
      <c r="U37" s="24">
        <v>1.90275189094509E-2</v>
      </c>
      <c r="V37" s="48" t="s">
        <v>8</v>
      </c>
      <c r="W37" s="48" t="s">
        <v>8</v>
      </c>
      <c r="X37">
        <v>0.89</v>
      </c>
      <c r="Y37" s="28">
        <v>0.66986801862877199</v>
      </c>
    </row>
    <row r="38" spans="1:25" x14ac:dyDescent="0.3">
      <c r="A38" s="44">
        <v>36</v>
      </c>
      <c r="B38" s="5" t="s">
        <v>59</v>
      </c>
      <c r="C38">
        <v>0.75</v>
      </c>
      <c r="D38" s="36">
        <v>3.5000000000000001E-3</v>
      </c>
      <c r="E38">
        <v>0.3</v>
      </c>
      <c r="F38">
        <v>1</v>
      </c>
      <c r="G38">
        <v>0.32500000000000001</v>
      </c>
      <c r="H38" s="35">
        <v>2.81</v>
      </c>
      <c r="I38" s="35">
        <v>2.81</v>
      </c>
      <c r="J38" s="35">
        <v>10.431368822080101</v>
      </c>
      <c r="K38" s="28">
        <v>27.990220967431899</v>
      </c>
      <c r="L38" s="38">
        <v>26</v>
      </c>
      <c r="M38" s="24">
        <v>6.2835653928026997E-3</v>
      </c>
      <c r="N38" s="35">
        <v>1</v>
      </c>
      <c r="O38">
        <v>17.2</v>
      </c>
      <c r="P38" s="24">
        <v>6.2835653928026997E-3</v>
      </c>
      <c r="Q38" s="35">
        <v>0.32500000000000001</v>
      </c>
      <c r="R38" s="48" t="s">
        <v>8</v>
      </c>
      <c r="S38" s="51" t="s">
        <v>8</v>
      </c>
      <c r="T38">
        <v>17.2</v>
      </c>
      <c r="U38" s="24">
        <v>6.2835653928026997E-3</v>
      </c>
      <c r="V38" s="48" t="s">
        <v>8</v>
      </c>
      <c r="W38" s="48" t="s">
        <v>8</v>
      </c>
      <c r="X38">
        <v>0.81</v>
      </c>
      <c r="Y38" s="28">
        <v>0.46574046271809999</v>
      </c>
    </row>
    <row r="39" spans="1:25" x14ac:dyDescent="0.3">
      <c r="A39" s="44">
        <v>37</v>
      </c>
      <c r="B39" s="5" t="s">
        <v>59</v>
      </c>
      <c r="C39">
        <v>0.75</v>
      </c>
      <c r="D39" s="36">
        <v>3.5000000000000001E-3</v>
      </c>
      <c r="E39">
        <v>0.3</v>
      </c>
      <c r="F39">
        <v>1</v>
      </c>
      <c r="G39">
        <v>0.32500000000000001</v>
      </c>
      <c r="H39" s="35">
        <v>2.81</v>
      </c>
      <c r="I39" s="35">
        <v>2.81</v>
      </c>
      <c r="J39" s="35">
        <v>10.6637371462384</v>
      </c>
      <c r="K39" s="28">
        <v>28.613728855030999</v>
      </c>
      <c r="L39" s="38">
        <v>35.5</v>
      </c>
      <c r="M39" s="24">
        <v>1.08916789845473E-2</v>
      </c>
      <c r="N39" s="35">
        <v>1</v>
      </c>
      <c r="O39">
        <v>23.7</v>
      </c>
      <c r="P39" s="24">
        <v>1.08916789845473E-2</v>
      </c>
      <c r="Q39" s="35">
        <v>0.32500000000000001</v>
      </c>
      <c r="R39" s="48" t="s">
        <v>8</v>
      </c>
      <c r="S39" s="51" t="s">
        <v>8</v>
      </c>
      <c r="T39">
        <v>23.7</v>
      </c>
      <c r="U39" s="24">
        <v>1.08916789845473E-2</v>
      </c>
      <c r="V39" s="48" t="s">
        <v>8</v>
      </c>
      <c r="W39" s="48" t="s">
        <v>8</v>
      </c>
      <c r="X39">
        <v>0.86</v>
      </c>
      <c r="Y39" s="28">
        <v>0.58358453993443304</v>
      </c>
    </row>
    <row r="40" spans="1:25" x14ac:dyDescent="0.3">
      <c r="A40" s="44">
        <v>38</v>
      </c>
      <c r="B40" s="5" t="s">
        <v>59</v>
      </c>
      <c r="C40">
        <v>0.875</v>
      </c>
      <c r="D40" s="36">
        <v>4.2500000000000003E-3</v>
      </c>
      <c r="E40">
        <v>0.3</v>
      </c>
      <c r="F40">
        <v>1</v>
      </c>
      <c r="G40">
        <v>0.23749999999999999</v>
      </c>
      <c r="H40" s="35">
        <v>2.81</v>
      </c>
      <c r="I40" s="35">
        <v>2.81</v>
      </c>
      <c r="J40" s="35">
        <v>8.6988911112844995</v>
      </c>
      <c r="K40" s="28">
        <v>23.341508533482301</v>
      </c>
      <c r="L40" s="38">
        <v>30.75</v>
      </c>
      <c r="M40" s="24">
        <v>5.5147537405077296E-3</v>
      </c>
      <c r="N40" s="35">
        <v>1.25</v>
      </c>
      <c r="O40">
        <v>21.3</v>
      </c>
      <c r="P40" s="24">
        <v>5.5147537405077296E-3</v>
      </c>
      <c r="Q40" s="35">
        <v>0.296875</v>
      </c>
      <c r="R40" s="48" t="s">
        <v>8</v>
      </c>
      <c r="S40" s="51" t="s">
        <v>8</v>
      </c>
      <c r="T40">
        <v>21.3</v>
      </c>
      <c r="U40" s="24">
        <v>5.5147537405077296E-3</v>
      </c>
      <c r="V40" s="48" t="s">
        <v>8</v>
      </c>
      <c r="W40" s="48" t="s">
        <v>8</v>
      </c>
      <c r="X40">
        <v>0.65</v>
      </c>
      <c r="Y40" s="28">
        <v>0.370360497357895</v>
      </c>
    </row>
    <row r="41" spans="1:25" x14ac:dyDescent="0.3">
      <c r="A41" s="44">
        <v>39</v>
      </c>
      <c r="B41" s="5" t="s">
        <v>59</v>
      </c>
      <c r="C41">
        <v>0.625</v>
      </c>
      <c r="D41" s="36">
        <v>4.2500000000000003E-3</v>
      </c>
      <c r="E41">
        <v>0.3</v>
      </c>
      <c r="F41">
        <v>1</v>
      </c>
      <c r="G41">
        <v>0.23749999999999999</v>
      </c>
      <c r="H41" s="35">
        <v>2.81</v>
      </c>
      <c r="I41" s="35">
        <v>2.81</v>
      </c>
      <c r="J41" s="35">
        <v>8.6915834514849095</v>
      </c>
      <c r="K41" s="28">
        <v>23.321900079785099</v>
      </c>
      <c r="L41" s="38">
        <v>30.75</v>
      </c>
      <c r="M41" s="24">
        <v>5.5147537405077296E-3</v>
      </c>
      <c r="N41" s="35">
        <v>0.75</v>
      </c>
      <c r="O41">
        <v>20.7</v>
      </c>
      <c r="P41" s="24">
        <v>5.5147537405077296E-3</v>
      </c>
      <c r="Q41" s="35">
        <v>0.17812499999999998</v>
      </c>
      <c r="R41" s="48" t="s">
        <v>8</v>
      </c>
      <c r="S41" s="51" t="s">
        <v>8</v>
      </c>
      <c r="T41">
        <v>20.7</v>
      </c>
      <c r="U41" s="24">
        <v>5.5147537405077296E-3</v>
      </c>
      <c r="V41" s="48" t="s">
        <v>8</v>
      </c>
      <c r="W41" s="48" t="s">
        <v>8</v>
      </c>
      <c r="X41">
        <v>0.69</v>
      </c>
      <c r="Y41" s="28">
        <v>0.39387544957109499</v>
      </c>
    </row>
    <row r="42" spans="1:25" x14ac:dyDescent="0.3">
      <c r="A42" s="44">
        <v>40</v>
      </c>
      <c r="B42" s="5" t="s">
        <v>59</v>
      </c>
      <c r="C42">
        <v>0.625</v>
      </c>
      <c r="D42" s="36">
        <v>4.2500000000000003E-3</v>
      </c>
      <c r="E42">
        <v>0.3</v>
      </c>
      <c r="F42">
        <v>1</v>
      </c>
      <c r="G42">
        <v>0.23749999999999999</v>
      </c>
      <c r="H42" s="35">
        <v>2.81</v>
      </c>
      <c r="I42" s="35">
        <v>2.81</v>
      </c>
      <c r="J42" s="35">
        <v>8.8750083253185306</v>
      </c>
      <c r="K42" s="28">
        <v>23.814079278612699</v>
      </c>
      <c r="L42" s="38">
        <v>40.25</v>
      </c>
      <c r="M42" s="24">
        <v>9.3704221146265598E-3</v>
      </c>
      <c r="N42" s="35">
        <v>0.75</v>
      </c>
      <c r="O42">
        <v>26.6</v>
      </c>
      <c r="P42" s="24">
        <v>9.3704221146265598E-3</v>
      </c>
      <c r="Q42" s="35">
        <v>0.17812499999999998</v>
      </c>
      <c r="R42" s="48" t="s">
        <v>8</v>
      </c>
      <c r="S42" s="51" t="s">
        <v>8</v>
      </c>
      <c r="T42">
        <v>26.6</v>
      </c>
      <c r="U42" s="24">
        <v>9.3704221146265598E-3</v>
      </c>
      <c r="V42" s="48" t="s">
        <v>8</v>
      </c>
      <c r="W42" s="48" t="s">
        <v>8</v>
      </c>
      <c r="X42">
        <v>0.76</v>
      </c>
      <c r="Y42" s="28">
        <v>0.50087192141316805</v>
      </c>
    </row>
    <row r="43" spans="1:25" x14ac:dyDescent="0.3">
      <c r="A43" s="44">
        <v>41</v>
      </c>
      <c r="B43" s="5" t="s">
        <v>59</v>
      </c>
      <c r="C43">
        <v>0.875</v>
      </c>
      <c r="D43" s="36">
        <v>2.7499999999999998E-3</v>
      </c>
      <c r="E43">
        <v>0.3</v>
      </c>
      <c r="F43">
        <v>1</v>
      </c>
      <c r="G43">
        <v>0.23749999999999999</v>
      </c>
      <c r="H43" s="35">
        <v>2.81</v>
      </c>
      <c r="I43" s="35">
        <v>2.81</v>
      </c>
      <c r="J43" s="35">
        <v>13.6880873693485</v>
      </c>
      <c r="K43" s="28">
        <v>36.728889240173501</v>
      </c>
      <c r="L43" s="38">
        <v>40.25</v>
      </c>
      <c r="M43" s="24">
        <v>9.3704221146265598E-3</v>
      </c>
      <c r="N43" s="35">
        <v>1.25</v>
      </c>
      <c r="O43">
        <v>25.1</v>
      </c>
      <c r="P43" s="24">
        <v>9.3704221146265598E-3</v>
      </c>
      <c r="Q43" s="35">
        <v>0.296875</v>
      </c>
      <c r="R43" s="48" t="s">
        <v>8</v>
      </c>
      <c r="S43" s="51" t="s">
        <v>8</v>
      </c>
      <c r="T43">
        <v>25.1</v>
      </c>
      <c r="U43" s="24">
        <v>9.3704221146265598E-3</v>
      </c>
      <c r="V43" s="48" t="s">
        <v>8</v>
      </c>
      <c r="W43" s="48" t="s">
        <v>8</v>
      </c>
      <c r="X43">
        <v>0.84</v>
      </c>
      <c r="Y43" s="28">
        <v>0.55591279189813103</v>
      </c>
    </row>
    <row r="44" spans="1:25" x14ac:dyDescent="0.3">
      <c r="A44" s="44">
        <v>42</v>
      </c>
      <c r="B44" s="5" t="s">
        <v>59</v>
      </c>
      <c r="C44">
        <v>1</v>
      </c>
      <c r="D44" s="36">
        <v>3.5000000000000001E-3</v>
      </c>
      <c r="E44">
        <v>0.3</v>
      </c>
      <c r="F44">
        <v>1</v>
      </c>
      <c r="G44">
        <v>0.32500000000000001</v>
      </c>
      <c r="H44" s="35">
        <v>2.81</v>
      </c>
      <c r="I44" s="35">
        <v>2.81</v>
      </c>
      <c r="J44" s="35">
        <v>10.6418278566446</v>
      </c>
      <c r="K44" s="28">
        <v>28.554940227437701</v>
      </c>
      <c r="L44" s="38">
        <v>35.5</v>
      </c>
      <c r="M44" s="24">
        <v>1.08916789845473E-2</v>
      </c>
      <c r="N44" s="35">
        <v>1</v>
      </c>
      <c r="O44">
        <v>22.2</v>
      </c>
      <c r="P44" s="24">
        <v>1.08916789845473E-2</v>
      </c>
      <c r="Q44" s="35">
        <v>0.32500000000000001</v>
      </c>
      <c r="R44" s="48" t="s">
        <v>8</v>
      </c>
      <c r="S44" s="51" t="s">
        <v>8</v>
      </c>
      <c r="T44">
        <v>22.2</v>
      </c>
      <c r="U44" s="24">
        <v>1.08916789845473E-2</v>
      </c>
      <c r="V44" s="48" t="s">
        <v>8</v>
      </c>
      <c r="W44" s="48" t="s">
        <v>8</v>
      </c>
      <c r="X44">
        <v>0.98</v>
      </c>
      <c r="Y44" s="28">
        <v>0.65776901534982701</v>
      </c>
    </row>
    <row r="45" spans="1:25" x14ac:dyDescent="0.3">
      <c r="A45" s="44">
        <v>43</v>
      </c>
      <c r="B45" s="5" t="s">
        <v>59</v>
      </c>
      <c r="C45">
        <v>0.875</v>
      </c>
      <c r="D45" s="36">
        <v>2.7499999999999998E-3</v>
      </c>
      <c r="E45">
        <v>0.3</v>
      </c>
      <c r="F45">
        <v>1</v>
      </c>
      <c r="G45">
        <v>0.23749999999999999</v>
      </c>
      <c r="H45" s="35">
        <v>2.81</v>
      </c>
      <c r="I45" s="35">
        <v>2.81</v>
      </c>
      <c r="J45" s="35">
        <v>13.375922322176701</v>
      </c>
      <c r="K45" s="28">
        <v>35.891264878723199</v>
      </c>
      <c r="L45" s="38">
        <v>30.75</v>
      </c>
      <c r="M45" s="24">
        <v>5.5147537405077296E-3</v>
      </c>
      <c r="N45" s="35">
        <v>0.75</v>
      </c>
      <c r="O45">
        <v>17.7</v>
      </c>
      <c r="P45" s="24">
        <v>5.5147537405077296E-3</v>
      </c>
      <c r="Q45" s="35">
        <v>0.17812499999999998</v>
      </c>
      <c r="R45" s="48" t="s">
        <v>8</v>
      </c>
      <c r="S45" s="51" t="s">
        <v>8</v>
      </c>
      <c r="T45">
        <v>17.7</v>
      </c>
      <c r="U45" s="24">
        <v>5.5147537405077296E-3</v>
      </c>
      <c r="V45" s="48" t="s">
        <v>8</v>
      </c>
      <c r="W45" s="48" t="s">
        <v>8</v>
      </c>
      <c r="X45">
        <v>0.9</v>
      </c>
      <c r="Y45" s="28">
        <v>0.51145021063709295</v>
      </c>
    </row>
    <row r="46" spans="1:25" x14ac:dyDescent="0.3">
      <c r="A46" s="44">
        <v>44</v>
      </c>
      <c r="B46" s="5" t="s">
        <v>59</v>
      </c>
      <c r="C46">
        <v>0.625</v>
      </c>
      <c r="D46" s="36">
        <v>4.2500000000000003E-3</v>
      </c>
      <c r="E46">
        <v>0.3</v>
      </c>
      <c r="F46">
        <v>1</v>
      </c>
      <c r="G46">
        <v>0.23749999999999999</v>
      </c>
      <c r="H46" s="35">
        <v>2.81</v>
      </c>
      <c r="I46" s="35">
        <v>2.81</v>
      </c>
      <c r="J46" s="35">
        <v>8.9115170000180903</v>
      </c>
      <c r="K46" s="28">
        <v>23.912042056988</v>
      </c>
      <c r="L46" s="38">
        <v>40.25</v>
      </c>
      <c r="M46" s="24">
        <v>1.90275189094509E-2</v>
      </c>
      <c r="N46" s="35">
        <v>0.75</v>
      </c>
      <c r="O46">
        <v>30.4</v>
      </c>
      <c r="P46" s="24">
        <v>1.90275189094509E-2</v>
      </c>
      <c r="Q46" s="35">
        <v>0.17812499999999998</v>
      </c>
      <c r="R46" s="48" t="s">
        <v>8</v>
      </c>
      <c r="S46" s="51" t="s">
        <v>8</v>
      </c>
      <c r="T46">
        <v>30.4</v>
      </c>
      <c r="U46" s="24">
        <v>1.90275189094509E-2</v>
      </c>
      <c r="V46" s="48" t="s">
        <v>8</v>
      </c>
      <c r="W46" s="48" t="s">
        <v>8</v>
      </c>
      <c r="X46">
        <v>0.81</v>
      </c>
      <c r="Y46" s="28">
        <v>0.60812903073671898</v>
      </c>
    </row>
    <row r="47" spans="1:25" x14ac:dyDescent="0.3">
      <c r="A47" s="44">
        <v>45</v>
      </c>
      <c r="B47" s="5" t="s">
        <v>59</v>
      </c>
      <c r="C47">
        <v>0.875</v>
      </c>
      <c r="D47" s="36">
        <v>2.7499999999999998E-3</v>
      </c>
      <c r="E47">
        <v>0.3</v>
      </c>
      <c r="F47">
        <v>1</v>
      </c>
      <c r="G47">
        <v>0.41249999999999998</v>
      </c>
      <c r="H47" s="35">
        <v>2.81</v>
      </c>
      <c r="I47" s="35">
        <v>2.81</v>
      </c>
      <c r="J47" s="35">
        <v>13.298518583221901</v>
      </c>
      <c r="K47" s="28">
        <v>35.683569436830297</v>
      </c>
      <c r="L47" s="38">
        <v>30.75</v>
      </c>
      <c r="M47" s="24">
        <v>5.5147537405077296E-3</v>
      </c>
      <c r="N47" s="35">
        <v>0.75</v>
      </c>
      <c r="O47">
        <v>13.6</v>
      </c>
      <c r="P47" s="24">
        <v>5.5147537405077296E-3</v>
      </c>
      <c r="Q47" s="35">
        <v>0.30937499999999996</v>
      </c>
      <c r="R47" s="48" t="s">
        <v>8</v>
      </c>
      <c r="S47" s="51" t="s">
        <v>8</v>
      </c>
      <c r="T47">
        <v>13.6</v>
      </c>
      <c r="U47" s="24">
        <v>5.5147537405077296E-3</v>
      </c>
      <c r="V47" s="48" t="s">
        <v>8</v>
      </c>
      <c r="W47" s="48" t="s">
        <v>8</v>
      </c>
      <c r="X47">
        <v>1.17</v>
      </c>
      <c r="Y47" s="28">
        <v>0.67213571742729095</v>
      </c>
    </row>
    <row r="48" spans="1:25" x14ac:dyDescent="0.3">
      <c r="A48" s="44">
        <v>46</v>
      </c>
      <c r="B48" s="5" t="s">
        <v>59</v>
      </c>
      <c r="C48">
        <v>0.5</v>
      </c>
      <c r="D48" s="36">
        <v>3.5000000000000001E-3</v>
      </c>
      <c r="E48">
        <v>0.3</v>
      </c>
      <c r="F48">
        <v>1</v>
      </c>
      <c r="G48">
        <v>0.32500000000000001</v>
      </c>
      <c r="H48" s="35">
        <v>2.81</v>
      </c>
      <c r="I48" s="35">
        <v>2.81</v>
      </c>
      <c r="J48" s="35">
        <v>10.695837326244</v>
      </c>
      <c r="K48" s="28">
        <v>28.699862434120998</v>
      </c>
      <c r="L48" s="38">
        <v>35.5</v>
      </c>
      <c r="M48" s="24">
        <v>1.08916789845473E-2</v>
      </c>
      <c r="N48" s="35">
        <v>1</v>
      </c>
      <c r="O48">
        <v>25.9</v>
      </c>
      <c r="P48" s="24">
        <v>1.08916789845473E-2</v>
      </c>
      <c r="Q48" s="35">
        <v>0.32500000000000001</v>
      </c>
      <c r="R48" s="48" t="s">
        <v>8</v>
      </c>
      <c r="S48" s="51" t="s">
        <v>8</v>
      </c>
      <c r="T48">
        <v>25.9</v>
      </c>
      <c r="U48" s="24">
        <v>1.08916789845473E-2</v>
      </c>
      <c r="V48" s="48" t="s">
        <v>8</v>
      </c>
      <c r="W48" s="48" t="s">
        <v>8</v>
      </c>
      <c r="X48">
        <v>0.7</v>
      </c>
      <c r="Y48" s="28">
        <v>0.47478064265852199</v>
      </c>
    </row>
    <row r="49" spans="1:25" x14ac:dyDescent="0.3">
      <c r="A49" s="44">
        <v>47</v>
      </c>
      <c r="B49" s="5" t="s">
        <v>59</v>
      </c>
      <c r="C49">
        <v>0.75</v>
      </c>
      <c r="D49" s="36">
        <v>3.5000000000000001E-3</v>
      </c>
      <c r="E49">
        <v>0.3</v>
      </c>
      <c r="F49">
        <v>1</v>
      </c>
      <c r="G49">
        <v>0.32500000000000001</v>
      </c>
      <c r="H49" s="35">
        <v>2.81</v>
      </c>
      <c r="I49" s="35">
        <v>2.81</v>
      </c>
      <c r="J49" s="35">
        <v>10.6637371462384</v>
      </c>
      <c r="K49" s="28">
        <v>28.613728855030999</v>
      </c>
      <c r="L49" s="38">
        <v>35.5</v>
      </c>
      <c r="M49" s="24">
        <v>1.08916789845473E-2</v>
      </c>
      <c r="N49" s="35">
        <v>1</v>
      </c>
      <c r="O49">
        <v>23.7</v>
      </c>
      <c r="P49" s="24">
        <v>1.08916789845473E-2</v>
      </c>
      <c r="Q49" s="35">
        <v>0.32500000000000001</v>
      </c>
      <c r="R49" s="48" t="s">
        <v>8</v>
      </c>
      <c r="S49" s="51" t="s">
        <v>8</v>
      </c>
      <c r="T49">
        <v>23.7</v>
      </c>
      <c r="U49" s="24">
        <v>1.08916789845473E-2</v>
      </c>
      <c r="V49" s="48" t="s">
        <v>8</v>
      </c>
      <c r="W49" s="48" t="s">
        <v>8</v>
      </c>
      <c r="X49">
        <v>0.86</v>
      </c>
      <c r="Y49" s="28">
        <v>0.58358453993443304</v>
      </c>
    </row>
    <row r="50" spans="1:25" x14ac:dyDescent="0.3">
      <c r="A50" s="44">
        <v>48</v>
      </c>
      <c r="B50" s="5" t="s">
        <v>59</v>
      </c>
      <c r="C50">
        <v>0.625</v>
      </c>
      <c r="D50" s="36">
        <v>4.2500000000000003E-3</v>
      </c>
      <c r="E50">
        <v>0.3</v>
      </c>
      <c r="F50">
        <v>1</v>
      </c>
      <c r="G50">
        <v>0.41249999999999998</v>
      </c>
      <c r="H50" s="35">
        <v>2.81</v>
      </c>
      <c r="I50" s="35">
        <v>2.81</v>
      </c>
      <c r="J50" s="35">
        <v>8.7293844795870505</v>
      </c>
      <c r="K50" s="28">
        <v>23.423330596471999</v>
      </c>
      <c r="L50" s="38">
        <v>30.75</v>
      </c>
      <c r="M50" s="24">
        <v>1.1128180474441699E-2</v>
      </c>
      <c r="N50" s="35">
        <v>1.25</v>
      </c>
      <c r="O50">
        <v>24.1</v>
      </c>
      <c r="P50" s="24">
        <v>1.1128180474441699E-2</v>
      </c>
      <c r="Q50" s="35">
        <v>0.515625</v>
      </c>
      <c r="R50" s="48" t="s">
        <v>8</v>
      </c>
      <c r="S50" s="51" t="s">
        <v>8</v>
      </c>
      <c r="T50">
        <v>24.1</v>
      </c>
      <c r="U50" s="24">
        <v>1.1128180474441699E-2</v>
      </c>
      <c r="V50" s="48" t="s">
        <v>8</v>
      </c>
      <c r="W50" s="48" t="s">
        <v>8</v>
      </c>
      <c r="X50">
        <v>0.66</v>
      </c>
      <c r="Y50" s="28">
        <v>0.43920373204523999</v>
      </c>
    </row>
    <row r="51" spans="1:25" x14ac:dyDescent="0.3">
      <c r="A51" s="44">
        <v>49</v>
      </c>
      <c r="B51" s="5" t="s">
        <v>59</v>
      </c>
      <c r="C51">
        <v>0.75</v>
      </c>
      <c r="D51" s="36">
        <v>3.5000000000000001E-3</v>
      </c>
      <c r="E51">
        <v>0.3</v>
      </c>
      <c r="F51">
        <v>1</v>
      </c>
      <c r="G51">
        <v>0.5</v>
      </c>
      <c r="H51" s="35">
        <v>2.81</v>
      </c>
      <c r="I51" s="35">
        <v>2.81</v>
      </c>
      <c r="J51" s="35">
        <v>10.6462111967663</v>
      </c>
      <c r="K51" s="28">
        <v>28.566701930113101</v>
      </c>
      <c r="L51" s="38">
        <v>35.5</v>
      </c>
      <c r="M51" s="24">
        <v>1.08916789845473E-2</v>
      </c>
      <c r="N51" s="35">
        <v>1</v>
      </c>
      <c r="O51">
        <v>22.5</v>
      </c>
      <c r="P51" s="24">
        <v>1.08916789845473E-2</v>
      </c>
      <c r="Q51" s="35">
        <v>0.5</v>
      </c>
      <c r="R51" s="48" t="s">
        <v>8</v>
      </c>
      <c r="S51" s="51" t="s">
        <v>8</v>
      </c>
      <c r="T51">
        <v>22.5</v>
      </c>
      <c r="U51" s="24">
        <v>1.08916789845473E-2</v>
      </c>
      <c r="V51" s="48" t="s">
        <v>8</v>
      </c>
      <c r="W51" s="48" t="s">
        <v>8</v>
      </c>
      <c r="X51">
        <v>0.96</v>
      </c>
      <c r="Y51" s="28">
        <v>0.64293212026674895</v>
      </c>
    </row>
    <row r="52" spans="1:25" x14ac:dyDescent="0.3">
      <c r="A52" s="44">
        <v>50</v>
      </c>
      <c r="B52" s="5" t="s">
        <v>59</v>
      </c>
      <c r="C52">
        <v>0.625</v>
      </c>
      <c r="D52" s="36">
        <v>2.7499999999999998E-3</v>
      </c>
      <c r="E52">
        <v>0.3</v>
      </c>
      <c r="F52">
        <v>1</v>
      </c>
      <c r="G52">
        <v>0.23749999999999999</v>
      </c>
      <c r="H52" s="35">
        <v>2.81</v>
      </c>
      <c r="I52" s="35">
        <v>2.81</v>
      </c>
      <c r="J52" s="35">
        <v>13.671375491952499</v>
      </c>
      <c r="K52" s="28">
        <v>36.6840466937089</v>
      </c>
      <c r="L52" s="38">
        <v>40.25</v>
      </c>
      <c r="M52" s="24">
        <v>9.3704221146265598E-3</v>
      </c>
      <c r="N52" s="35">
        <v>0.75</v>
      </c>
      <c r="O52">
        <v>24.2</v>
      </c>
      <c r="P52" s="24">
        <v>9.3704221146265598E-3</v>
      </c>
      <c r="Q52" s="35">
        <v>0.17812499999999998</v>
      </c>
      <c r="R52" s="48" t="s">
        <v>8</v>
      </c>
      <c r="S52" s="51" t="s">
        <v>8</v>
      </c>
      <c r="T52">
        <v>24.2</v>
      </c>
      <c r="U52" s="24">
        <v>9.3704221146265598E-3</v>
      </c>
      <c r="V52" s="48" t="s">
        <v>8</v>
      </c>
      <c r="W52" s="48" t="s">
        <v>8</v>
      </c>
      <c r="X52">
        <v>0.89</v>
      </c>
      <c r="Y52" s="28">
        <v>0.588937314189109</v>
      </c>
    </row>
    <row r="53" spans="1:25" x14ac:dyDescent="0.3">
      <c r="A53" s="44">
        <v>51</v>
      </c>
      <c r="B53" s="5" t="s">
        <v>59</v>
      </c>
      <c r="C53">
        <v>0.875</v>
      </c>
      <c r="D53" s="36">
        <v>2.7499999999999998E-3</v>
      </c>
      <c r="E53">
        <v>0.3</v>
      </c>
      <c r="F53">
        <v>1</v>
      </c>
      <c r="G53">
        <v>0.23749999999999999</v>
      </c>
      <c r="H53" s="35">
        <v>2.81</v>
      </c>
      <c r="I53" s="35">
        <v>2.81</v>
      </c>
      <c r="J53" s="35">
        <v>13.434958026079199</v>
      </c>
      <c r="K53" s="28">
        <v>36.049673849337097</v>
      </c>
      <c r="L53" s="38">
        <v>30.75</v>
      </c>
      <c r="M53" s="24">
        <v>1.1128180474441699E-2</v>
      </c>
      <c r="N53" s="35">
        <v>0.75</v>
      </c>
      <c r="O53">
        <v>21.1</v>
      </c>
      <c r="P53" s="24">
        <v>1.1128180474441699E-2</v>
      </c>
      <c r="Q53" s="35">
        <v>0.17812499999999998</v>
      </c>
      <c r="R53" s="48" t="s">
        <v>8</v>
      </c>
      <c r="S53" s="51" t="s">
        <v>8</v>
      </c>
      <c r="T53">
        <v>21.1</v>
      </c>
      <c r="U53" s="24">
        <v>1.1128180474441699E-2</v>
      </c>
      <c r="V53" s="48" t="s">
        <v>8</v>
      </c>
      <c r="W53" s="48" t="s">
        <v>8</v>
      </c>
      <c r="X53">
        <v>0.96</v>
      </c>
      <c r="Y53" s="28">
        <v>0.63734075402053703</v>
      </c>
    </row>
    <row r="54" spans="1:25" x14ac:dyDescent="0.3">
      <c r="A54" s="44">
        <v>52</v>
      </c>
      <c r="B54" s="5" t="s">
        <v>59</v>
      </c>
      <c r="C54">
        <v>0.625</v>
      </c>
      <c r="D54" s="36">
        <v>2.7499999999999998E-3</v>
      </c>
      <c r="E54">
        <v>0.3</v>
      </c>
      <c r="F54">
        <v>1</v>
      </c>
      <c r="G54">
        <v>0.41249999999999998</v>
      </c>
      <c r="H54" s="35">
        <v>2.81</v>
      </c>
      <c r="I54" s="35">
        <v>2.81</v>
      </c>
      <c r="J54" s="35">
        <v>13.3381865627109</v>
      </c>
      <c r="K54" s="28">
        <v>35.790009495672699</v>
      </c>
      <c r="L54" s="38">
        <v>30.75</v>
      </c>
      <c r="M54" s="24">
        <v>5.5147537405077296E-3</v>
      </c>
      <c r="N54" s="35">
        <v>0.75</v>
      </c>
      <c r="O54">
        <v>15.7</v>
      </c>
      <c r="P54" s="24">
        <v>5.5147537405077296E-3</v>
      </c>
      <c r="Q54" s="35">
        <v>0.30937499999999996</v>
      </c>
      <c r="R54" s="48" t="s">
        <v>8</v>
      </c>
      <c r="S54" s="51" t="s">
        <v>8</v>
      </c>
      <c r="T54">
        <v>15.7</v>
      </c>
      <c r="U54" s="24">
        <v>5.5147537405077296E-3</v>
      </c>
      <c r="V54" s="48" t="s">
        <v>8</v>
      </c>
      <c r="W54" s="48" t="s">
        <v>8</v>
      </c>
      <c r="X54">
        <v>1.03</v>
      </c>
      <c r="Y54" s="28">
        <v>0.58983338468109203</v>
      </c>
    </row>
    <row r="55" spans="1:25" x14ac:dyDescent="0.3">
      <c r="A55" s="44">
        <v>53</v>
      </c>
      <c r="B55" s="5" t="s">
        <v>59</v>
      </c>
      <c r="C55">
        <v>0.875</v>
      </c>
      <c r="D55" s="36">
        <v>4.2500000000000003E-3</v>
      </c>
      <c r="E55">
        <v>0.3</v>
      </c>
      <c r="F55">
        <v>1</v>
      </c>
      <c r="G55">
        <v>0.41249999999999998</v>
      </c>
      <c r="H55" s="35">
        <v>2.81</v>
      </c>
      <c r="I55" s="35">
        <v>2.81</v>
      </c>
      <c r="J55" s="35">
        <v>8.6354769383447607</v>
      </c>
      <c r="K55" s="28">
        <v>23.171350930647499</v>
      </c>
      <c r="L55" s="38">
        <v>30.75</v>
      </c>
      <c r="M55" s="24">
        <v>5.5147537405077296E-3</v>
      </c>
      <c r="N55" s="35">
        <v>0.75</v>
      </c>
      <c r="O55">
        <v>16.100000000000001</v>
      </c>
      <c r="P55" s="24">
        <v>5.5147537405077296E-3</v>
      </c>
      <c r="Q55" s="35">
        <v>0.30937499999999996</v>
      </c>
      <c r="R55" s="48" t="s">
        <v>8</v>
      </c>
      <c r="S55" s="51" t="s">
        <v>8</v>
      </c>
      <c r="T55">
        <v>16.100000000000001</v>
      </c>
      <c r="U55" s="24">
        <v>5.5147537405077296E-3</v>
      </c>
      <c r="V55" s="48" t="s">
        <v>8</v>
      </c>
      <c r="W55" s="48" t="s">
        <v>8</v>
      </c>
      <c r="X55">
        <v>1</v>
      </c>
      <c r="Y55" s="28">
        <v>0.57415674987229204</v>
      </c>
    </row>
    <row r="56" spans="1:25" x14ac:dyDescent="0.3">
      <c r="A56" s="44">
        <v>54</v>
      </c>
      <c r="B56" s="5" t="s">
        <v>59</v>
      </c>
      <c r="C56">
        <v>0.875</v>
      </c>
      <c r="D56" s="36">
        <v>4.2500000000000003E-3</v>
      </c>
      <c r="E56">
        <v>0.3</v>
      </c>
      <c r="F56">
        <v>1</v>
      </c>
      <c r="G56">
        <v>0.41249999999999998</v>
      </c>
      <c r="H56" s="35">
        <v>2.81</v>
      </c>
      <c r="I56" s="35">
        <v>2.81</v>
      </c>
      <c r="J56" s="35">
        <v>8.8161180427193901</v>
      </c>
      <c r="K56" s="28">
        <v>23.656060513204299</v>
      </c>
      <c r="L56" s="38">
        <v>40.25</v>
      </c>
      <c r="M56" s="24">
        <v>9.3704221146265598E-3</v>
      </c>
      <c r="N56" s="35">
        <v>0.75</v>
      </c>
      <c r="O56">
        <v>21.7</v>
      </c>
      <c r="P56" s="24">
        <v>9.3704221146265598E-3</v>
      </c>
      <c r="Q56" s="35">
        <v>0.30937499999999996</v>
      </c>
      <c r="R56" s="48" t="s">
        <v>8</v>
      </c>
      <c r="S56" s="51" t="s">
        <v>8</v>
      </c>
      <c r="T56">
        <v>21.7</v>
      </c>
      <c r="U56" s="24">
        <v>9.3704221146265598E-3</v>
      </c>
      <c r="V56" s="48" t="s">
        <v>8</v>
      </c>
      <c r="W56" s="48" t="s">
        <v>8</v>
      </c>
      <c r="X56">
        <v>1.03</v>
      </c>
      <c r="Y56" s="28">
        <v>0.68067209833071496</v>
      </c>
    </row>
    <row r="57" spans="1:25" x14ac:dyDescent="0.3">
      <c r="A57" s="44">
        <v>55</v>
      </c>
      <c r="B57" s="5" t="s">
        <v>59</v>
      </c>
      <c r="C57">
        <v>0.75</v>
      </c>
      <c r="D57" s="36">
        <v>3.5000000000000001E-3</v>
      </c>
      <c r="E57">
        <v>0.3</v>
      </c>
      <c r="F57">
        <v>1</v>
      </c>
      <c r="G57">
        <v>0.32500000000000001</v>
      </c>
      <c r="H57" s="35">
        <v>2.81</v>
      </c>
      <c r="I57" s="35">
        <v>2.81</v>
      </c>
      <c r="J57" s="35">
        <v>10.6637371462384</v>
      </c>
      <c r="K57" s="28">
        <v>28.613728855030999</v>
      </c>
      <c r="L57" s="38">
        <v>35.5</v>
      </c>
      <c r="M57" s="24">
        <v>1.08916789845473E-2</v>
      </c>
      <c r="N57" s="35">
        <v>1</v>
      </c>
      <c r="O57">
        <v>23.7</v>
      </c>
      <c r="P57" s="24">
        <v>1.08916789845473E-2</v>
      </c>
      <c r="Q57" s="35">
        <v>0.32500000000000001</v>
      </c>
      <c r="R57" s="48" t="s">
        <v>8</v>
      </c>
      <c r="S57" s="51" t="s">
        <v>8</v>
      </c>
      <c r="T57">
        <v>23.7</v>
      </c>
      <c r="U57" s="24">
        <v>1.08916789845473E-2</v>
      </c>
      <c r="V57" s="48" t="s">
        <v>8</v>
      </c>
      <c r="W57" s="48" t="s">
        <v>8</v>
      </c>
      <c r="X57">
        <v>0.86</v>
      </c>
      <c r="Y57" s="28">
        <v>0.58358453993443304</v>
      </c>
    </row>
    <row r="58" spans="1:25" x14ac:dyDescent="0.3">
      <c r="A58" s="44">
        <v>56</v>
      </c>
      <c r="B58" s="5" t="s">
        <v>59</v>
      </c>
      <c r="C58">
        <v>0.75</v>
      </c>
      <c r="D58" s="36">
        <v>3.5000000000000001E-3</v>
      </c>
      <c r="E58">
        <v>0.3</v>
      </c>
      <c r="F58">
        <v>1</v>
      </c>
      <c r="G58">
        <v>0.32500000000000001</v>
      </c>
      <c r="H58" s="35">
        <v>2.81</v>
      </c>
      <c r="I58" s="35">
        <v>2.81</v>
      </c>
      <c r="J58" s="35">
        <v>10.695837326244</v>
      </c>
      <c r="K58" s="28">
        <v>28.699862434120998</v>
      </c>
      <c r="L58" s="38">
        <v>35.5</v>
      </c>
      <c r="M58" s="24">
        <v>1.08916789845473E-2</v>
      </c>
      <c r="N58" s="35">
        <v>1.5</v>
      </c>
      <c r="O58">
        <v>25.9</v>
      </c>
      <c r="P58" s="24">
        <v>1.08916789845473E-2</v>
      </c>
      <c r="Q58" s="35">
        <v>0.48750000000000004</v>
      </c>
      <c r="R58" s="48" t="s">
        <v>8</v>
      </c>
      <c r="S58" s="51" t="s">
        <v>8</v>
      </c>
      <c r="T58">
        <v>25.9</v>
      </c>
      <c r="U58" s="24">
        <v>1.08916789845473E-2</v>
      </c>
      <c r="V58" s="48" t="s">
        <v>8</v>
      </c>
      <c r="W58" s="48" t="s">
        <v>8</v>
      </c>
      <c r="X58">
        <v>0.7</v>
      </c>
      <c r="Y58" s="28">
        <v>0.47478064265852199</v>
      </c>
    </row>
    <row r="59" spans="1:25" x14ac:dyDescent="0.3">
      <c r="A59" s="44">
        <v>57</v>
      </c>
      <c r="B59" s="5" t="s">
        <v>59</v>
      </c>
      <c r="C59">
        <v>0.875</v>
      </c>
      <c r="D59" s="36">
        <v>2.7499999999999998E-3</v>
      </c>
      <c r="E59">
        <v>0.3</v>
      </c>
      <c r="F59">
        <v>1</v>
      </c>
      <c r="G59">
        <v>0.23749999999999999</v>
      </c>
      <c r="H59" s="35">
        <v>2.81</v>
      </c>
      <c r="I59" s="35">
        <v>2.81</v>
      </c>
      <c r="J59" s="35">
        <v>13.411732335988599</v>
      </c>
      <c r="K59" s="28">
        <v>35.987352958489097</v>
      </c>
      <c r="L59" s="38">
        <v>30.75</v>
      </c>
      <c r="M59" s="24">
        <v>5.5147537405077296E-3</v>
      </c>
      <c r="N59" s="35">
        <v>1.25</v>
      </c>
      <c r="O59">
        <v>19.600000000000001</v>
      </c>
      <c r="P59" s="24">
        <v>5.5147537405077296E-3</v>
      </c>
      <c r="Q59" s="35">
        <v>0.296875</v>
      </c>
      <c r="R59" s="48" t="s">
        <v>8</v>
      </c>
      <c r="S59" s="51" t="s">
        <v>8</v>
      </c>
      <c r="T59">
        <v>19.600000000000001</v>
      </c>
      <c r="U59" s="24">
        <v>5.5147537405077296E-3</v>
      </c>
      <c r="V59" s="48" t="s">
        <v>8</v>
      </c>
      <c r="W59" s="48" t="s">
        <v>8</v>
      </c>
      <c r="X59">
        <v>0.77</v>
      </c>
      <c r="Y59" s="28">
        <v>0.43698619529529398</v>
      </c>
    </row>
    <row r="60" spans="1:25" x14ac:dyDescent="0.3">
      <c r="A60" s="44">
        <v>58</v>
      </c>
      <c r="B60" s="5" t="s">
        <v>59</v>
      </c>
      <c r="C60">
        <v>0.875</v>
      </c>
      <c r="D60" s="36">
        <v>4.2500000000000003E-3</v>
      </c>
      <c r="E60">
        <v>0.3</v>
      </c>
      <c r="F60">
        <v>1</v>
      </c>
      <c r="G60">
        <v>0.41249999999999998</v>
      </c>
      <c r="H60" s="35">
        <v>2.81</v>
      </c>
      <c r="I60" s="35">
        <v>2.81</v>
      </c>
      <c r="J60" s="35">
        <v>8.8761210116465907</v>
      </c>
      <c r="K60" s="28">
        <v>23.817064920930701</v>
      </c>
      <c r="L60" s="38">
        <v>40.25</v>
      </c>
      <c r="M60" s="24">
        <v>1.90275189094509E-2</v>
      </c>
      <c r="N60" s="35">
        <v>0.75</v>
      </c>
      <c r="O60">
        <v>27.4</v>
      </c>
      <c r="P60" s="24">
        <v>1.90275189094509E-2</v>
      </c>
      <c r="Q60" s="35">
        <v>0.30937499999999996</v>
      </c>
      <c r="R60" s="48" t="s">
        <v>8</v>
      </c>
      <c r="S60" s="51" t="s">
        <v>8</v>
      </c>
      <c r="T60">
        <v>27.4</v>
      </c>
      <c r="U60" s="24">
        <v>1.90275189094509E-2</v>
      </c>
      <c r="V60" s="48" t="s">
        <v>8</v>
      </c>
      <c r="W60" s="48" t="s">
        <v>8</v>
      </c>
      <c r="X60">
        <v>1.05</v>
      </c>
      <c r="Y60" s="28">
        <v>0.79334599441287801</v>
      </c>
    </row>
    <row r="61" spans="1:25" x14ac:dyDescent="0.3">
      <c r="A61" s="44">
        <v>59</v>
      </c>
      <c r="B61" s="5" t="s">
        <v>59</v>
      </c>
      <c r="C61">
        <v>0.625</v>
      </c>
      <c r="D61" s="36">
        <v>4.2500000000000003E-3</v>
      </c>
      <c r="E61">
        <v>0.3</v>
      </c>
      <c r="F61">
        <v>1</v>
      </c>
      <c r="G61">
        <v>0.41249999999999998</v>
      </c>
      <c r="H61" s="35">
        <v>2.81</v>
      </c>
      <c r="I61" s="35">
        <v>2.81</v>
      </c>
      <c r="J61" s="35">
        <v>8.8954022725167192</v>
      </c>
      <c r="K61" s="28">
        <v>23.8688018273224</v>
      </c>
      <c r="L61" s="38">
        <v>40.25</v>
      </c>
      <c r="M61" s="24">
        <v>9.3704221146265598E-3</v>
      </c>
      <c r="N61" s="35">
        <v>1.25</v>
      </c>
      <c r="O61">
        <v>28.3</v>
      </c>
      <c r="P61" s="24">
        <v>9.3704221146265598E-3</v>
      </c>
      <c r="Q61" s="35">
        <v>0.515625</v>
      </c>
      <c r="R61" s="48" t="s">
        <v>8</v>
      </c>
      <c r="S61" s="51" t="s">
        <v>8</v>
      </c>
      <c r="T61">
        <v>28.3</v>
      </c>
      <c r="U61" s="24">
        <v>9.3704221146265598E-3</v>
      </c>
      <c r="V61" s="48" t="s">
        <v>8</v>
      </c>
      <c r="W61" s="48" t="s">
        <v>8</v>
      </c>
      <c r="X61">
        <v>0.66</v>
      </c>
      <c r="Y61" s="28">
        <v>0.43849226819687598</v>
      </c>
    </row>
    <row r="62" spans="1:25" x14ac:dyDescent="0.3">
      <c r="A62" s="44">
        <v>60</v>
      </c>
      <c r="B62" s="5" t="s">
        <v>59</v>
      </c>
      <c r="C62">
        <v>0.75</v>
      </c>
      <c r="D62" s="36">
        <v>3.5000000000000001E-3</v>
      </c>
      <c r="E62">
        <v>0.3</v>
      </c>
      <c r="F62">
        <v>1</v>
      </c>
      <c r="G62">
        <v>0.32500000000000001</v>
      </c>
      <c r="H62" s="35">
        <v>2.81</v>
      </c>
      <c r="I62" s="35">
        <v>2.81</v>
      </c>
      <c r="J62" s="35">
        <v>10.888527351769</v>
      </c>
      <c r="K62" s="28">
        <v>29.216902573785799</v>
      </c>
      <c r="L62" s="38">
        <v>45</v>
      </c>
      <c r="M62" s="24">
        <v>1.8279025639613401E-2</v>
      </c>
      <c r="N62" s="35">
        <v>1</v>
      </c>
      <c r="O62">
        <v>30.3</v>
      </c>
      <c r="P62" s="24">
        <v>1.8279025639613401E-2</v>
      </c>
      <c r="Q62" s="35">
        <v>0.32500000000000001</v>
      </c>
      <c r="R62" s="48" t="s">
        <v>8</v>
      </c>
      <c r="S62" s="51" t="s">
        <v>8</v>
      </c>
      <c r="T62">
        <v>30.3</v>
      </c>
      <c r="U62" s="24">
        <v>1.8279025639613401E-2</v>
      </c>
      <c r="V62" s="48" t="s">
        <v>8</v>
      </c>
      <c r="W62" s="48" t="s">
        <v>8</v>
      </c>
      <c r="X62">
        <v>0.9</v>
      </c>
      <c r="Y62" s="28">
        <v>0.68073594863531395</v>
      </c>
    </row>
    <row r="63" spans="1:25" x14ac:dyDescent="0.3">
      <c r="A63" s="44">
        <v>61</v>
      </c>
      <c r="B63" s="5" t="s">
        <v>59</v>
      </c>
      <c r="C63">
        <v>0.875</v>
      </c>
      <c r="D63" s="36">
        <v>2.7499999999999998E-3</v>
      </c>
      <c r="E63">
        <v>0.3</v>
      </c>
      <c r="F63">
        <v>1</v>
      </c>
      <c r="G63">
        <v>0.41249999999999998</v>
      </c>
      <c r="H63" s="35">
        <v>2.81</v>
      </c>
      <c r="I63" s="35">
        <v>2.81</v>
      </c>
      <c r="J63" s="35">
        <v>13.3570597091606</v>
      </c>
      <c r="K63" s="28">
        <v>35.840651319242397</v>
      </c>
      <c r="L63" s="38">
        <v>30.75</v>
      </c>
      <c r="M63" s="24">
        <v>5.5147537405077296E-3</v>
      </c>
      <c r="N63" s="35">
        <v>1.25</v>
      </c>
      <c r="O63">
        <v>16.7</v>
      </c>
      <c r="P63" s="24">
        <v>5.5147537405077296E-3</v>
      </c>
      <c r="Q63" s="35">
        <v>0.515625</v>
      </c>
      <c r="R63" s="48" t="s">
        <v>8</v>
      </c>
      <c r="S63" s="51" t="s">
        <v>8</v>
      </c>
      <c r="T63">
        <v>16.7</v>
      </c>
      <c r="U63" s="24">
        <v>5.5147537405077296E-3</v>
      </c>
      <c r="V63" s="48" t="s">
        <v>8</v>
      </c>
      <c r="W63" s="48" t="s">
        <v>8</v>
      </c>
      <c r="X63">
        <v>0.96</v>
      </c>
      <c r="Y63" s="28">
        <v>0.55064179765909305</v>
      </c>
    </row>
    <row r="64" spans="1:25" x14ac:dyDescent="0.3">
      <c r="A64" s="44">
        <v>62</v>
      </c>
      <c r="B64" s="5" t="s">
        <v>59</v>
      </c>
      <c r="C64">
        <v>0.875</v>
      </c>
      <c r="D64" s="36">
        <v>2.7499999999999998E-3</v>
      </c>
      <c r="E64">
        <v>0.3</v>
      </c>
      <c r="F64">
        <v>1</v>
      </c>
      <c r="G64">
        <v>0.23749999999999999</v>
      </c>
      <c r="H64" s="35">
        <v>2.81</v>
      </c>
      <c r="I64" s="35">
        <v>2.81</v>
      </c>
      <c r="J64" s="35">
        <v>13.461060697870399</v>
      </c>
      <c r="K64" s="28">
        <v>36.119714470442403</v>
      </c>
      <c r="L64" s="38">
        <v>30.75</v>
      </c>
      <c r="M64" s="24">
        <v>1.1128180474441699E-2</v>
      </c>
      <c r="N64" s="35">
        <v>1.25</v>
      </c>
      <c r="O64">
        <v>22.5</v>
      </c>
      <c r="P64" s="24">
        <v>1.1128180474441699E-2</v>
      </c>
      <c r="Q64" s="35">
        <v>0.296875</v>
      </c>
      <c r="R64" s="48" t="s">
        <v>8</v>
      </c>
      <c r="S64" s="51" t="s">
        <v>8</v>
      </c>
      <c r="T64">
        <v>22.5</v>
      </c>
      <c r="U64" s="24">
        <v>1.1128180474441699E-2</v>
      </c>
      <c r="V64" s="48" t="s">
        <v>8</v>
      </c>
      <c r="W64" s="48" t="s">
        <v>8</v>
      </c>
      <c r="X64">
        <v>0.82</v>
      </c>
      <c r="Y64" s="28">
        <v>0.54487681043206504</v>
      </c>
    </row>
    <row r="65" spans="1:25" x14ac:dyDescent="0.3">
      <c r="A65" s="44">
        <v>63</v>
      </c>
      <c r="B65" s="5" t="s">
        <v>59</v>
      </c>
      <c r="C65">
        <v>0.75</v>
      </c>
      <c r="D65" s="36">
        <v>3.5000000000000001E-3</v>
      </c>
      <c r="E65">
        <v>0.3</v>
      </c>
      <c r="F65">
        <v>1</v>
      </c>
      <c r="G65">
        <v>0.32500000000000001</v>
      </c>
      <c r="H65" s="35">
        <v>2.81</v>
      </c>
      <c r="I65" s="35">
        <v>2.81</v>
      </c>
      <c r="J65" s="35">
        <v>10.609512014119399</v>
      </c>
      <c r="K65" s="28">
        <v>28.468227966712</v>
      </c>
      <c r="L65" s="38">
        <v>35.5</v>
      </c>
      <c r="M65" s="24">
        <v>3.5886625373428298E-3</v>
      </c>
      <c r="N65" s="35">
        <v>1</v>
      </c>
      <c r="O65">
        <v>19.600000000000001</v>
      </c>
      <c r="P65" s="24">
        <v>3.5886625373428298E-3</v>
      </c>
      <c r="Q65" s="35">
        <v>0.32500000000000001</v>
      </c>
      <c r="R65" s="48" t="s">
        <v>8</v>
      </c>
      <c r="S65" s="51" t="s">
        <v>8</v>
      </c>
      <c r="T65">
        <v>19.600000000000001</v>
      </c>
      <c r="U65" s="24">
        <v>3.5886625373428298E-3</v>
      </c>
      <c r="V65" s="48" t="s">
        <v>8</v>
      </c>
      <c r="W65" s="48" t="s">
        <v>8</v>
      </c>
      <c r="X65">
        <v>0.83</v>
      </c>
      <c r="Y65" s="28">
        <v>0.43974345210517501</v>
      </c>
    </row>
    <row r="66" spans="1:25" x14ac:dyDescent="0.3">
      <c r="A66" s="44">
        <v>64</v>
      </c>
      <c r="B66" s="5" t="s">
        <v>59</v>
      </c>
      <c r="C66">
        <v>0.625</v>
      </c>
      <c r="D66" s="36">
        <v>4.2500000000000003E-3</v>
      </c>
      <c r="E66">
        <v>0.3</v>
      </c>
      <c r="F66">
        <v>1</v>
      </c>
      <c r="G66">
        <v>0.41249999999999998</v>
      </c>
      <c r="H66" s="35">
        <v>2.81</v>
      </c>
      <c r="I66" s="35">
        <v>2.81</v>
      </c>
      <c r="J66" s="35">
        <v>8.6623284271265408</v>
      </c>
      <c r="K66" s="28">
        <v>23.243400832930298</v>
      </c>
      <c r="L66" s="38">
        <v>30.75</v>
      </c>
      <c r="M66" s="24">
        <v>5.5147537405077296E-3</v>
      </c>
      <c r="N66" s="35">
        <v>0.75</v>
      </c>
      <c r="O66">
        <v>18.3</v>
      </c>
      <c r="P66" s="24">
        <v>5.5147537405077296E-3</v>
      </c>
      <c r="Q66" s="35">
        <v>0.30937499999999996</v>
      </c>
      <c r="R66" s="48" t="s">
        <v>8</v>
      </c>
      <c r="S66" s="51" t="s">
        <v>8</v>
      </c>
      <c r="T66">
        <v>18.3</v>
      </c>
      <c r="U66" s="24">
        <v>5.5147537405077296E-3</v>
      </c>
      <c r="V66" s="48" t="s">
        <v>8</v>
      </c>
      <c r="W66" s="48" t="s">
        <v>8</v>
      </c>
      <c r="X66">
        <v>0.85</v>
      </c>
      <c r="Y66" s="28">
        <v>0.48793525842389301</v>
      </c>
    </row>
    <row r="67" spans="1:25" x14ac:dyDescent="0.3">
      <c r="A67" s="44">
        <v>65</v>
      </c>
      <c r="B67" s="5" t="s">
        <v>59</v>
      </c>
      <c r="C67">
        <v>0.625</v>
      </c>
      <c r="D67" s="36">
        <v>2.7499999999999998E-3</v>
      </c>
      <c r="E67">
        <v>0.3</v>
      </c>
      <c r="F67">
        <v>1</v>
      </c>
      <c r="G67">
        <v>0.23749999999999999</v>
      </c>
      <c r="H67" s="35">
        <v>2.81</v>
      </c>
      <c r="I67" s="35">
        <v>2.81</v>
      </c>
      <c r="J67" s="35">
        <v>13.4536049108893</v>
      </c>
      <c r="K67" s="28">
        <v>36.099708550927097</v>
      </c>
      <c r="L67" s="38">
        <v>30.75</v>
      </c>
      <c r="M67" s="24">
        <v>1.1128180474441699E-2</v>
      </c>
      <c r="N67" s="35">
        <v>0.75</v>
      </c>
      <c r="O67">
        <v>22.1</v>
      </c>
      <c r="P67" s="24">
        <v>1.1128180474441699E-2</v>
      </c>
      <c r="Q67" s="35">
        <v>0.17812499999999998</v>
      </c>
      <c r="R67" s="48" t="s">
        <v>8</v>
      </c>
      <c r="S67" s="51" t="s">
        <v>8</v>
      </c>
      <c r="T67">
        <v>22.1</v>
      </c>
      <c r="U67" s="24">
        <v>1.1128180474441699E-2</v>
      </c>
      <c r="V67" s="48" t="s">
        <v>8</v>
      </c>
      <c r="W67" s="48" t="s">
        <v>8</v>
      </c>
      <c r="X67">
        <v>0.86</v>
      </c>
      <c r="Y67" s="28">
        <v>0.57129508002877105</v>
      </c>
    </row>
    <row r="68" spans="1:25" x14ac:dyDescent="0.3">
      <c r="A68" s="44">
        <v>66</v>
      </c>
      <c r="B68" s="5" t="s">
        <v>59</v>
      </c>
      <c r="C68">
        <v>0.625</v>
      </c>
      <c r="D68" s="36">
        <v>4.2500000000000003E-3</v>
      </c>
      <c r="E68">
        <v>0.3</v>
      </c>
      <c r="F68">
        <v>1</v>
      </c>
      <c r="G68">
        <v>0.41249999999999998</v>
      </c>
      <c r="H68" s="35">
        <v>2.81</v>
      </c>
      <c r="I68" s="35">
        <v>2.81</v>
      </c>
      <c r="J68" s="35">
        <v>8.7016547966943492</v>
      </c>
      <c r="K68" s="28">
        <v>23.348924258745701</v>
      </c>
      <c r="L68" s="38">
        <v>30.75</v>
      </c>
      <c r="M68" s="24">
        <v>1.1128180474441699E-2</v>
      </c>
      <c r="N68" s="35">
        <v>0.75</v>
      </c>
      <c r="O68">
        <v>21.8</v>
      </c>
      <c r="P68" s="24">
        <v>1.1128180474441699E-2</v>
      </c>
      <c r="Q68" s="35">
        <v>0.30937499999999996</v>
      </c>
      <c r="R68" s="48" t="s">
        <v>8</v>
      </c>
      <c r="S68" s="51" t="s">
        <v>8</v>
      </c>
      <c r="T68">
        <v>21.8</v>
      </c>
      <c r="U68" s="24">
        <v>1.1128180474441699E-2</v>
      </c>
      <c r="V68" s="48" t="s">
        <v>8</v>
      </c>
      <c r="W68" s="48" t="s">
        <v>8</v>
      </c>
      <c r="X68">
        <v>0.88</v>
      </c>
      <c r="Y68" s="28">
        <v>0.59110878222630103</v>
      </c>
    </row>
    <row r="69" spans="1:25" x14ac:dyDescent="0.3">
      <c r="A69" s="44">
        <v>67</v>
      </c>
      <c r="B69" s="5" t="s">
        <v>59</v>
      </c>
      <c r="C69">
        <v>0.75</v>
      </c>
      <c r="D69" s="36">
        <v>3.5000000000000001E-3</v>
      </c>
      <c r="E69">
        <v>0.3</v>
      </c>
      <c r="F69">
        <v>1</v>
      </c>
      <c r="G69">
        <v>0.32500000000000001</v>
      </c>
      <c r="H69" s="35">
        <v>2.81</v>
      </c>
      <c r="I69" s="35">
        <v>2.81</v>
      </c>
      <c r="J69" s="35">
        <v>10.6637371462384</v>
      </c>
      <c r="K69" s="28">
        <v>28.613728855030999</v>
      </c>
      <c r="L69" s="38">
        <v>35.5</v>
      </c>
      <c r="M69" s="24">
        <v>1.08916789845473E-2</v>
      </c>
      <c r="N69" s="35">
        <v>1</v>
      </c>
      <c r="O69">
        <v>23.7</v>
      </c>
      <c r="P69" s="24">
        <v>1.08916789845473E-2</v>
      </c>
      <c r="Q69" s="35">
        <v>0.32500000000000001</v>
      </c>
      <c r="R69" s="48" t="s">
        <v>8</v>
      </c>
      <c r="S69" s="51" t="s">
        <v>8</v>
      </c>
      <c r="T69">
        <v>23.7</v>
      </c>
      <c r="U69" s="24">
        <v>1.08916789845473E-2</v>
      </c>
      <c r="V69" s="48" t="s">
        <v>8</v>
      </c>
      <c r="W69" s="48" t="s">
        <v>8</v>
      </c>
      <c r="X69">
        <v>0.86</v>
      </c>
      <c r="Y69" s="28">
        <v>0.58358453993443304</v>
      </c>
    </row>
    <row r="70" spans="1:25" x14ac:dyDescent="0.3">
      <c r="A70" s="44">
        <v>68</v>
      </c>
      <c r="B70" s="5" t="s">
        <v>59</v>
      </c>
      <c r="C70">
        <v>0.625</v>
      </c>
      <c r="D70" s="36">
        <v>2.7499999999999998E-3</v>
      </c>
      <c r="E70">
        <v>0.3</v>
      </c>
      <c r="F70">
        <v>1</v>
      </c>
      <c r="G70">
        <v>0.41249999999999998</v>
      </c>
      <c r="H70" s="35">
        <v>2.81</v>
      </c>
      <c r="I70" s="35">
        <v>2.81</v>
      </c>
      <c r="J70" s="35">
        <v>13.4163005294263</v>
      </c>
      <c r="K70" s="28">
        <v>35.999610673265003</v>
      </c>
      <c r="L70" s="38">
        <v>30.75</v>
      </c>
      <c r="M70" s="24">
        <v>1.1128180474441699E-2</v>
      </c>
      <c r="N70" s="35">
        <v>0.75</v>
      </c>
      <c r="O70">
        <v>20.100000000000001</v>
      </c>
      <c r="P70" s="24">
        <v>1.1128180474441699E-2</v>
      </c>
      <c r="Q70" s="35">
        <v>0.30937499999999996</v>
      </c>
      <c r="R70" s="48" t="s">
        <v>8</v>
      </c>
      <c r="S70" s="51" t="s">
        <v>8</v>
      </c>
      <c r="T70">
        <v>20.100000000000001</v>
      </c>
      <c r="U70" s="24">
        <v>1.1128180474441699E-2</v>
      </c>
      <c r="V70" s="48" t="s">
        <v>8</v>
      </c>
      <c r="W70" s="48" t="s">
        <v>8</v>
      </c>
      <c r="X70">
        <v>1.06</v>
      </c>
      <c r="Y70" s="28">
        <v>0.703386428012302</v>
      </c>
    </row>
    <row r="71" spans="1:25" x14ac:dyDescent="0.3">
      <c r="A71" s="44">
        <v>69</v>
      </c>
      <c r="B71" s="5" t="s">
        <v>59</v>
      </c>
      <c r="C71">
        <v>0.625</v>
      </c>
      <c r="D71" s="36">
        <v>4.2500000000000003E-3</v>
      </c>
      <c r="E71">
        <v>0.3</v>
      </c>
      <c r="F71">
        <v>1</v>
      </c>
      <c r="G71">
        <v>0.41249999999999998</v>
      </c>
      <c r="H71" s="35">
        <v>2.81</v>
      </c>
      <c r="I71" s="35">
        <v>2.81</v>
      </c>
      <c r="J71" s="35">
        <v>8.8961862343498499</v>
      </c>
      <c r="K71" s="28">
        <v>23.870905411742999</v>
      </c>
      <c r="L71" s="38">
        <v>40.25</v>
      </c>
      <c r="M71" s="24">
        <v>1.90275189094509E-2</v>
      </c>
      <c r="N71" s="35">
        <v>0.75</v>
      </c>
      <c r="O71">
        <v>29.1</v>
      </c>
      <c r="P71" s="24">
        <v>1.90275189094509E-2</v>
      </c>
      <c r="Q71" s="35">
        <v>0.30937499999999996</v>
      </c>
      <c r="R71" s="48" t="s">
        <v>8</v>
      </c>
      <c r="S71" s="51" t="s">
        <v>8</v>
      </c>
      <c r="T71">
        <v>29.1</v>
      </c>
      <c r="U71" s="24">
        <v>1.90275189094509E-2</v>
      </c>
      <c r="V71" s="48" t="s">
        <v>8</v>
      </c>
      <c r="W71" s="48" t="s">
        <v>8</v>
      </c>
      <c r="X71">
        <v>0.91</v>
      </c>
      <c r="Y71" s="28">
        <v>0.68838971499638801</v>
      </c>
    </row>
    <row r="72" spans="1:25" x14ac:dyDescent="0.3">
      <c r="A72" s="44">
        <v>70</v>
      </c>
      <c r="B72" s="5" t="s">
        <v>59</v>
      </c>
      <c r="C72">
        <v>0.625</v>
      </c>
      <c r="D72" s="36">
        <v>2.7499999999999998E-3</v>
      </c>
      <c r="E72">
        <v>0.3</v>
      </c>
      <c r="F72">
        <v>1</v>
      </c>
      <c r="G72">
        <v>0.23749999999999999</v>
      </c>
      <c r="H72" s="35">
        <v>2.81</v>
      </c>
      <c r="I72" s="35">
        <v>2.81</v>
      </c>
      <c r="J72" s="35">
        <v>13.481555383577501</v>
      </c>
      <c r="K72" s="28">
        <v>36.174707328175899</v>
      </c>
      <c r="L72" s="38">
        <v>30.75</v>
      </c>
      <c r="M72" s="24">
        <v>1.1128180474441699E-2</v>
      </c>
      <c r="N72" s="35">
        <v>1.25</v>
      </c>
      <c r="O72">
        <v>23.6</v>
      </c>
      <c r="P72" s="24">
        <v>1.1128180474441699E-2</v>
      </c>
      <c r="Q72" s="35">
        <v>0.296875</v>
      </c>
      <c r="R72" s="48" t="s">
        <v>8</v>
      </c>
      <c r="S72" s="51" t="s">
        <v>8</v>
      </c>
      <c r="T72">
        <v>23.6</v>
      </c>
      <c r="U72" s="24">
        <v>1.1128180474441699E-2</v>
      </c>
      <c r="V72" s="48" t="s">
        <v>8</v>
      </c>
      <c r="W72" s="48" t="s">
        <v>8</v>
      </c>
      <c r="X72">
        <v>0.71</v>
      </c>
      <c r="Y72" s="28">
        <v>0.47222656904112298</v>
      </c>
    </row>
    <row r="73" spans="1:25" x14ac:dyDescent="0.3">
      <c r="A73" s="44">
        <v>71</v>
      </c>
      <c r="B73" s="5" t="s">
        <v>59</v>
      </c>
      <c r="C73">
        <v>0.625</v>
      </c>
      <c r="D73" s="36">
        <v>2.7499999999999998E-3</v>
      </c>
      <c r="E73">
        <v>0.3</v>
      </c>
      <c r="F73">
        <v>1</v>
      </c>
      <c r="G73">
        <v>0.41249999999999998</v>
      </c>
      <c r="H73" s="35">
        <v>2.81</v>
      </c>
      <c r="I73" s="35">
        <v>2.81</v>
      </c>
      <c r="J73" s="35">
        <v>13.759588883029799</v>
      </c>
      <c r="K73" s="28">
        <v>36.920747394321999</v>
      </c>
      <c r="L73" s="38">
        <v>40.25</v>
      </c>
      <c r="M73" s="24">
        <v>1.90275189094509E-2</v>
      </c>
      <c r="N73" s="35">
        <v>1.25</v>
      </c>
      <c r="O73">
        <v>29.7</v>
      </c>
      <c r="P73" s="24">
        <v>1.90275189094509E-2</v>
      </c>
      <c r="Q73" s="35">
        <v>0.515625</v>
      </c>
      <c r="R73" s="48" t="s">
        <v>8</v>
      </c>
      <c r="S73" s="51" t="s">
        <v>8</v>
      </c>
      <c r="T73">
        <v>29.7</v>
      </c>
      <c r="U73" s="24">
        <v>1.90275189094509E-2</v>
      </c>
      <c r="V73" s="48" t="s">
        <v>8</v>
      </c>
      <c r="W73" s="48" t="s">
        <v>8</v>
      </c>
      <c r="X73">
        <v>0.87</v>
      </c>
      <c r="Y73" s="28">
        <v>0.65134632226115596</v>
      </c>
    </row>
    <row r="74" spans="1:25" x14ac:dyDescent="0.3">
      <c r="A74" s="44">
        <v>72</v>
      </c>
      <c r="B74" s="5" t="s">
        <v>59</v>
      </c>
      <c r="C74">
        <v>0.875</v>
      </c>
      <c r="D74" s="36">
        <v>4.2500000000000003E-3</v>
      </c>
      <c r="E74">
        <v>0.3</v>
      </c>
      <c r="F74">
        <v>1</v>
      </c>
      <c r="G74">
        <v>0.41249999999999998</v>
      </c>
      <c r="H74" s="35">
        <v>2.81</v>
      </c>
      <c r="I74" s="35">
        <v>2.81</v>
      </c>
      <c r="J74" s="35">
        <v>8.8642037538071303</v>
      </c>
      <c r="K74" s="28">
        <v>23.7850876525643</v>
      </c>
      <c r="L74" s="38">
        <v>40.25</v>
      </c>
      <c r="M74" s="24">
        <v>9.3704221146265598E-3</v>
      </c>
      <c r="N74" s="35">
        <v>1.25</v>
      </c>
      <c r="O74">
        <v>25.7</v>
      </c>
      <c r="P74" s="24">
        <v>9.3704221146265598E-3</v>
      </c>
      <c r="Q74" s="35">
        <v>0.515625</v>
      </c>
      <c r="R74" s="48" t="s">
        <v>8</v>
      </c>
      <c r="S74" s="51" t="s">
        <v>8</v>
      </c>
      <c r="T74">
        <v>25.7</v>
      </c>
      <c r="U74" s="24">
        <v>9.3704221146265598E-3</v>
      </c>
      <c r="V74" s="48" t="s">
        <v>8</v>
      </c>
      <c r="W74" s="48" t="s">
        <v>8</v>
      </c>
      <c r="X74">
        <v>0.81</v>
      </c>
      <c r="Y74" s="28">
        <v>0.53389644370414602</v>
      </c>
    </row>
    <row r="75" spans="1:25" x14ac:dyDescent="0.3">
      <c r="A75" s="44">
        <v>73</v>
      </c>
      <c r="B75" s="5" t="s">
        <v>59</v>
      </c>
      <c r="C75">
        <v>0.875</v>
      </c>
      <c r="D75" s="36">
        <v>4.2500000000000003E-3</v>
      </c>
      <c r="E75">
        <v>0.3</v>
      </c>
      <c r="F75">
        <v>1</v>
      </c>
      <c r="G75">
        <v>0.41249999999999998</v>
      </c>
      <c r="H75" s="35">
        <v>2.81</v>
      </c>
      <c r="I75" s="35">
        <v>2.81</v>
      </c>
      <c r="J75" s="35">
        <v>8.9068010604549102</v>
      </c>
      <c r="K75" s="28">
        <v>23.8993878988719</v>
      </c>
      <c r="L75" s="38">
        <v>40.25</v>
      </c>
      <c r="M75" s="24">
        <v>1.90275189094509E-2</v>
      </c>
      <c r="N75" s="35">
        <v>1.25</v>
      </c>
      <c r="O75">
        <v>30</v>
      </c>
      <c r="P75" s="24">
        <v>1.90275189094509E-2</v>
      </c>
      <c r="Q75" s="35">
        <v>0.515625</v>
      </c>
      <c r="R75" s="48" t="s">
        <v>8</v>
      </c>
      <c r="S75" s="51" t="s">
        <v>8</v>
      </c>
      <c r="T75">
        <v>30</v>
      </c>
      <c r="U75" s="24">
        <v>1.90275189094509E-2</v>
      </c>
      <c r="V75" s="48" t="s">
        <v>8</v>
      </c>
      <c r="W75" s="48" t="s">
        <v>8</v>
      </c>
      <c r="X75">
        <v>0.84</v>
      </c>
      <c r="Y75" s="28">
        <v>0.63282462589354005</v>
      </c>
    </row>
    <row r="76" spans="1:25" x14ac:dyDescent="0.3">
      <c r="A76" s="44">
        <v>74</v>
      </c>
      <c r="B76" s="5" t="s">
        <v>59</v>
      </c>
      <c r="C76">
        <v>0.875</v>
      </c>
      <c r="D76" s="36">
        <v>4.2500000000000003E-3</v>
      </c>
      <c r="E76">
        <v>0.3</v>
      </c>
      <c r="F76">
        <v>1</v>
      </c>
      <c r="G76">
        <v>0.23749999999999999</v>
      </c>
      <c r="H76" s="35">
        <v>2.81</v>
      </c>
      <c r="I76" s="35">
        <v>2.81</v>
      </c>
      <c r="J76" s="35">
        <v>8.8950064702946108</v>
      </c>
      <c r="K76" s="28">
        <v>23.867739781502301</v>
      </c>
      <c r="L76" s="38">
        <v>40.25</v>
      </c>
      <c r="M76" s="24">
        <v>1.90275189094509E-2</v>
      </c>
      <c r="N76" s="35">
        <v>0.75</v>
      </c>
      <c r="O76">
        <v>29</v>
      </c>
      <c r="P76" s="24">
        <v>1.90275189094509E-2</v>
      </c>
      <c r="Q76" s="35">
        <v>0.17812499999999998</v>
      </c>
      <c r="R76" s="48" t="s">
        <v>8</v>
      </c>
      <c r="S76" s="51" t="s">
        <v>8</v>
      </c>
      <c r="T76">
        <v>29</v>
      </c>
      <c r="U76" s="24">
        <v>1.90275189094509E-2</v>
      </c>
      <c r="V76" s="48" t="s">
        <v>8</v>
      </c>
      <c r="W76" s="48" t="s">
        <v>8</v>
      </c>
      <c r="X76">
        <v>0.92</v>
      </c>
      <c r="Y76" s="28">
        <v>0.69456361378559295</v>
      </c>
    </row>
    <row r="77" spans="1:25" x14ac:dyDescent="0.3">
      <c r="A77" s="44">
        <v>75</v>
      </c>
      <c r="B77" s="5" t="s">
        <v>59</v>
      </c>
      <c r="C77">
        <v>0.625</v>
      </c>
      <c r="D77" s="36">
        <v>2.7499999999999998E-3</v>
      </c>
      <c r="E77">
        <v>0.3</v>
      </c>
      <c r="F77">
        <v>1</v>
      </c>
      <c r="G77">
        <v>0.41249999999999998</v>
      </c>
      <c r="H77" s="35">
        <v>2.81</v>
      </c>
      <c r="I77" s="35">
        <v>2.81</v>
      </c>
      <c r="J77" s="35">
        <v>13.615608777630399</v>
      </c>
      <c r="K77" s="28">
        <v>36.5344093179122</v>
      </c>
      <c r="L77" s="38">
        <v>40.25</v>
      </c>
      <c r="M77" s="24">
        <v>9.3704221146265598E-3</v>
      </c>
      <c r="N77" s="35">
        <v>0.75</v>
      </c>
      <c r="O77">
        <v>21.2</v>
      </c>
      <c r="P77" s="24">
        <v>9.3704221146265598E-3</v>
      </c>
      <c r="Q77" s="35">
        <v>0.30937499999999996</v>
      </c>
      <c r="R77" s="48" t="s">
        <v>8</v>
      </c>
      <c r="S77" s="51" t="s">
        <v>8</v>
      </c>
      <c r="T77">
        <v>21.2</v>
      </c>
      <c r="U77" s="24">
        <v>9.3704221146265598E-3</v>
      </c>
      <c r="V77" s="48" t="s">
        <v>8</v>
      </c>
      <c r="W77" s="48" t="s">
        <v>8</v>
      </c>
      <c r="X77">
        <v>1.05</v>
      </c>
      <c r="Y77" s="28">
        <v>0.69901905515903595</v>
      </c>
    </row>
    <row r="78" spans="1:25" x14ac:dyDescent="0.3">
      <c r="A78" s="44">
        <v>76</v>
      </c>
      <c r="B78" s="5" t="s">
        <v>59</v>
      </c>
      <c r="C78">
        <v>0.75</v>
      </c>
      <c r="D78" s="36">
        <v>3.5000000000000001E-3</v>
      </c>
      <c r="E78">
        <v>0.3</v>
      </c>
      <c r="F78">
        <v>1</v>
      </c>
      <c r="G78">
        <v>0.32500000000000001</v>
      </c>
      <c r="H78" s="35">
        <v>2.81</v>
      </c>
      <c r="I78" s="35">
        <v>2.81</v>
      </c>
      <c r="J78" s="35">
        <v>10.6637371462384</v>
      </c>
      <c r="K78" s="28">
        <v>28.613728855030999</v>
      </c>
      <c r="L78" s="38">
        <v>35.5</v>
      </c>
      <c r="M78" s="24">
        <v>1.08916789845473E-2</v>
      </c>
      <c r="N78" s="35">
        <v>1</v>
      </c>
      <c r="O78">
        <v>23.7</v>
      </c>
      <c r="P78" s="24">
        <v>1.08916789845473E-2</v>
      </c>
      <c r="Q78" s="35">
        <v>0.32500000000000001</v>
      </c>
      <c r="R78" s="48" t="s">
        <v>8</v>
      </c>
      <c r="S78" s="51" t="s">
        <v>8</v>
      </c>
      <c r="T78">
        <v>23.7</v>
      </c>
      <c r="U78" s="24">
        <v>1.08916789845473E-2</v>
      </c>
      <c r="V78" s="48" t="s">
        <v>8</v>
      </c>
      <c r="W78" s="48" t="s">
        <v>8</v>
      </c>
      <c r="X78">
        <v>0.86</v>
      </c>
      <c r="Y78" s="28">
        <v>0.58358453993443304</v>
      </c>
    </row>
    <row r="79" spans="1:25" x14ac:dyDescent="0.3">
      <c r="A79" s="44">
        <v>77</v>
      </c>
      <c r="B79" s="5" t="s">
        <v>59</v>
      </c>
      <c r="C79">
        <v>0.625</v>
      </c>
      <c r="D79" s="36">
        <v>4.2500000000000003E-3</v>
      </c>
      <c r="E79">
        <v>0.3</v>
      </c>
      <c r="F79">
        <v>1</v>
      </c>
      <c r="G79">
        <v>0.23749999999999999</v>
      </c>
      <c r="H79" s="35">
        <v>2.81</v>
      </c>
      <c r="I79" s="35">
        <v>2.81</v>
      </c>
      <c r="J79" s="35">
        <v>8.7171496213675095</v>
      </c>
      <c r="K79" s="28">
        <v>23.390501119256601</v>
      </c>
      <c r="L79" s="38">
        <v>30.75</v>
      </c>
      <c r="M79" s="24">
        <v>5.5147537405077296E-3</v>
      </c>
      <c r="N79" s="35">
        <v>1.25</v>
      </c>
      <c r="O79">
        <v>22.8</v>
      </c>
      <c r="P79" s="24">
        <v>5.5147537405077296E-3</v>
      </c>
      <c r="Q79" s="35">
        <v>0.296875</v>
      </c>
      <c r="R79" s="48" t="s">
        <v>8</v>
      </c>
      <c r="S79" s="51" t="s">
        <v>8</v>
      </c>
      <c r="T79">
        <v>22.8</v>
      </c>
      <c r="U79" s="24">
        <v>5.5147537405077296E-3</v>
      </c>
      <c r="V79" s="48" t="s">
        <v>8</v>
      </c>
      <c r="W79" s="48" t="s">
        <v>8</v>
      </c>
      <c r="X79">
        <v>0.54</v>
      </c>
      <c r="Y79" s="28">
        <v>0.31157311682489602</v>
      </c>
    </row>
    <row r="80" spans="1:25" x14ac:dyDescent="0.3">
      <c r="A80" s="44">
        <v>78</v>
      </c>
      <c r="B80" s="5" t="s">
        <v>59</v>
      </c>
      <c r="C80">
        <v>0.625</v>
      </c>
      <c r="D80" s="36">
        <v>4.2500000000000003E-3</v>
      </c>
      <c r="E80">
        <v>0.3</v>
      </c>
      <c r="F80">
        <v>1</v>
      </c>
      <c r="G80">
        <v>0.23749999999999999</v>
      </c>
      <c r="H80" s="35">
        <v>2.81</v>
      </c>
      <c r="I80" s="35">
        <v>2.81</v>
      </c>
      <c r="J80" s="35">
        <v>8.7390211113084693</v>
      </c>
      <c r="K80" s="28">
        <v>23.449188320023399</v>
      </c>
      <c r="L80" s="38">
        <v>30.75</v>
      </c>
      <c r="M80" s="24">
        <v>1.1128180474441699E-2</v>
      </c>
      <c r="N80" s="35">
        <v>1.25</v>
      </c>
      <c r="O80">
        <v>24.9</v>
      </c>
      <c r="P80" s="24">
        <v>1.1128180474441699E-2</v>
      </c>
      <c r="Q80" s="35">
        <v>0.296875</v>
      </c>
      <c r="R80" s="48" t="s">
        <v>8</v>
      </c>
      <c r="S80" s="51" t="s">
        <v>8</v>
      </c>
      <c r="T80">
        <v>24.9</v>
      </c>
      <c r="U80" s="24">
        <v>1.1128180474441699E-2</v>
      </c>
      <c r="V80" s="48" t="s">
        <v>8</v>
      </c>
      <c r="W80" s="48" t="s">
        <v>8</v>
      </c>
      <c r="X80">
        <v>0.57999999999999996</v>
      </c>
      <c r="Y80" s="28">
        <v>0.38636719285182802</v>
      </c>
    </row>
    <row r="81" spans="1:25" x14ac:dyDescent="0.3">
      <c r="A81" s="44">
        <v>79</v>
      </c>
      <c r="B81" s="5" t="s">
        <v>59</v>
      </c>
      <c r="C81">
        <v>0.75</v>
      </c>
      <c r="D81" s="36">
        <v>3.5000000000000001E-3</v>
      </c>
      <c r="E81">
        <v>0.3</v>
      </c>
      <c r="F81">
        <v>1</v>
      </c>
      <c r="G81">
        <v>0.32500000000000001</v>
      </c>
      <c r="H81" s="35">
        <v>2.81</v>
      </c>
      <c r="I81" s="35">
        <v>2.81</v>
      </c>
      <c r="J81" s="35">
        <v>10.615512221344201</v>
      </c>
      <c r="K81" s="28">
        <v>28.484328166880999</v>
      </c>
      <c r="L81" s="38">
        <v>35.5</v>
      </c>
      <c r="M81" s="24">
        <v>1.08916789845473E-2</v>
      </c>
      <c r="N81" s="35">
        <v>0.5</v>
      </c>
      <c r="O81">
        <v>20.399999999999999</v>
      </c>
      <c r="P81" s="24">
        <v>1.08916789845473E-2</v>
      </c>
      <c r="Q81" s="35">
        <v>0.16250000000000001</v>
      </c>
      <c r="R81" s="48" t="s">
        <v>8</v>
      </c>
      <c r="S81" s="51" t="s">
        <v>8</v>
      </c>
      <c r="T81">
        <v>20.399999999999999</v>
      </c>
      <c r="U81" s="24">
        <v>1.08916789845473E-2</v>
      </c>
      <c r="V81" s="48" t="s">
        <v>8</v>
      </c>
      <c r="W81" s="48" t="s">
        <v>8</v>
      </c>
      <c r="X81">
        <v>1.1100000000000001</v>
      </c>
      <c r="Y81" s="28">
        <v>0.74679038584830004</v>
      </c>
    </row>
    <row r="82" spans="1:25" x14ac:dyDescent="0.3">
      <c r="A82" s="44">
        <v>80</v>
      </c>
      <c r="B82" s="5" t="s">
        <v>59</v>
      </c>
      <c r="C82">
        <v>0.625</v>
      </c>
      <c r="D82" s="36">
        <v>4.2500000000000003E-3</v>
      </c>
      <c r="E82">
        <v>0.3</v>
      </c>
      <c r="F82">
        <v>1</v>
      </c>
      <c r="G82">
        <v>0.23749999999999999</v>
      </c>
      <c r="H82" s="35">
        <v>2.81</v>
      </c>
      <c r="I82" s="35">
        <v>2.81</v>
      </c>
      <c r="J82" s="35">
        <v>8.9109847146118408</v>
      </c>
      <c r="K82" s="28">
        <v>23.910613789385501</v>
      </c>
      <c r="L82" s="38">
        <v>40.25</v>
      </c>
      <c r="M82" s="24">
        <v>9.3704221146265598E-3</v>
      </c>
      <c r="N82" s="35">
        <v>1.25</v>
      </c>
      <c r="O82">
        <v>29.6</v>
      </c>
      <c r="P82" s="24">
        <v>9.3704221146265598E-3</v>
      </c>
      <c r="Q82" s="35">
        <v>0.296875</v>
      </c>
      <c r="R82" s="48" t="s">
        <v>8</v>
      </c>
      <c r="S82" s="51" t="s">
        <v>8</v>
      </c>
      <c r="T82">
        <v>29.6</v>
      </c>
      <c r="U82" s="24">
        <v>9.3704221146265598E-3</v>
      </c>
      <c r="V82" s="48" t="s">
        <v>8</v>
      </c>
      <c r="W82" s="48" t="s">
        <v>8</v>
      </c>
      <c r="X82">
        <v>0.59</v>
      </c>
      <c r="Y82" s="28">
        <v>0.39079018044324099</v>
      </c>
    </row>
    <row r="83" spans="1:25" x14ac:dyDescent="0.3">
      <c r="A83" s="44">
        <v>81</v>
      </c>
      <c r="B83" s="5" t="s">
        <v>59</v>
      </c>
      <c r="C83">
        <v>0.75</v>
      </c>
      <c r="D83" s="36">
        <v>3.5000000000000001E-3</v>
      </c>
      <c r="E83">
        <v>0.3</v>
      </c>
      <c r="F83">
        <v>1</v>
      </c>
      <c r="G83">
        <v>0.32500000000000001</v>
      </c>
      <c r="H83" s="35">
        <v>2.81</v>
      </c>
      <c r="I83" s="35">
        <v>2.81</v>
      </c>
      <c r="J83" s="35">
        <v>10.6637371462384</v>
      </c>
      <c r="K83" s="28">
        <v>28.613728855030999</v>
      </c>
      <c r="L83" s="38">
        <v>35.5</v>
      </c>
      <c r="M83" s="24">
        <v>1.08916789845473E-2</v>
      </c>
      <c r="N83" s="35">
        <v>1</v>
      </c>
      <c r="O83">
        <v>23.7</v>
      </c>
      <c r="P83" s="24">
        <v>1.08916789845473E-2</v>
      </c>
      <c r="Q83" s="35">
        <v>0.32500000000000001</v>
      </c>
      <c r="R83" s="48" t="s">
        <v>8</v>
      </c>
      <c r="S83" s="51" t="s">
        <v>8</v>
      </c>
      <c r="T83">
        <v>23.7</v>
      </c>
      <c r="U83" s="24">
        <v>1.08916789845473E-2</v>
      </c>
      <c r="V83" s="48" t="s">
        <v>8</v>
      </c>
      <c r="W83" s="48" t="s">
        <v>8</v>
      </c>
      <c r="X83">
        <v>0.86</v>
      </c>
      <c r="Y83" s="28">
        <v>0.58358453993443304</v>
      </c>
    </row>
    <row r="84" spans="1:25" x14ac:dyDescent="0.3">
      <c r="A84" s="44">
        <v>82</v>
      </c>
      <c r="B84" s="5" t="s">
        <v>59</v>
      </c>
      <c r="C84">
        <v>0.75</v>
      </c>
      <c r="D84" s="36">
        <v>5.0000000000000001E-3</v>
      </c>
      <c r="E84">
        <v>0.3</v>
      </c>
      <c r="F84">
        <v>1</v>
      </c>
      <c r="G84">
        <v>0.32500000000000001</v>
      </c>
      <c r="H84" s="35">
        <v>2.81</v>
      </c>
      <c r="I84" s="35">
        <v>2.81</v>
      </c>
      <c r="J84" s="35">
        <v>7.4830027175244398</v>
      </c>
      <c r="K84" s="28">
        <v>20.0789467936421</v>
      </c>
      <c r="L84" s="38">
        <v>35.5</v>
      </c>
      <c r="M84" s="24">
        <v>1.08916789845473E-2</v>
      </c>
      <c r="N84" s="35">
        <v>1</v>
      </c>
      <c r="O84">
        <v>25.5</v>
      </c>
      <c r="P84" s="24">
        <v>1.08916789845473E-2</v>
      </c>
      <c r="Q84" s="35">
        <v>0.32500000000000001</v>
      </c>
      <c r="R84" s="48" t="s">
        <v>8</v>
      </c>
      <c r="S84" s="51" t="s">
        <v>8</v>
      </c>
      <c r="T84">
        <v>25.5</v>
      </c>
      <c r="U84" s="24">
        <v>1.08916789845473E-2</v>
      </c>
      <c r="V84" s="48" t="s">
        <v>8</v>
      </c>
      <c r="W84" s="48" t="s">
        <v>8</v>
      </c>
      <c r="X84">
        <v>0.73</v>
      </c>
      <c r="Y84" s="28">
        <v>0.49456316943596002</v>
      </c>
    </row>
    <row r="85" spans="1:25" x14ac:dyDescent="0.3">
      <c r="A85" s="44">
        <v>83</v>
      </c>
      <c r="B85" s="5" t="s">
        <v>59</v>
      </c>
      <c r="C85">
        <v>0.625</v>
      </c>
      <c r="D85" s="36">
        <v>4.2500000000000003E-3</v>
      </c>
      <c r="E85">
        <v>0.3</v>
      </c>
      <c r="F85">
        <v>1</v>
      </c>
      <c r="G85">
        <v>0.41249999999999998</v>
      </c>
      <c r="H85" s="35">
        <v>2.81</v>
      </c>
      <c r="I85" s="35">
        <v>2.81</v>
      </c>
      <c r="J85" s="35">
        <v>8.7013264570434998</v>
      </c>
      <c r="K85" s="28">
        <v>23.348043233490401</v>
      </c>
      <c r="L85" s="38">
        <v>30.75</v>
      </c>
      <c r="M85" s="24">
        <v>5.5147537405077296E-3</v>
      </c>
      <c r="N85" s="35">
        <v>1.25</v>
      </c>
      <c r="O85">
        <v>21.5</v>
      </c>
      <c r="P85" s="24">
        <v>5.5147537405077296E-3</v>
      </c>
      <c r="Q85" s="35">
        <v>0.515625</v>
      </c>
      <c r="R85" s="48" t="s">
        <v>8</v>
      </c>
      <c r="S85" s="51" t="s">
        <v>8</v>
      </c>
      <c r="T85">
        <v>21.5</v>
      </c>
      <c r="U85" s="24">
        <v>5.5147537405077296E-3</v>
      </c>
      <c r="V85" s="48" t="s">
        <v>8</v>
      </c>
      <c r="W85" s="48" t="s">
        <v>8</v>
      </c>
      <c r="X85">
        <v>0.64</v>
      </c>
      <c r="Y85" s="28">
        <v>0.36252217995349501</v>
      </c>
    </row>
    <row r="86" spans="1:25" x14ac:dyDescent="0.3">
      <c r="A86" s="44">
        <v>84</v>
      </c>
      <c r="B86" s="5" t="s">
        <v>59</v>
      </c>
      <c r="C86">
        <v>0.875</v>
      </c>
      <c r="D86" s="36">
        <v>2.7499999999999998E-3</v>
      </c>
      <c r="E86">
        <v>0.3</v>
      </c>
      <c r="F86">
        <v>1</v>
      </c>
      <c r="G86">
        <v>0.41249999999999998</v>
      </c>
      <c r="H86" s="35">
        <v>2.81</v>
      </c>
      <c r="I86" s="35">
        <v>2.81</v>
      </c>
      <c r="J86" s="35">
        <v>13.726765269239699</v>
      </c>
      <c r="K86" s="28">
        <v>36.832672644152197</v>
      </c>
      <c r="L86" s="38">
        <v>40.25</v>
      </c>
      <c r="M86" s="24">
        <v>1.90275189094509E-2</v>
      </c>
      <c r="N86" s="35">
        <v>1.25</v>
      </c>
      <c r="O86">
        <v>27.9</v>
      </c>
      <c r="P86" s="24">
        <v>1.90275189094509E-2</v>
      </c>
      <c r="Q86" s="35">
        <v>0.515625</v>
      </c>
      <c r="R86" s="48" t="s">
        <v>8</v>
      </c>
      <c r="S86" s="51" t="s">
        <v>8</v>
      </c>
      <c r="T86">
        <v>27.9</v>
      </c>
      <c r="U86" s="24">
        <v>1.90275189094509E-2</v>
      </c>
      <c r="V86" s="48" t="s">
        <v>8</v>
      </c>
      <c r="W86" s="48" t="s">
        <v>8</v>
      </c>
      <c r="X86">
        <v>1.01</v>
      </c>
      <c r="Y86" s="28">
        <v>0.762476500466851</v>
      </c>
    </row>
    <row r="87" spans="1:25" x14ac:dyDescent="0.3">
      <c r="A87" s="44">
        <v>85</v>
      </c>
      <c r="B87" s="5" t="s">
        <v>59</v>
      </c>
      <c r="C87">
        <v>0.75</v>
      </c>
      <c r="D87" s="36">
        <v>3.5000000000000001E-3</v>
      </c>
      <c r="E87">
        <v>0.3</v>
      </c>
      <c r="F87">
        <v>1</v>
      </c>
      <c r="G87">
        <v>0.32500000000000001</v>
      </c>
      <c r="H87" s="35">
        <v>2.81</v>
      </c>
      <c r="I87" s="35">
        <v>2.81</v>
      </c>
      <c r="J87" s="35">
        <v>10.6637371462384</v>
      </c>
      <c r="K87" s="28">
        <v>28.613728855030999</v>
      </c>
      <c r="L87" s="38">
        <v>35.5</v>
      </c>
      <c r="M87" s="24">
        <v>1.08916789845473E-2</v>
      </c>
      <c r="N87" s="35">
        <v>1</v>
      </c>
      <c r="O87">
        <v>23.7</v>
      </c>
      <c r="P87" s="24">
        <v>1.08916789845473E-2</v>
      </c>
      <c r="Q87" s="35">
        <v>0.32500000000000001</v>
      </c>
      <c r="R87" s="48" t="s">
        <v>8</v>
      </c>
      <c r="S87" s="51" t="s">
        <v>8</v>
      </c>
      <c r="T87">
        <v>23.7</v>
      </c>
      <c r="U87" s="24">
        <v>1.08916789845473E-2</v>
      </c>
      <c r="V87" s="48" t="s">
        <v>8</v>
      </c>
      <c r="W87" s="48" t="s">
        <v>8</v>
      </c>
      <c r="X87">
        <v>0.86</v>
      </c>
      <c r="Y87" s="28">
        <v>0.58358453993443304</v>
      </c>
    </row>
    <row r="88" spans="1:25" x14ac:dyDescent="0.3">
      <c r="A88" s="44">
        <v>86</v>
      </c>
      <c r="B88" s="5" t="s">
        <v>59</v>
      </c>
      <c r="C88">
        <v>0.875</v>
      </c>
      <c r="D88" s="36">
        <v>2.7499999999999998E-3</v>
      </c>
      <c r="E88">
        <v>0.3</v>
      </c>
      <c r="F88">
        <v>1</v>
      </c>
      <c r="G88">
        <v>0.41249999999999998</v>
      </c>
      <c r="H88" s="35">
        <v>2.81</v>
      </c>
      <c r="I88" s="35">
        <v>2.81</v>
      </c>
      <c r="J88" s="35">
        <v>13.5727910704605</v>
      </c>
      <c r="K88" s="28">
        <v>36.419517676609402</v>
      </c>
      <c r="L88" s="38">
        <v>40.25</v>
      </c>
      <c r="M88" s="24">
        <v>9.3704221146265598E-3</v>
      </c>
      <c r="N88" s="35">
        <v>0.75</v>
      </c>
      <c r="O88">
        <v>18.899999999999999</v>
      </c>
      <c r="P88" s="24">
        <v>9.3704221146265598E-3</v>
      </c>
      <c r="Q88" s="35">
        <v>0.30937499999999996</v>
      </c>
      <c r="R88" s="48" t="s">
        <v>8</v>
      </c>
      <c r="S88" s="51" t="s">
        <v>8</v>
      </c>
      <c r="T88">
        <v>18.899999999999999</v>
      </c>
      <c r="U88" s="24">
        <v>9.3704221146265598E-3</v>
      </c>
      <c r="V88" s="48" t="s">
        <v>8</v>
      </c>
      <c r="W88" s="48" t="s">
        <v>8</v>
      </c>
      <c r="X88">
        <v>1.18</v>
      </c>
      <c r="Y88" s="28">
        <v>0.78341505656931398</v>
      </c>
    </row>
    <row r="89" spans="1:25" x14ac:dyDescent="0.3">
      <c r="A89" s="44">
        <v>87</v>
      </c>
      <c r="B89" s="5" t="s">
        <v>59</v>
      </c>
      <c r="C89">
        <v>0.875</v>
      </c>
      <c r="D89" s="36">
        <v>4.2500000000000003E-3</v>
      </c>
      <c r="E89">
        <v>0.3</v>
      </c>
      <c r="F89">
        <v>1</v>
      </c>
      <c r="G89">
        <v>0.23749999999999999</v>
      </c>
      <c r="H89" s="35">
        <v>2.81</v>
      </c>
      <c r="I89" s="35">
        <v>2.81</v>
      </c>
      <c r="J89" s="35">
        <v>8.7064799518339697</v>
      </c>
      <c r="K89" s="28">
        <v>23.361871472180798</v>
      </c>
      <c r="L89" s="38">
        <v>30.75</v>
      </c>
      <c r="M89" s="24">
        <v>1.1128180474441699E-2</v>
      </c>
      <c r="N89" s="35">
        <v>0.75</v>
      </c>
      <c r="O89">
        <v>22.2</v>
      </c>
      <c r="P89" s="24">
        <v>1.1128180474441699E-2</v>
      </c>
      <c r="Q89" s="35">
        <v>0.17812499999999998</v>
      </c>
      <c r="R89" s="48" t="s">
        <v>8</v>
      </c>
      <c r="S89" s="51" t="s">
        <v>8</v>
      </c>
      <c r="T89">
        <v>22.2</v>
      </c>
      <c r="U89" s="24">
        <v>1.1128180474441699E-2</v>
      </c>
      <c r="V89" s="48" t="s">
        <v>8</v>
      </c>
      <c r="W89" s="48" t="s">
        <v>8</v>
      </c>
      <c r="X89">
        <v>0.84</v>
      </c>
      <c r="Y89" s="28">
        <v>0.56469051262959502</v>
      </c>
    </row>
    <row r="90" spans="1:25" x14ac:dyDescent="0.3">
      <c r="A90" s="44">
        <v>88</v>
      </c>
      <c r="B90" s="5" t="s">
        <v>59</v>
      </c>
      <c r="C90">
        <v>0.625</v>
      </c>
      <c r="D90" s="36">
        <v>2.7499999999999998E-3</v>
      </c>
      <c r="E90">
        <v>0.3</v>
      </c>
      <c r="F90">
        <v>1</v>
      </c>
      <c r="G90">
        <v>0.41249999999999998</v>
      </c>
      <c r="H90" s="35">
        <v>2.81</v>
      </c>
      <c r="I90" s="35">
        <v>2.81</v>
      </c>
      <c r="J90" s="35">
        <v>13.6880873693485</v>
      </c>
      <c r="K90" s="28">
        <v>36.728889240173501</v>
      </c>
      <c r="L90" s="38">
        <v>40.25</v>
      </c>
      <c r="M90" s="24">
        <v>9.3704221146265598E-3</v>
      </c>
      <c r="N90" s="35">
        <v>1.25</v>
      </c>
      <c r="O90">
        <v>25.1</v>
      </c>
      <c r="P90" s="24">
        <v>9.3704221146265598E-3</v>
      </c>
      <c r="Q90" s="35">
        <v>0.515625</v>
      </c>
      <c r="R90" s="48" t="s">
        <v>8</v>
      </c>
      <c r="S90" s="51" t="s">
        <v>8</v>
      </c>
      <c r="T90">
        <v>25.1</v>
      </c>
      <c r="U90" s="24">
        <v>9.3704221146265598E-3</v>
      </c>
      <c r="V90" s="48" t="s">
        <v>8</v>
      </c>
      <c r="W90" s="48" t="s">
        <v>8</v>
      </c>
      <c r="X90">
        <v>0.84</v>
      </c>
      <c r="Y90" s="28">
        <v>0.55591279189813103</v>
      </c>
    </row>
    <row r="91" spans="1:25" x14ac:dyDescent="0.3">
      <c r="A91" s="44">
        <v>89</v>
      </c>
      <c r="B91" s="5" t="s">
        <v>59</v>
      </c>
      <c r="C91">
        <v>0.625</v>
      </c>
      <c r="D91" s="36">
        <v>2.7499999999999998E-3</v>
      </c>
      <c r="E91">
        <v>0.3</v>
      </c>
      <c r="F91">
        <v>1</v>
      </c>
      <c r="G91">
        <v>0.23749999999999999</v>
      </c>
      <c r="H91" s="35">
        <v>2.81</v>
      </c>
      <c r="I91" s="35">
        <v>2.81</v>
      </c>
      <c r="J91" s="35">
        <v>13.438094450627201</v>
      </c>
      <c r="K91" s="28">
        <v>36.0580897358467</v>
      </c>
      <c r="L91" s="38">
        <v>30.75</v>
      </c>
      <c r="M91" s="24">
        <v>5.5147537405077296E-3</v>
      </c>
      <c r="N91" s="35">
        <v>1.25</v>
      </c>
      <c r="O91">
        <v>21</v>
      </c>
      <c r="P91" s="24">
        <v>5.5147537405077296E-3</v>
      </c>
      <c r="Q91" s="35">
        <v>0.296875</v>
      </c>
      <c r="R91" s="48" t="s">
        <v>8</v>
      </c>
      <c r="S91" s="51" t="s">
        <v>8</v>
      </c>
      <c r="T91">
        <v>21</v>
      </c>
      <c r="U91" s="24">
        <v>5.5147537405077296E-3</v>
      </c>
      <c r="V91" s="48" t="s">
        <v>8</v>
      </c>
      <c r="W91" s="48" t="s">
        <v>8</v>
      </c>
      <c r="X91">
        <v>0.67</v>
      </c>
      <c r="Y91" s="28">
        <v>0.382117973464495</v>
      </c>
    </row>
    <row r="92" spans="1:25" x14ac:dyDescent="0.3">
      <c r="A92" s="44">
        <v>90</v>
      </c>
      <c r="B92" s="5" t="s">
        <v>59</v>
      </c>
      <c r="C92">
        <v>0.875</v>
      </c>
      <c r="D92" s="36">
        <v>4.2500000000000003E-3</v>
      </c>
      <c r="E92">
        <v>0.3</v>
      </c>
      <c r="F92">
        <v>1</v>
      </c>
      <c r="G92">
        <v>0.41249999999999998</v>
      </c>
      <c r="H92" s="35">
        <v>2.81</v>
      </c>
      <c r="I92" s="35">
        <v>2.81</v>
      </c>
      <c r="J92" s="35">
        <v>8.6835506861805491</v>
      </c>
      <c r="K92" s="28">
        <v>23.300345969324301</v>
      </c>
      <c r="L92" s="38">
        <v>30.75</v>
      </c>
      <c r="M92" s="24">
        <v>1.1128180474441699E-2</v>
      </c>
      <c r="N92" s="35">
        <v>0.75</v>
      </c>
      <c r="O92">
        <v>20.3</v>
      </c>
      <c r="P92" s="24">
        <v>1.1128180474441699E-2</v>
      </c>
      <c r="Q92" s="35">
        <v>0.30937499999999996</v>
      </c>
      <c r="R92" s="48" t="s">
        <v>8</v>
      </c>
      <c r="S92" s="51" t="s">
        <v>8</v>
      </c>
      <c r="T92">
        <v>20.3</v>
      </c>
      <c r="U92" s="24">
        <v>1.1128180474441699E-2</v>
      </c>
      <c r="V92" s="48" t="s">
        <v>8</v>
      </c>
      <c r="W92" s="48" t="s">
        <v>8</v>
      </c>
      <c r="X92">
        <v>1.03</v>
      </c>
      <c r="Y92" s="28">
        <v>0.69017729321394905</v>
      </c>
    </row>
    <row r="93" spans="1:25" x14ac:dyDescent="0.3">
      <c r="A93" s="44">
        <v>91</v>
      </c>
      <c r="B93" s="5" t="s">
        <v>59</v>
      </c>
      <c r="C93">
        <v>0.75</v>
      </c>
      <c r="D93" s="36">
        <v>3.5000000000000001E-3</v>
      </c>
      <c r="E93">
        <v>0.3</v>
      </c>
      <c r="F93">
        <v>1</v>
      </c>
      <c r="G93">
        <v>0.32500000000000001</v>
      </c>
      <c r="H93" s="35">
        <v>2.81</v>
      </c>
      <c r="I93" s="35">
        <v>2.81</v>
      </c>
      <c r="J93" s="35">
        <v>10.6637371462384</v>
      </c>
      <c r="K93" s="28">
        <v>28.613728855030999</v>
      </c>
      <c r="L93" s="38">
        <v>35.5</v>
      </c>
      <c r="M93" s="24">
        <v>1.08916789845473E-2</v>
      </c>
      <c r="N93" s="35">
        <v>1</v>
      </c>
      <c r="O93">
        <v>23.7</v>
      </c>
      <c r="P93" s="24">
        <v>1.08916789845473E-2</v>
      </c>
      <c r="Q93" s="35">
        <v>0.32500000000000001</v>
      </c>
      <c r="R93" s="48" t="s">
        <v>8</v>
      </c>
      <c r="S93" s="51" t="s">
        <v>8</v>
      </c>
      <c r="T93">
        <v>23.7</v>
      </c>
      <c r="U93" s="24">
        <v>1.08916789845473E-2</v>
      </c>
      <c r="V93" s="48" t="s">
        <v>8</v>
      </c>
      <c r="W93" s="48" t="s">
        <v>8</v>
      </c>
      <c r="X93">
        <v>0.86</v>
      </c>
      <c r="Y93" s="28">
        <v>0.58358453993443304</v>
      </c>
    </row>
    <row r="94" spans="1:25" x14ac:dyDescent="0.3">
      <c r="A94" s="44">
        <v>92</v>
      </c>
      <c r="B94" s="5" t="s">
        <v>59</v>
      </c>
      <c r="C94">
        <v>0.75</v>
      </c>
      <c r="D94" s="36">
        <v>3.5000000000000001E-3</v>
      </c>
      <c r="E94">
        <v>0.3</v>
      </c>
      <c r="F94">
        <v>1</v>
      </c>
      <c r="G94">
        <v>0.32500000000000001</v>
      </c>
      <c r="H94" s="35">
        <v>2.81</v>
      </c>
      <c r="I94" s="35">
        <v>2.81</v>
      </c>
      <c r="J94" s="35">
        <v>10.6637371462384</v>
      </c>
      <c r="K94" s="28">
        <v>28.613728855030999</v>
      </c>
      <c r="L94" s="38">
        <v>35.5</v>
      </c>
      <c r="M94" s="24">
        <v>1.08916789845473E-2</v>
      </c>
      <c r="N94" s="35">
        <v>1</v>
      </c>
      <c r="O94">
        <v>23.7</v>
      </c>
      <c r="P94" s="24">
        <v>1.08916789845473E-2</v>
      </c>
      <c r="Q94" s="35">
        <v>0.32500000000000001</v>
      </c>
      <c r="R94" s="48" t="s">
        <v>8</v>
      </c>
      <c r="S94" s="51" t="s">
        <v>8</v>
      </c>
      <c r="T94">
        <v>23.7</v>
      </c>
      <c r="U94" s="24">
        <v>1.08916789845473E-2</v>
      </c>
      <c r="V94" s="48" t="s">
        <v>8</v>
      </c>
      <c r="W94" s="48" t="s">
        <v>8</v>
      </c>
      <c r="X94">
        <v>0.86</v>
      </c>
      <c r="Y94" s="28">
        <v>0.58358453993443304</v>
      </c>
    </row>
    <row r="95" spans="1:25" x14ac:dyDescent="0.3">
      <c r="A95" s="44">
        <v>93</v>
      </c>
      <c r="B95" s="5" t="s">
        <v>59</v>
      </c>
      <c r="C95">
        <v>0.625</v>
      </c>
      <c r="D95" s="36">
        <v>2.7499999999999998E-3</v>
      </c>
      <c r="E95">
        <v>0.3</v>
      </c>
      <c r="F95">
        <v>1</v>
      </c>
      <c r="G95">
        <v>0.23749999999999999</v>
      </c>
      <c r="H95" s="35">
        <v>2.81</v>
      </c>
      <c r="I95" s="35">
        <v>2.81</v>
      </c>
      <c r="J95" s="35">
        <v>13.7796310518331</v>
      </c>
      <c r="K95" s="28">
        <v>36.974526025203403</v>
      </c>
      <c r="L95" s="38">
        <v>40.25</v>
      </c>
      <c r="M95" s="24">
        <v>1.90275189094509E-2</v>
      </c>
      <c r="N95" s="35">
        <v>1.25</v>
      </c>
      <c r="O95">
        <v>30.8</v>
      </c>
      <c r="P95" s="24">
        <v>1.90275189094509E-2</v>
      </c>
      <c r="Q95" s="35">
        <v>0.296875</v>
      </c>
      <c r="R95" s="48" t="s">
        <v>8</v>
      </c>
      <c r="S95" s="51" t="s">
        <v>8</v>
      </c>
      <c r="T95">
        <v>30.8</v>
      </c>
      <c r="U95" s="24">
        <v>1.90275189094509E-2</v>
      </c>
      <c r="V95" s="48" t="s">
        <v>8</v>
      </c>
      <c r="W95" s="48" t="s">
        <v>8</v>
      </c>
      <c r="X95">
        <v>0.77</v>
      </c>
      <c r="Y95" s="28">
        <v>0.58343343557989802</v>
      </c>
    </row>
    <row r="96" spans="1:25" x14ac:dyDescent="0.3">
      <c r="A96" s="44">
        <v>94</v>
      </c>
      <c r="B96" s="5" t="s">
        <v>59</v>
      </c>
      <c r="C96">
        <v>0.875</v>
      </c>
      <c r="D96" s="36">
        <v>4.2500000000000003E-3</v>
      </c>
      <c r="E96">
        <v>0.3</v>
      </c>
      <c r="F96">
        <v>1</v>
      </c>
      <c r="G96">
        <v>0.23749999999999999</v>
      </c>
      <c r="H96" s="35">
        <v>2.81</v>
      </c>
      <c r="I96" s="35">
        <v>2.81</v>
      </c>
      <c r="J96" s="35">
        <v>8.8497892650490808</v>
      </c>
      <c r="K96" s="28">
        <v>23.746409629348801</v>
      </c>
      <c r="L96" s="38">
        <v>40.25</v>
      </c>
      <c r="M96" s="24">
        <v>9.3704221146265598E-3</v>
      </c>
      <c r="N96" s="35">
        <v>0.75</v>
      </c>
      <c r="O96">
        <v>24.5</v>
      </c>
      <c r="P96" s="24">
        <v>9.3704221146265598E-3</v>
      </c>
      <c r="Q96" s="35">
        <v>0.17812499999999998</v>
      </c>
      <c r="R96" s="48" t="s">
        <v>8</v>
      </c>
      <c r="S96" s="51" t="s">
        <v>8</v>
      </c>
      <c r="T96">
        <v>24.5</v>
      </c>
      <c r="U96" s="24">
        <v>9.3704221146265598E-3</v>
      </c>
      <c r="V96" s="48" t="s">
        <v>8</v>
      </c>
      <c r="W96" s="48" t="s">
        <v>8</v>
      </c>
      <c r="X96">
        <v>0.87</v>
      </c>
      <c r="Y96" s="28">
        <v>0.57792914009211704</v>
      </c>
    </row>
    <row r="97" spans="1:25" x14ac:dyDescent="0.3">
      <c r="A97" s="44">
        <v>95</v>
      </c>
      <c r="B97" s="5" t="s">
        <v>59</v>
      </c>
      <c r="C97">
        <v>0.75</v>
      </c>
      <c r="D97" s="36">
        <v>2E-3</v>
      </c>
      <c r="E97">
        <v>0.3</v>
      </c>
      <c r="F97">
        <v>1</v>
      </c>
      <c r="G97">
        <v>0.32500000000000001</v>
      </c>
      <c r="H97" s="35">
        <v>2.81</v>
      </c>
      <c r="I97" s="35">
        <v>2.81</v>
      </c>
      <c r="J97" s="35">
        <v>18.5950612030915</v>
      </c>
      <c r="K97" s="28">
        <v>49.895644651711599</v>
      </c>
      <c r="L97" s="38">
        <v>35.5</v>
      </c>
      <c r="M97" s="24">
        <v>1.08916789845473E-2</v>
      </c>
      <c r="N97" s="35">
        <v>1</v>
      </c>
      <c r="O97">
        <v>21.1</v>
      </c>
      <c r="P97" s="24">
        <v>1.08916789845473E-2</v>
      </c>
      <c r="Q97" s="35">
        <v>0.32500000000000001</v>
      </c>
      <c r="R97" s="48" t="s">
        <v>8</v>
      </c>
      <c r="S97" s="51" t="s">
        <v>8</v>
      </c>
      <c r="T97">
        <v>21.1</v>
      </c>
      <c r="U97" s="24">
        <v>1.08916789845473E-2</v>
      </c>
      <c r="V97" s="48" t="s">
        <v>8</v>
      </c>
      <c r="W97" s="48" t="s">
        <v>8</v>
      </c>
      <c r="X97">
        <v>1.06</v>
      </c>
      <c r="Y97" s="28">
        <v>0.71217096398778301</v>
      </c>
    </row>
    <row r="98" spans="1:25" x14ac:dyDescent="0.3">
      <c r="A98" s="44">
        <v>96</v>
      </c>
      <c r="B98" s="5" t="s">
        <v>59</v>
      </c>
      <c r="C98">
        <v>0.875</v>
      </c>
      <c r="D98" s="36">
        <v>2.7499999999999998E-3</v>
      </c>
      <c r="E98">
        <v>0.3</v>
      </c>
      <c r="F98">
        <v>1</v>
      </c>
      <c r="G98">
        <v>0.41249999999999998</v>
      </c>
      <c r="H98" s="35">
        <v>2.81</v>
      </c>
      <c r="I98" s="35">
        <v>2.81</v>
      </c>
      <c r="J98" s="35">
        <v>13.688428028891</v>
      </c>
      <c r="K98" s="28">
        <v>36.729803323074201</v>
      </c>
      <c r="L98" s="38">
        <v>40.25</v>
      </c>
      <c r="M98" s="24">
        <v>1.90275189094509E-2</v>
      </c>
      <c r="N98" s="35">
        <v>0.75</v>
      </c>
      <c r="O98">
        <v>25.8</v>
      </c>
      <c r="P98" s="24">
        <v>1.90275189094509E-2</v>
      </c>
      <c r="Q98" s="35">
        <v>0.30937499999999996</v>
      </c>
      <c r="R98" s="48" t="s">
        <v>8</v>
      </c>
      <c r="S98" s="51" t="s">
        <v>8</v>
      </c>
      <c r="T98">
        <v>25.8</v>
      </c>
      <c r="U98" s="24">
        <v>1.90275189094509E-2</v>
      </c>
      <c r="V98" s="48" t="s">
        <v>8</v>
      </c>
      <c r="W98" s="48" t="s">
        <v>8</v>
      </c>
      <c r="X98">
        <v>1.19</v>
      </c>
      <c r="Y98" s="28">
        <v>0.89212837504016196</v>
      </c>
    </row>
    <row r="99" spans="1:25" x14ac:dyDescent="0.3">
      <c r="A99" s="44">
        <v>97</v>
      </c>
      <c r="B99" s="5" t="s">
        <v>59</v>
      </c>
      <c r="C99">
        <v>0.625</v>
      </c>
      <c r="D99" s="36">
        <v>4.2500000000000003E-3</v>
      </c>
      <c r="E99">
        <v>0.3</v>
      </c>
      <c r="F99">
        <v>1</v>
      </c>
      <c r="G99">
        <v>0.23749999999999999</v>
      </c>
      <c r="H99" s="35">
        <v>2.81</v>
      </c>
      <c r="I99" s="35">
        <v>2.81</v>
      </c>
      <c r="J99" s="35">
        <v>8.7197434775026004</v>
      </c>
      <c r="K99" s="28">
        <v>23.397461146038999</v>
      </c>
      <c r="L99" s="38">
        <v>30.75</v>
      </c>
      <c r="M99" s="24">
        <v>1.1128180474441699E-2</v>
      </c>
      <c r="N99" s="35">
        <v>0.75</v>
      </c>
      <c r="O99">
        <v>23.3</v>
      </c>
      <c r="P99" s="24">
        <v>1.1128180474441699E-2</v>
      </c>
      <c r="Q99" s="35">
        <v>0.17812499999999998</v>
      </c>
      <c r="R99" s="48" t="s">
        <v>8</v>
      </c>
      <c r="S99" s="51" t="s">
        <v>8</v>
      </c>
      <c r="T99">
        <v>23.3</v>
      </c>
      <c r="U99" s="24">
        <v>1.1128180474441699E-2</v>
      </c>
      <c r="V99" s="48" t="s">
        <v>8</v>
      </c>
      <c r="W99" s="48" t="s">
        <v>8</v>
      </c>
      <c r="X99">
        <v>0.74</v>
      </c>
      <c r="Y99" s="28">
        <v>0.49204027123865302</v>
      </c>
    </row>
    <row r="100" spans="1:25" x14ac:dyDescent="0.3">
      <c r="A100" s="44">
        <v>98</v>
      </c>
      <c r="B100" s="5" t="s">
        <v>59</v>
      </c>
      <c r="C100">
        <v>0.75</v>
      </c>
      <c r="D100" s="36">
        <v>3.5000000000000001E-3</v>
      </c>
      <c r="E100">
        <v>0.3</v>
      </c>
      <c r="F100">
        <v>1</v>
      </c>
      <c r="G100">
        <v>0.32500000000000001</v>
      </c>
      <c r="H100" s="35">
        <v>2.81</v>
      </c>
      <c r="I100" s="35">
        <v>2.81</v>
      </c>
      <c r="J100" s="35">
        <v>10.7105669081544</v>
      </c>
      <c r="K100" s="28">
        <v>28.7393859386065</v>
      </c>
      <c r="L100" s="38">
        <v>35.5</v>
      </c>
      <c r="M100" s="24">
        <v>1.83672331393709E-2</v>
      </c>
      <c r="N100" s="35">
        <v>1</v>
      </c>
      <c r="O100">
        <v>27.4</v>
      </c>
      <c r="P100" s="24">
        <v>1.83672331393709E-2</v>
      </c>
      <c r="Q100" s="35">
        <v>0.32500000000000001</v>
      </c>
      <c r="R100" s="48" t="s">
        <v>8</v>
      </c>
      <c r="S100" s="51" t="s">
        <v>8</v>
      </c>
      <c r="T100">
        <v>27.4</v>
      </c>
      <c r="U100" s="24">
        <v>1.83672331393709E-2</v>
      </c>
      <c r="V100" s="48" t="s">
        <v>8</v>
      </c>
      <c r="W100" s="48" t="s">
        <v>8</v>
      </c>
      <c r="X100">
        <v>0.9</v>
      </c>
      <c r="Y100" s="28">
        <v>0.67405702368626996</v>
      </c>
    </row>
    <row r="101" spans="1:25" x14ac:dyDescent="0.3">
      <c r="A101" s="44">
        <v>99</v>
      </c>
      <c r="B101" s="5" t="s">
        <v>59</v>
      </c>
      <c r="C101">
        <v>0.625</v>
      </c>
      <c r="D101" s="36">
        <v>2.7499999999999998E-3</v>
      </c>
      <c r="E101">
        <v>0.3</v>
      </c>
      <c r="F101">
        <v>1</v>
      </c>
      <c r="G101">
        <v>0.41249999999999998</v>
      </c>
      <c r="H101" s="35">
        <v>2.81</v>
      </c>
      <c r="I101" s="35">
        <v>2.81</v>
      </c>
      <c r="J101" s="35">
        <v>13.4573330161484</v>
      </c>
      <c r="K101" s="28">
        <v>36.109712078917703</v>
      </c>
      <c r="L101" s="38">
        <v>30.75</v>
      </c>
      <c r="M101" s="24">
        <v>1.1128180474441699E-2</v>
      </c>
      <c r="N101" s="35">
        <v>1.25</v>
      </c>
      <c r="O101">
        <v>22.3</v>
      </c>
      <c r="P101" s="24">
        <v>1.1128180474441699E-2</v>
      </c>
      <c r="Q101" s="35">
        <v>0.515625</v>
      </c>
      <c r="R101" s="48" t="s">
        <v>8</v>
      </c>
      <c r="S101" s="51" t="s">
        <v>8</v>
      </c>
      <c r="T101">
        <v>22.3</v>
      </c>
      <c r="U101" s="24">
        <v>1.1128180474441699E-2</v>
      </c>
      <c r="V101" s="48" t="s">
        <v>8</v>
      </c>
      <c r="W101" s="48" t="s">
        <v>8</v>
      </c>
      <c r="X101">
        <v>0.84</v>
      </c>
      <c r="Y101" s="28">
        <v>0.55808594523041799</v>
      </c>
    </row>
    <row r="102" spans="1:25" x14ac:dyDescent="0.3">
      <c r="A102" s="44">
        <v>100</v>
      </c>
      <c r="B102" s="5" t="s">
        <v>59</v>
      </c>
      <c r="C102">
        <v>0.625</v>
      </c>
      <c r="D102" s="36">
        <v>2.7499999999999998E-3</v>
      </c>
      <c r="E102">
        <v>0.3</v>
      </c>
      <c r="F102">
        <v>1</v>
      </c>
      <c r="G102">
        <v>0.23749999999999999</v>
      </c>
      <c r="H102" s="35">
        <v>2.81</v>
      </c>
      <c r="I102" s="35">
        <v>2.81</v>
      </c>
      <c r="J102" s="35">
        <v>13.4004280031658</v>
      </c>
      <c r="K102" s="28">
        <v>35.9570203358969</v>
      </c>
      <c r="L102" s="38">
        <v>30.75</v>
      </c>
      <c r="M102" s="24">
        <v>5.5147537405077296E-3</v>
      </c>
      <c r="N102" s="35">
        <v>0.75</v>
      </c>
      <c r="O102">
        <v>19</v>
      </c>
      <c r="P102" s="24">
        <v>5.5147537405077296E-3</v>
      </c>
      <c r="Q102" s="35">
        <v>0.17812499999999998</v>
      </c>
      <c r="R102" s="48" t="s">
        <v>8</v>
      </c>
      <c r="S102" s="51" t="s">
        <v>8</v>
      </c>
      <c r="T102">
        <v>19</v>
      </c>
      <c r="U102" s="24">
        <v>5.5147537405077296E-3</v>
      </c>
      <c r="V102" s="48" t="s">
        <v>8</v>
      </c>
      <c r="W102" s="48" t="s">
        <v>8</v>
      </c>
      <c r="X102">
        <v>0.81</v>
      </c>
      <c r="Y102" s="28">
        <v>0.46050114750849402</v>
      </c>
    </row>
    <row r="103" spans="1:25" x14ac:dyDescent="0.3">
      <c r="A103" s="44">
        <v>101</v>
      </c>
      <c r="B103" s="5" t="s">
        <v>59</v>
      </c>
      <c r="C103">
        <v>0.875</v>
      </c>
      <c r="D103" s="36">
        <v>2.7499999999999998E-3</v>
      </c>
      <c r="E103">
        <v>0.3</v>
      </c>
      <c r="F103">
        <v>1</v>
      </c>
      <c r="G103">
        <v>0.41249999999999998</v>
      </c>
      <c r="H103" s="35">
        <v>2.81</v>
      </c>
      <c r="I103" s="35">
        <v>2.81</v>
      </c>
      <c r="J103" s="35">
        <v>13.39016216896</v>
      </c>
      <c r="K103" s="28">
        <v>35.929474289664803</v>
      </c>
      <c r="L103" s="38">
        <v>30.75</v>
      </c>
      <c r="M103" s="24">
        <v>1.1128180474441699E-2</v>
      </c>
      <c r="N103" s="35">
        <v>0.75</v>
      </c>
      <c r="O103">
        <v>18.7</v>
      </c>
      <c r="P103" s="24">
        <v>1.1128180474441699E-2</v>
      </c>
      <c r="Q103" s="35">
        <v>0.30937499999999996</v>
      </c>
      <c r="R103" s="48" t="s">
        <v>8</v>
      </c>
      <c r="S103" s="51" t="s">
        <v>8</v>
      </c>
      <c r="T103">
        <v>18.7</v>
      </c>
      <c r="U103" s="24">
        <v>1.1128180474441699E-2</v>
      </c>
      <c r="V103" s="48" t="s">
        <v>8</v>
      </c>
      <c r="W103" s="48" t="s">
        <v>8</v>
      </c>
      <c r="X103">
        <v>1.19</v>
      </c>
      <c r="Y103" s="28">
        <v>0.79585037160077399</v>
      </c>
    </row>
    <row r="104" spans="1:25" x14ac:dyDescent="0.3">
      <c r="A104" s="44">
        <v>102</v>
      </c>
      <c r="B104" s="5" t="s">
        <v>59</v>
      </c>
      <c r="C104">
        <v>0.75</v>
      </c>
      <c r="D104" s="36">
        <v>3.5000000000000001E-3</v>
      </c>
      <c r="E104">
        <v>0.3</v>
      </c>
      <c r="F104">
        <v>1</v>
      </c>
      <c r="G104">
        <v>0.15</v>
      </c>
      <c r="H104" s="35">
        <v>2.81</v>
      </c>
      <c r="I104" s="35">
        <v>2.81</v>
      </c>
      <c r="J104" s="35">
        <v>10.710415207031801</v>
      </c>
      <c r="K104" s="28">
        <v>28.7389788829251</v>
      </c>
      <c r="L104" s="38">
        <v>35.5</v>
      </c>
      <c r="M104" s="24">
        <v>1.08916789845473E-2</v>
      </c>
      <c r="N104" s="35">
        <v>1</v>
      </c>
      <c r="O104">
        <v>26.9</v>
      </c>
      <c r="P104" s="24">
        <v>1.08916789845473E-2</v>
      </c>
      <c r="Q104" s="35">
        <v>0.15</v>
      </c>
      <c r="R104" s="48" t="s">
        <v>8</v>
      </c>
      <c r="S104" s="51" t="s">
        <v>8</v>
      </c>
      <c r="T104">
        <v>26.9</v>
      </c>
      <c r="U104" s="24">
        <v>1.08916789845473E-2</v>
      </c>
      <c r="V104" s="48" t="s">
        <v>8</v>
      </c>
      <c r="W104" s="48" t="s">
        <v>8</v>
      </c>
      <c r="X104">
        <v>0.63</v>
      </c>
      <c r="Y104" s="28">
        <v>0.42532432571492601</v>
      </c>
    </row>
    <row r="105" spans="1:25" x14ac:dyDescent="0.3">
      <c r="A105" s="44">
        <v>103</v>
      </c>
      <c r="B105" s="5" t="s">
        <v>59</v>
      </c>
      <c r="C105">
        <v>0.875</v>
      </c>
      <c r="D105" s="36">
        <v>4.2500000000000003E-3</v>
      </c>
      <c r="E105">
        <v>0.3</v>
      </c>
      <c r="F105">
        <v>1</v>
      </c>
      <c r="G105">
        <v>0.23749999999999999</v>
      </c>
      <c r="H105" s="35">
        <v>2.81</v>
      </c>
      <c r="I105" s="35">
        <v>2.81</v>
      </c>
      <c r="J105" s="35">
        <v>8.8870070883025001</v>
      </c>
      <c r="K105" s="28">
        <v>23.846275247615999</v>
      </c>
      <c r="L105" s="38">
        <v>40.25</v>
      </c>
      <c r="M105" s="24">
        <v>9.3704221146265598E-3</v>
      </c>
      <c r="N105" s="35">
        <v>1.25</v>
      </c>
      <c r="O105">
        <v>27.6</v>
      </c>
      <c r="P105" s="24">
        <v>9.3704221146265598E-3</v>
      </c>
      <c r="Q105" s="35">
        <v>0.296875</v>
      </c>
      <c r="R105" s="48" t="s">
        <v>8</v>
      </c>
      <c r="S105" s="51" t="s">
        <v>8</v>
      </c>
      <c r="T105">
        <v>27.6</v>
      </c>
      <c r="U105" s="24">
        <v>9.3704221146265598E-3</v>
      </c>
      <c r="V105" s="48" t="s">
        <v>8</v>
      </c>
      <c r="W105" s="48" t="s">
        <v>8</v>
      </c>
      <c r="X105">
        <v>0.7</v>
      </c>
      <c r="Y105" s="28">
        <v>0.46417800775652501</v>
      </c>
    </row>
    <row r="106" spans="1:25" x14ac:dyDescent="0.3">
      <c r="A106" s="44">
        <v>104</v>
      </c>
      <c r="B106" s="5" t="s">
        <v>59</v>
      </c>
      <c r="C106">
        <v>0.875</v>
      </c>
      <c r="D106" s="36">
        <v>4.2500000000000003E-3</v>
      </c>
      <c r="E106">
        <v>0.3</v>
      </c>
      <c r="F106">
        <v>1</v>
      </c>
      <c r="G106">
        <v>0.23749999999999999</v>
      </c>
      <c r="H106" s="35">
        <v>2.81</v>
      </c>
      <c r="I106" s="35">
        <v>2.81</v>
      </c>
      <c r="J106" s="35">
        <v>8.91976728993866</v>
      </c>
      <c r="K106" s="28">
        <v>23.9341798456005</v>
      </c>
      <c r="L106" s="38">
        <v>40.25</v>
      </c>
      <c r="M106" s="24">
        <v>1.90275189094509E-2</v>
      </c>
      <c r="N106" s="35">
        <v>1.25</v>
      </c>
      <c r="O106">
        <v>31.1</v>
      </c>
      <c r="P106" s="24">
        <v>1.90275189094509E-2</v>
      </c>
      <c r="Q106" s="35">
        <v>0.296875</v>
      </c>
      <c r="R106" s="48" t="s">
        <v>8</v>
      </c>
      <c r="S106" s="51" t="s">
        <v>8</v>
      </c>
      <c r="T106">
        <v>31.1</v>
      </c>
      <c r="U106" s="24">
        <v>1.90275189094509E-2</v>
      </c>
      <c r="V106" s="48" t="s">
        <v>8</v>
      </c>
      <c r="W106" s="48" t="s">
        <v>8</v>
      </c>
      <c r="X106">
        <v>0.75</v>
      </c>
      <c r="Y106" s="28">
        <v>0.56491173921228199</v>
      </c>
    </row>
    <row r="107" spans="1:25" ht="15" thickBot="1" x14ac:dyDescent="0.35">
      <c r="A107" s="16">
        <v>105</v>
      </c>
      <c r="B107" s="7" t="s">
        <v>59</v>
      </c>
      <c r="C107" s="8">
        <v>0.875</v>
      </c>
      <c r="D107" s="42">
        <v>2.7499999999999998E-3</v>
      </c>
      <c r="E107" s="8">
        <v>0.3</v>
      </c>
      <c r="F107">
        <v>1</v>
      </c>
      <c r="G107" s="8">
        <v>0.41249999999999998</v>
      </c>
      <c r="H107" s="18">
        <v>2.81</v>
      </c>
      <c r="I107" s="18">
        <v>2.81</v>
      </c>
      <c r="J107" s="18">
        <v>13.6397857914166</v>
      </c>
      <c r="K107" s="29">
        <v>36.5992828709186</v>
      </c>
      <c r="L107" s="43">
        <v>40.25</v>
      </c>
      <c r="M107" s="25">
        <v>9.3704221146265598E-3</v>
      </c>
      <c r="N107" s="18">
        <v>1.25</v>
      </c>
      <c r="O107" s="8">
        <v>22.5</v>
      </c>
      <c r="P107" s="25">
        <v>9.3704221146265598E-3</v>
      </c>
      <c r="Q107" s="18">
        <v>0.515625</v>
      </c>
      <c r="R107" s="49" t="s">
        <v>8</v>
      </c>
      <c r="S107" s="52" t="s">
        <v>8</v>
      </c>
      <c r="T107" s="8">
        <v>22.5</v>
      </c>
      <c r="U107" s="25">
        <v>9.3704221146265598E-3</v>
      </c>
      <c r="V107" s="49" t="s">
        <v>8</v>
      </c>
      <c r="W107" s="49" t="s">
        <v>8</v>
      </c>
      <c r="X107" s="8">
        <v>0.99</v>
      </c>
      <c r="Y107" s="29">
        <v>0.65131696740540101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2.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3.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2026-01-28T07:52:17Z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