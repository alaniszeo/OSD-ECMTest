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Z\alaniszeo_git\EC-generic-model\Database_for_model_validation\D-IEC\"/>
    </mc:Choice>
  </mc:AlternateContent>
  <xr:revisionPtr revIDLastSave="0" documentId="13_ncr:1_{F51338D7-80FA-44D9-9462-5212B09F4A4B}" xr6:coauthVersionLast="47" xr6:coauthVersionMax="47" xr10:uidLastSave="{00000000-0000-0000-0000-000000000000}"/>
  <bookViews>
    <workbookView xWindow="-108" yWindow="-108" windowWidth="30936" windowHeight="16776" activeTab="1" xr2:uid="{1306219A-737B-4B5D-BCFD-98C34D3C77CC}"/>
  </bookViews>
  <sheets>
    <sheet name="Liu2019" sheetId="12" r:id="rId1"/>
    <sheet name="Pakari2019" sheetId="1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12" l="1"/>
  <c r="F46" i="12"/>
  <c r="F45" i="12"/>
  <c r="F44" i="12"/>
  <c r="F43" i="12"/>
  <c r="F42" i="12"/>
  <c r="F41" i="12"/>
  <c r="F40" i="12"/>
  <c r="F39" i="12"/>
  <c r="F38" i="12"/>
  <c r="F37" i="12"/>
  <c r="F36" i="12"/>
  <c r="F35" i="12"/>
  <c r="F34" i="12"/>
  <c r="F33" i="12"/>
  <c r="F32" i="12"/>
  <c r="F31" i="12"/>
  <c r="E47" i="12"/>
  <c r="E46" i="12"/>
  <c r="E45" i="12"/>
  <c r="E44" i="12"/>
  <c r="E43" i="12"/>
  <c r="E42" i="12"/>
  <c r="E41" i="12"/>
  <c r="E40" i="12"/>
  <c r="E39" i="12"/>
  <c r="E38" i="12"/>
  <c r="E37" i="12"/>
  <c r="E36" i="12"/>
  <c r="E35" i="12"/>
  <c r="E34" i="12"/>
  <c r="E33" i="12"/>
  <c r="E32" i="12"/>
  <c r="E31" i="12"/>
  <c r="D47" i="12"/>
  <c r="D46" i="12"/>
  <c r="D45" i="12"/>
  <c r="D44" i="12"/>
  <c r="D43" i="12"/>
  <c r="D42" i="12"/>
  <c r="D41" i="12"/>
  <c r="D40" i="12"/>
  <c r="D39" i="12"/>
  <c r="D38" i="12"/>
  <c r="D37" i="12"/>
  <c r="D36" i="12"/>
  <c r="D35" i="12"/>
  <c r="D34" i="12"/>
  <c r="D33" i="12"/>
  <c r="D32" i="12"/>
  <c r="D31" i="12"/>
  <c r="V33" i="15" l="1"/>
  <c r="V34" i="15"/>
  <c r="V35" i="15"/>
  <c r="V36" i="15"/>
  <c r="V37" i="15"/>
  <c r="V38" i="15"/>
  <c r="V39" i="15"/>
  <c r="V40" i="15"/>
  <c r="V41" i="15"/>
  <c r="V42" i="15"/>
  <c r="V43" i="15"/>
  <c r="V44" i="15"/>
  <c r="V45" i="15"/>
  <c r="V46" i="15"/>
  <c r="V32" i="15"/>
  <c r="C21" i="15"/>
  <c r="C22" i="15" l="1"/>
  <c r="C20" i="15"/>
  <c r="C18" i="15"/>
  <c r="C17" i="15"/>
  <c r="C21" i="12"/>
  <c r="D44" i="15" l="1"/>
  <c r="D36" i="15"/>
  <c r="D46" i="15"/>
  <c r="D43" i="15"/>
  <c r="D35" i="15"/>
  <c r="D42" i="15"/>
  <c r="D33" i="15"/>
  <c r="D32" i="15"/>
  <c r="D34" i="15"/>
  <c r="D45" i="15"/>
  <c r="D37" i="15"/>
  <c r="D41" i="15"/>
  <c r="D40" i="15"/>
  <c r="D39" i="15"/>
  <c r="D38" i="15"/>
  <c r="F46" i="15"/>
  <c r="F38" i="15"/>
  <c r="F45" i="15"/>
  <c r="F37" i="15"/>
  <c r="F36" i="15"/>
  <c r="F43" i="15"/>
  <c r="F34" i="15"/>
  <c r="F41" i="15"/>
  <c r="F40" i="15"/>
  <c r="F44" i="15"/>
  <c r="F39" i="15"/>
  <c r="F35" i="15"/>
  <c r="F42" i="15"/>
  <c r="F33" i="15"/>
  <c r="F32" i="15"/>
  <c r="E45" i="15"/>
  <c r="E37" i="15"/>
  <c r="E33" i="15"/>
  <c r="E44" i="15"/>
  <c r="E36" i="15"/>
  <c r="E42" i="15"/>
  <c r="E34" i="15"/>
  <c r="E32" i="15"/>
  <c r="E39" i="15"/>
  <c r="E43" i="15"/>
  <c r="E35" i="15"/>
  <c r="E41" i="15"/>
  <c r="E40" i="15"/>
  <c r="E46" i="15"/>
  <c r="E38" i="15"/>
  <c r="C19" i="15"/>
</calcChain>
</file>

<file path=xl/sharedStrings.xml><?xml version="1.0" encoding="utf-8"?>
<sst xmlns="http://schemas.openxmlformats.org/spreadsheetml/2006/main" count="764" uniqueCount="95">
  <si>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</si>
  <si>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</si>
  <si>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</si>
  <si>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</si>
  <si>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</si>
  <si>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</si>
  <si>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</si>
  <si>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</si>
  <si>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</si>
  <si>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</si>
  <si>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</si>
  <si>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</si>
  <si>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</si>
  <si>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</si>
  <si>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</si>
  <si>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</si>
  <si>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</si>
  <si>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</si>
  <si>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</si>
  <si>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</si>
  <si>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</si>
  <si>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</si>
  <si>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</si>
  <si>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</si>
  <si>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</si>
  <si>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</si>
  <si>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</si>
  <si>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</si>
  <si>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</si>
  <si>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</si>
  <si>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</si>
  <si>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</si>
  <si>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</si>
  <si>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</si>
  <si>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</si>
  <si>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</si>
  <si>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</si>
  <si>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</si>
  <si>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</si>
  <si>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</si>
  <si>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</si>
  <si>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</si>
  <si>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kg/s</t>
  </si>
  <si>
    <t>Testing conditions</t>
  </si>
  <si>
    <t>Inlet conditions</t>
  </si>
  <si>
    <t>Outlet conditions</t>
  </si>
  <si>
    <t>Run</t>
  </si>
  <si>
    <t>Wet surface theory</t>
  </si>
  <si>
    <t>Yes</t>
  </si>
  <si>
    <t>PCC</t>
  </si>
  <si>
    <t>Sprayed-water theory</t>
  </si>
  <si>
    <t>Experimental and numerical investigation of a high-eﬃciency dew-point evaporative cooler</t>
  </si>
  <si>
    <t>Experimental data, extracted from table</t>
  </si>
  <si>
    <t>Pakari &amp; Ghani</t>
  </si>
  <si>
    <t>Regression models for performance prediction of counter ﬂow dew point evaporative cooling systems</t>
  </si>
  <si>
    <t>Test</t>
  </si>
  <si>
    <t>Aluminium</t>
  </si>
  <si>
    <t>pd</t>
  </si>
  <si>
    <t>sw</t>
  </si>
  <si>
    <t>A</t>
  </si>
  <si>
    <t>D-IEC</t>
  </si>
  <si>
    <t>Liu et al.</t>
  </si>
  <si>
    <t>Experimental data (extracted from graphs) and numerical data (from table)</t>
  </si>
  <si>
    <t>E</t>
  </si>
  <si>
    <t>Experimental</t>
  </si>
  <si>
    <t>N</t>
  </si>
  <si>
    <t>Numerical</t>
  </si>
  <si>
    <t>Plastic sheets</t>
  </si>
  <si>
    <t>SPR</t>
  </si>
  <si>
    <t>m_dot_wf</t>
  </si>
  <si>
    <t>T_pdi</t>
  </si>
  <si>
    <t>w_pdi</t>
  </si>
  <si>
    <t>v_pdi</t>
  </si>
  <si>
    <t>T_swi</t>
  </si>
  <si>
    <t>w_swi</t>
  </si>
  <si>
    <t>v_swi</t>
  </si>
  <si>
    <t>T_wfi</t>
  </si>
  <si>
    <t>T_pdo</t>
  </si>
  <si>
    <t>w_pdo</t>
  </si>
  <si>
    <t>T_swo</t>
  </si>
  <si>
    <t>w_swo</t>
  </si>
  <si>
    <t>0.5-1.5</t>
  </si>
  <si>
    <t>0.15-0.52</t>
  </si>
  <si>
    <t>0.15-0.5</t>
  </si>
  <si>
    <t>1.6-2.5</t>
  </si>
  <si>
    <t>0.75-1</t>
  </si>
  <si>
    <t>0.1 - 0.266</t>
  </si>
  <si>
    <t>0.36-0.54</t>
  </si>
  <si>
    <t>Nu</t>
  </si>
  <si>
    <t>Re</t>
  </si>
  <si>
    <t>WWR</t>
  </si>
  <si>
    <t>h_T_pd</t>
  </si>
  <si>
    <t>h_T_sw</t>
  </si>
  <si>
    <t>Description</t>
  </si>
  <si>
    <t>Numerically testing of 90 combinations of geometrical parameters and operating conditions to evaluate the performance of D-IEC. Validation of the model performed with a vertical 100-channel D-IEC with dry channels made of corrugated plastic sheets stacked next to each other, and wicking paper pasted on the wet channels to enhance their wettability. Cooling system tested by varying the primary air extraction ratio and the inlet air conditions (temperature,  relative humidity, and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</si>
</sst>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2">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0" fillId="0" borderId="14" xfId="0"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6" fontId="0" fillId="0" borderId="0" xfId="0" applyNumberFormat="1"/>
    <xf numFmtId="166" fontId="0" fillId="0" borderId="4" xfId="0" applyNumberFormat="1" applyBorder="1"/>
    <xf numFmtId="166" fontId="0" fillId="0" borderId="1" xfId="0" applyNumberFormat="1" applyBorder="1"/>
    <xf numFmtId="165" fontId="0" fillId="0" borderId="2" xfId="0" applyNumberFormat="1" applyBorder="1"/>
    <xf numFmtId="166" fontId="0" fillId="0" borderId="7" xfId="0" applyNumberFormat="1" applyBorder="1"/>
    <xf numFmtId="1" fontId="0" fillId="0" borderId="0" xfId="0" applyNumberFormat="1"/>
    <xf numFmtId="0" fontId="0" fillId="0" borderId="0" xfId="0" applyAlignment="1">
      <alignment vertical="center"/>
    </xf>
    <xf numFmtId="165" fontId="0" fillId="0" borderId="7" xfId="0" applyNumberFormat="1" applyBorder="1"/>
    <xf numFmtId="166" fontId="0" fillId="0" borderId="6" xfId="0" applyNumberFormat="1" applyBorder="1"/>
    <xf numFmtId="0" fontId="0" fillId="0" borderId="13" xfId="0" applyBorder="1"/>
    <xf numFmtId="167" fontId="0" fillId="0" borderId="3" xfId="0" applyNumberFormat="1" applyBorder="1"/>
    <xf numFmtId="167" fontId="0" fillId="0" borderId="5" xfId="0" applyNumberFormat="1" applyBorder="1"/>
    <xf numFmtId="1" fontId="0" fillId="0" borderId="2" xfId="0" applyNumberFormat="1" applyBorder="1"/>
    <xf numFmtId="1" fontId="0" fillId="0" borderId="7" xfId="0" applyNumberFormat="1" applyBorder="1"/>
    <xf numFmtId="167" fontId="0" fillId="0" borderId="8" xfId="0" applyNumberFormat="1"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0" fillId="0" borderId="3" xfId="0" applyBorder="1" applyAlignment="1">
      <alignment horizontal="right"/>
    </xf>
    <xf numFmtId="0" fontId="0" fillId="0" borderId="5" xfId="0" applyBorder="1" applyAlignment="1">
      <alignment horizontal="right"/>
    </xf>
    <xf numFmtId="0" fontId="0" fillId="0" borderId="8" xfId="0" applyBorder="1" applyAlignment="1">
      <alignment horizontal="right"/>
    </xf>
    <xf numFmtId="0" fontId="0" fillId="0" borderId="4" xfId="0" applyBorder="1" applyAlignment="1">
      <alignment horizontal="right" vertical="center"/>
    </xf>
    <xf numFmtId="0" fontId="0" fillId="0" borderId="6" xfId="0" applyBorder="1" applyAlignment="1">
      <alignment horizontal="right"/>
    </xf>
    <xf numFmtId="0" fontId="0" fillId="0" borderId="0" xfId="0" applyAlignment="1">
      <alignment horizontal="right"/>
    </xf>
    <xf numFmtId="0" fontId="0" fillId="0" borderId="6" xfId="0" applyBorder="1" applyAlignment="1">
      <alignment horizontal="right" vertical="center"/>
    </xf>
    <xf numFmtId="0" fontId="0" fillId="0" borderId="4" xfId="0" applyBorder="1" applyAlignment="1">
      <alignment horizontal="left"/>
    </xf>
    <xf numFmtId="0" fontId="1" fillId="0" borderId="14" xfId="0" applyFont="1" applyBorder="1" applyAlignment="1">
      <alignment horizontal="left" vertical="top"/>
    </xf>
    <xf numFmtId="0" fontId="0" fillId="0" borderId="0" xfId="0"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579120</xdr:colOff>
      <xdr:row>5</xdr:row>
      <xdr:rowOff>71249</xdr:rowOff>
    </xdr:from>
    <xdr:to>
      <xdr:col>19</xdr:col>
      <xdr:colOff>521339</xdr:colOff>
      <xdr:row>25</xdr:row>
      <xdr:rowOff>288012</xdr:rowOff>
    </xdr:to>
    <xdr:pic>
      <xdr:nvPicPr>
        <xdr:cNvPr id="2" name="Image 1">
          <a:extLst>
            <a:ext uri="{FF2B5EF4-FFF2-40B4-BE49-F238E27FC236}">
              <a16:creationId xmlns:a16="http://schemas.microsoft.com/office/drawing/2014/main" id="{1ED515C6-35F6-17D6-6E33-8B0B1655E1E7}"/>
            </a:ext>
          </a:extLst>
        </xdr:cNvPr>
        <xdr:cNvPicPr>
          <a:picLocks noChangeAspect="1"/>
        </xdr:cNvPicPr>
      </xdr:nvPicPr>
      <xdr:blipFill>
        <a:blip xmlns:r="http://schemas.openxmlformats.org/officeDocument/2006/relationships" r:embed="rId1"/>
        <a:stretch>
          <a:fillRect/>
        </a:stretch>
      </xdr:blipFill>
      <xdr:spPr>
        <a:xfrm>
          <a:off x="8267700" y="1000889"/>
          <a:ext cx="5885819" cy="39658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451900</xdr:colOff>
      <xdr:row>9</xdr:row>
      <xdr:rowOff>60960</xdr:rowOff>
    </xdr:from>
    <xdr:to>
      <xdr:col>19</xdr:col>
      <xdr:colOff>587224</xdr:colOff>
      <xdr:row>26</xdr:row>
      <xdr:rowOff>330802</xdr:rowOff>
    </xdr:to>
    <xdr:pic>
      <xdr:nvPicPr>
        <xdr:cNvPr id="3" name="Image 2">
          <a:extLst>
            <a:ext uri="{FF2B5EF4-FFF2-40B4-BE49-F238E27FC236}">
              <a16:creationId xmlns:a16="http://schemas.microsoft.com/office/drawing/2014/main" id="{42262248-5F2E-ECF2-66DD-FA8C79B0028F}"/>
            </a:ext>
          </a:extLst>
        </xdr:cNvPr>
        <xdr:cNvPicPr>
          <a:picLocks noChangeAspect="1"/>
        </xdr:cNvPicPr>
      </xdr:nvPicPr>
      <xdr:blipFill>
        <a:blip xmlns:r="http://schemas.openxmlformats.org/officeDocument/2006/relationships" r:embed="rId1"/>
        <a:stretch>
          <a:fillRect/>
        </a:stretch>
      </xdr:blipFill>
      <xdr:spPr>
        <a:xfrm>
          <a:off x="7980460" y="2301240"/>
          <a:ext cx="6002724" cy="3455002"/>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890-E284-42EA-AA4A-F7C2FA3BED20}">
  <dimension ref="B1:AB48"/>
  <sheetViews>
    <sheetView zoomScaleNormal="100" workbookViewId="0">
      <selection activeCell="E12" sqref="E12"/>
    </sheetView>
  </sheetViews>
  <sheetFormatPr defaultColWidth="8.88671875" defaultRowHeight="14.4" x14ac:dyDescent="0.3"/>
  <cols>
    <col min="1" max="1" width="2.6640625" customWidth="1"/>
    <col min="2" max="2" width="22.33203125" bestFit="1" customWidth="1"/>
    <col min="3" max="3" width="19.5546875" customWidth="1"/>
    <col min="6" max="6" width="12.44140625" customWidth="1"/>
    <col min="7" max="12" width="9.33203125" customWidth="1"/>
    <col min="13" max="14" width="9.6640625" customWidth="1"/>
    <col min="15" max="15" width="10" customWidth="1"/>
    <col min="16" max="19" width="9.6640625" customWidth="1"/>
    <col min="20" max="20" width="10.5546875" bestFit="1" customWidth="1"/>
    <col min="21" max="21" width="10.21875" bestFit="1"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22" t="s">
        <v>19</v>
      </c>
      <c r="C3" s="13" t="s">
        <v>61</v>
      </c>
      <c r="D3" s="3"/>
      <c r="E3" s="3"/>
      <c r="F3" s="3"/>
      <c r="G3" s="3"/>
      <c r="H3" s="3"/>
      <c r="I3" s="3"/>
      <c r="J3" s="3"/>
      <c r="K3" s="3"/>
      <c r="L3" s="3"/>
      <c r="M3" s="3"/>
      <c r="N3" s="4"/>
    </row>
    <row r="4" spans="2:14" x14ac:dyDescent="0.3">
      <c r="B4" s="23" t="s">
        <v>20</v>
      </c>
      <c r="C4" s="5" t="s">
        <v>51</v>
      </c>
      <c r="N4" s="6"/>
    </row>
    <row r="5" spans="2:14" x14ac:dyDescent="0.3">
      <c r="B5" s="23" t="s">
        <v>21</v>
      </c>
      <c r="C5" s="5">
        <v>2019</v>
      </c>
      <c r="N5" s="6"/>
    </row>
    <row r="6" spans="2:14" ht="15" thickBot="1" x14ac:dyDescent="0.35">
      <c r="B6" s="17" t="s">
        <v>22</v>
      </c>
      <c r="C6" s="7" t="s">
        <v>52</v>
      </c>
      <c r="D6" s="8"/>
      <c r="E6" s="8"/>
      <c r="F6" s="8"/>
      <c r="G6" s="8"/>
      <c r="H6" s="8"/>
      <c r="I6" s="8"/>
      <c r="J6" s="8"/>
      <c r="K6" s="8"/>
      <c r="L6" s="8"/>
      <c r="M6" s="8"/>
      <c r="N6" s="9"/>
    </row>
    <row r="7" spans="2:14" ht="15" thickBot="1" x14ac:dyDescent="0.35"/>
    <row r="8" spans="2:14" ht="15" thickBot="1" x14ac:dyDescent="0.35">
      <c r="B8" s="10" t="s">
        <v>23</v>
      </c>
      <c r="C8" s="20"/>
      <c r="E8" s="10" t="s">
        <v>27</v>
      </c>
      <c r="F8" s="19"/>
      <c r="G8" s="19"/>
      <c r="H8" s="19"/>
      <c r="I8" s="19"/>
      <c r="J8" s="20"/>
    </row>
    <row r="9" spans="2:14" ht="15" thickBot="1" x14ac:dyDescent="0.35">
      <c r="B9" s="22" t="s">
        <v>24</v>
      </c>
      <c r="C9" s="6" t="s">
        <v>60</v>
      </c>
      <c r="E9" s="10" t="s">
        <v>57</v>
      </c>
      <c r="F9" s="11" t="s">
        <v>13</v>
      </c>
      <c r="G9" s="10" t="s">
        <v>57</v>
      </c>
      <c r="H9" s="12" t="s">
        <v>58</v>
      </c>
      <c r="I9" s="11" t="s">
        <v>58</v>
      </c>
      <c r="J9" s="12" t="s">
        <v>13</v>
      </c>
    </row>
    <row r="10" spans="2:14" ht="15" thickBot="1" x14ac:dyDescent="0.35">
      <c r="B10" s="23" t="s">
        <v>11</v>
      </c>
      <c r="C10" s="6" t="s">
        <v>50</v>
      </c>
      <c r="E10" s="67" t="s">
        <v>0</v>
      </c>
      <c r="F10" s="68"/>
      <c r="G10" s="67" t="s">
        <v>0</v>
      </c>
      <c r="H10" s="68"/>
      <c r="I10" s="67" t="s">
        <v>5</v>
      </c>
      <c r="J10" s="68"/>
    </row>
    <row r="11" spans="2:14" x14ac:dyDescent="0.3">
      <c r="B11" s="23" t="s">
        <v>25</v>
      </c>
      <c r="C11" s="6" t="s">
        <v>48</v>
      </c>
    </row>
    <row r="12" spans="2:14" x14ac:dyDescent="0.3">
      <c r="B12" s="23" t="s">
        <v>26</v>
      </c>
      <c r="C12" s="6" t="s">
        <v>56</v>
      </c>
      <c r="E12" s="1"/>
      <c r="F12" s="1"/>
      <c r="G12" s="1"/>
      <c r="H12" s="1"/>
      <c r="I12" s="1"/>
      <c r="J12" s="1"/>
    </row>
    <row r="13" spans="2:14" ht="15" thickBot="1" x14ac:dyDescent="0.35">
      <c r="B13" s="17" t="s">
        <v>27</v>
      </c>
      <c r="C13" s="9" t="s">
        <v>49</v>
      </c>
      <c r="E13" s="66"/>
      <c r="F13" s="66"/>
      <c r="G13" s="66"/>
      <c r="H13" s="66"/>
      <c r="I13" s="66"/>
      <c r="J13" s="66"/>
    </row>
    <row r="14" spans="2:14" ht="15" thickBot="1" x14ac:dyDescent="0.35">
      <c r="B14" s="1"/>
    </row>
    <row r="15" spans="2:14" ht="15" thickBot="1" x14ac:dyDescent="0.35">
      <c r="B15" s="10" t="s">
        <v>28</v>
      </c>
      <c r="C15" s="19"/>
      <c r="D15" s="20"/>
      <c r="F15" s="10" t="s">
        <v>29</v>
      </c>
      <c r="G15" s="19"/>
      <c r="H15" s="20"/>
    </row>
    <row r="16" spans="2:14" x14ac:dyDescent="0.3">
      <c r="B16" s="22" t="s">
        <v>30</v>
      </c>
      <c r="C16" s="3">
        <v>1.05</v>
      </c>
      <c r="D16" s="4" t="s">
        <v>6</v>
      </c>
      <c r="F16" s="22" t="s">
        <v>14</v>
      </c>
      <c r="G16" s="32">
        <v>0.1</v>
      </c>
      <c r="H16" s="6" t="s">
        <v>31</v>
      </c>
    </row>
    <row r="17" spans="2:28" x14ac:dyDescent="0.3">
      <c r="B17" s="23" t="s">
        <v>32</v>
      </c>
      <c r="C17">
        <v>0.71599999999999997</v>
      </c>
      <c r="D17" s="6" t="s">
        <v>6</v>
      </c>
      <c r="F17" s="23" t="s">
        <v>33</v>
      </c>
      <c r="G17" s="42">
        <v>3.2441052663735577</v>
      </c>
      <c r="H17" s="6" t="s">
        <v>34</v>
      </c>
    </row>
    <row r="18" spans="2:28" ht="15" thickBot="1" x14ac:dyDescent="0.35">
      <c r="B18" s="23" t="s">
        <v>35</v>
      </c>
      <c r="C18" s="35">
        <v>1.0062</v>
      </c>
      <c r="D18" s="6" t="s">
        <v>6</v>
      </c>
      <c r="F18" s="17" t="s">
        <v>36</v>
      </c>
      <c r="G18" s="8">
        <v>6.3</v>
      </c>
      <c r="H18" s="9" t="s">
        <v>34</v>
      </c>
    </row>
    <row r="19" spans="2:28" x14ac:dyDescent="0.3">
      <c r="B19" s="23" t="s">
        <v>10</v>
      </c>
      <c r="C19">
        <v>4.3E-3</v>
      </c>
      <c r="D19" s="6" t="s">
        <v>6</v>
      </c>
    </row>
    <row r="20" spans="2:28" x14ac:dyDescent="0.3">
      <c r="B20" s="23" t="s">
        <v>15</v>
      </c>
      <c r="C20" s="62" t="s">
        <v>8</v>
      </c>
      <c r="D20" s="6" t="s">
        <v>6</v>
      </c>
    </row>
    <row r="21" spans="2:28" ht="15" thickBot="1" x14ac:dyDescent="0.35">
      <c r="B21" s="17" t="s">
        <v>12</v>
      </c>
      <c r="C21" s="8">
        <f>2*117</f>
        <v>234</v>
      </c>
      <c r="D21" s="9" t="s">
        <v>2</v>
      </c>
    </row>
    <row r="22" spans="2:28" ht="15" thickBot="1" x14ac:dyDescent="0.35">
      <c r="B22" s="1"/>
      <c r="D22" s="6"/>
    </row>
    <row r="23" spans="2:28" ht="15" thickBot="1" x14ac:dyDescent="0.35">
      <c r="B23" s="2" t="s">
        <v>37</v>
      </c>
      <c r="C23" s="3"/>
      <c r="D23" s="4"/>
    </row>
    <row r="24" spans="2:28" x14ac:dyDescent="0.3">
      <c r="B24" s="2" t="s">
        <v>38</v>
      </c>
      <c r="C24" s="52" t="s">
        <v>84</v>
      </c>
      <c r="D24" s="4" t="s">
        <v>16</v>
      </c>
    </row>
    <row r="25" spans="2:28" x14ac:dyDescent="0.3">
      <c r="B25" s="21" t="s">
        <v>39</v>
      </c>
      <c r="C25" s="53" t="s">
        <v>85</v>
      </c>
      <c r="D25" s="6" t="s">
        <v>16</v>
      </c>
    </row>
    <row r="26" spans="2:28" ht="28.8" x14ac:dyDescent="0.3">
      <c r="B26" s="33" t="s">
        <v>40</v>
      </c>
      <c r="C26" s="60" t="s">
        <v>87</v>
      </c>
      <c r="D26" s="34" t="s">
        <v>17</v>
      </c>
      <c r="E26" s="43"/>
      <c r="G26" s="24"/>
      <c r="H26" s="24"/>
      <c r="Q26" s="24"/>
    </row>
    <row r="27" spans="2:28" ht="15" thickBot="1" x14ac:dyDescent="0.35">
      <c r="B27" s="14" t="s">
        <v>41</v>
      </c>
      <c r="C27" s="63" t="s">
        <v>86</v>
      </c>
      <c r="D27" s="9" t="s">
        <v>42</v>
      </c>
      <c r="I27" s="35"/>
      <c r="J27" s="35"/>
      <c r="K27" s="35"/>
      <c r="L27" s="35"/>
    </row>
    <row r="28" spans="2:28" ht="15" thickBot="1" x14ac:dyDescent="0.35"/>
    <row r="29" spans="2:28" ht="15" thickBot="1" x14ac:dyDescent="0.35">
      <c r="B29" s="2"/>
      <c r="C29" s="10" t="s">
        <v>43</v>
      </c>
      <c r="D29" s="11"/>
      <c r="E29" s="11"/>
      <c r="F29" s="11"/>
      <c r="G29" s="11"/>
      <c r="H29" s="11"/>
      <c r="I29" s="11"/>
      <c r="J29" s="11"/>
      <c r="K29" s="11"/>
      <c r="L29" s="12"/>
      <c r="M29" s="10" t="s">
        <v>44</v>
      </c>
      <c r="N29" s="11"/>
      <c r="O29" s="11"/>
      <c r="P29" s="11"/>
      <c r="Q29" s="11"/>
      <c r="R29" s="11"/>
      <c r="S29" s="11"/>
      <c r="T29" s="12"/>
      <c r="U29" s="12" t="s">
        <v>45</v>
      </c>
      <c r="V29" s="3"/>
      <c r="W29" s="3"/>
      <c r="X29" s="19"/>
      <c r="Y29" s="3"/>
      <c r="Z29" s="4"/>
    </row>
    <row r="30" spans="2:28" ht="15" thickBot="1" x14ac:dyDescent="0.35">
      <c r="B30" s="14" t="s">
        <v>46</v>
      </c>
      <c r="C30" s="14" t="s">
        <v>55</v>
      </c>
      <c r="D30" s="15" t="s">
        <v>4</v>
      </c>
      <c r="E30" s="15" t="s">
        <v>9</v>
      </c>
      <c r="F30" s="15" t="s">
        <v>7</v>
      </c>
      <c r="G30" s="15" t="s">
        <v>90</v>
      </c>
      <c r="H30" s="15" t="s">
        <v>68</v>
      </c>
      <c r="I30" s="15" t="s">
        <v>89</v>
      </c>
      <c r="J30" s="15" t="s">
        <v>88</v>
      </c>
      <c r="K30" s="15" t="s">
        <v>91</v>
      </c>
      <c r="L30" s="26" t="s">
        <v>92</v>
      </c>
      <c r="M30" s="10" t="s">
        <v>70</v>
      </c>
      <c r="N30" s="11" t="s">
        <v>71</v>
      </c>
      <c r="O30" s="11" t="s">
        <v>72</v>
      </c>
      <c r="P30" s="11" t="s">
        <v>73</v>
      </c>
      <c r="Q30" s="11" t="s">
        <v>74</v>
      </c>
      <c r="R30" s="15" t="s">
        <v>75</v>
      </c>
      <c r="S30" s="15" t="s">
        <v>76</v>
      </c>
      <c r="T30" s="26" t="s">
        <v>69</v>
      </c>
      <c r="U30" s="10" t="s">
        <v>77</v>
      </c>
      <c r="V30" s="11" t="s">
        <v>78</v>
      </c>
      <c r="W30" s="11" t="s">
        <v>79</v>
      </c>
      <c r="X30" s="11" t="s">
        <v>80</v>
      </c>
      <c r="Y30" s="11" t="s">
        <v>1</v>
      </c>
      <c r="Z30" s="12" t="s">
        <v>3</v>
      </c>
    </row>
    <row r="31" spans="2:28" x14ac:dyDescent="0.3">
      <c r="B31" s="5">
        <v>1</v>
      </c>
      <c r="C31" s="13" t="s">
        <v>59</v>
      </c>
      <c r="D31" s="3">
        <f>$C$16</f>
        <v>1.05</v>
      </c>
      <c r="E31" s="3">
        <f>$C$19</f>
        <v>4.3E-3</v>
      </c>
      <c r="F31" s="40">
        <f>$C$17</f>
        <v>0.71599999999999997</v>
      </c>
      <c r="G31" s="3">
        <v>1.1000000000000001</v>
      </c>
      <c r="H31" s="3">
        <v>0.40300000000000002</v>
      </c>
      <c r="I31" s="49">
        <v>1165.1947218170601</v>
      </c>
      <c r="J31" s="3">
        <v>8.23</v>
      </c>
      <c r="K31" s="31">
        <v>28.0597520322249</v>
      </c>
      <c r="L31" s="27">
        <v>28.0597520322249</v>
      </c>
      <c r="M31" s="13">
        <v>38.299999999999997</v>
      </c>
      <c r="N31" s="30">
        <v>1.0741779419395201E-2</v>
      </c>
      <c r="O31" s="31">
        <v>2.4313872241636303</v>
      </c>
      <c r="P31" s="3">
        <v>23.4</v>
      </c>
      <c r="Q31" s="30">
        <v>1.0741779419395201E-2</v>
      </c>
      <c r="R31" s="31">
        <v>0.97984905133794298</v>
      </c>
      <c r="S31" s="3">
        <v>26</v>
      </c>
      <c r="T31" s="47">
        <v>2.2792022792022791E-3</v>
      </c>
      <c r="U31" s="5">
        <v>23.4</v>
      </c>
      <c r="V31" s="30">
        <v>1.0741779419395201E-2</v>
      </c>
      <c r="W31" s="55" t="s">
        <v>8</v>
      </c>
      <c r="X31" s="55" t="s">
        <v>8</v>
      </c>
      <c r="Y31" s="31">
        <v>0.95499999999999996</v>
      </c>
      <c r="Z31" s="27">
        <v>0.64800000000000002</v>
      </c>
      <c r="AA31" s="35"/>
      <c r="AB31" s="24"/>
    </row>
    <row r="32" spans="2:28" x14ac:dyDescent="0.3">
      <c r="B32" s="5">
        <v>2</v>
      </c>
      <c r="C32" s="5" t="s">
        <v>59</v>
      </c>
      <c r="D32">
        <f t="shared" ref="D32:D47" si="0">$C$16</f>
        <v>1.05</v>
      </c>
      <c r="E32">
        <f t="shared" ref="E32:E47" si="1">$C$19</f>
        <v>4.3E-3</v>
      </c>
      <c r="F32" s="36">
        <f t="shared" ref="F32:F47" si="2">$C$17</f>
        <v>0.71599999999999997</v>
      </c>
      <c r="G32">
        <v>1.1000000000000001</v>
      </c>
      <c r="H32">
        <v>0.437</v>
      </c>
      <c r="I32" s="42">
        <v>1084.27316369697</v>
      </c>
      <c r="J32">
        <v>8.23</v>
      </c>
      <c r="K32" s="35">
        <v>28.0374963946918</v>
      </c>
      <c r="L32" s="28">
        <v>28.0374963946918</v>
      </c>
      <c r="M32" s="5">
        <v>38.1</v>
      </c>
      <c r="N32" s="24">
        <v>1.0454159324088001E-2</v>
      </c>
      <c r="O32" s="35">
        <v>2.2578819512689847</v>
      </c>
      <c r="P32">
        <v>23</v>
      </c>
      <c r="Q32" s="24">
        <v>1.0454159324088001E-2</v>
      </c>
      <c r="R32" s="35">
        <v>0.98669441270454628</v>
      </c>
      <c r="S32">
        <v>26</v>
      </c>
      <c r="T32" s="48">
        <v>2.2792022792022791E-3</v>
      </c>
      <c r="U32" s="5">
        <v>23</v>
      </c>
      <c r="V32" s="24">
        <v>1.0454159324088001E-2</v>
      </c>
      <c r="W32" s="55" t="s">
        <v>8</v>
      </c>
      <c r="X32" s="55" t="s">
        <v>8</v>
      </c>
      <c r="Y32" s="35">
        <v>0.96199999999999997</v>
      </c>
      <c r="Z32" s="28">
        <v>0.65100000000000002</v>
      </c>
      <c r="AA32" s="24"/>
    </row>
    <row r="33" spans="2:27" x14ac:dyDescent="0.3">
      <c r="B33" s="5">
        <v>3</v>
      </c>
      <c r="C33" s="5" t="s">
        <v>59</v>
      </c>
      <c r="D33">
        <f t="shared" si="0"/>
        <v>1.05</v>
      </c>
      <c r="E33">
        <f t="shared" si="1"/>
        <v>4.3E-3</v>
      </c>
      <c r="F33" s="36">
        <f t="shared" si="2"/>
        <v>0.71599999999999997</v>
      </c>
      <c r="G33">
        <v>1.1000000000000001</v>
      </c>
      <c r="H33">
        <v>0.437</v>
      </c>
      <c r="I33" s="42">
        <v>1085.85462188172</v>
      </c>
      <c r="J33">
        <v>8.23</v>
      </c>
      <c r="K33" s="35">
        <v>28.018357558767899</v>
      </c>
      <c r="L33" s="28">
        <v>28.018357558767899</v>
      </c>
      <c r="M33" s="5">
        <v>38.1</v>
      </c>
      <c r="N33" s="24">
        <v>1.0454159324088001E-2</v>
      </c>
      <c r="O33" s="35">
        <v>2.2578819512689847</v>
      </c>
      <c r="P33">
        <v>22.5</v>
      </c>
      <c r="Q33" s="24">
        <v>1.0454159324088001E-2</v>
      </c>
      <c r="R33" s="35">
        <v>0.98669441270454628</v>
      </c>
      <c r="S33">
        <v>26</v>
      </c>
      <c r="T33" s="48">
        <v>8.547008547008547E-4</v>
      </c>
      <c r="U33" s="5">
        <v>22.5</v>
      </c>
      <c r="V33" s="24">
        <v>1.0454159324088001E-2</v>
      </c>
      <c r="W33" s="55" t="s">
        <v>8</v>
      </c>
      <c r="X33" s="55" t="s">
        <v>8</v>
      </c>
      <c r="Y33" s="35">
        <v>0.96899999999999997</v>
      </c>
      <c r="Z33" s="28">
        <v>0.64700000000000002</v>
      </c>
      <c r="AA33" s="24"/>
    </row>
    <row r="34" spans="2:27" x14ac:dyDescent="0.3">
      <c r="B34" s="5">
        <v>4</v>
      </c>
      <c r="C34" s="5" t="s">
        <v>59</v>
      </c>
      <c r="D34">
        <f t="shared" si="0"/>
        <v>1.05</v>
      </c>
      <c r="E34">
        <f t="shared" si="1"/>
        <v>4.3E-3</v>
      </c>
      <c r="F34" s="36">
        <f t="shared" si="2"/>
        <v>0.71599999999999997</v>
      </c>
      <c r="G34">
        <v>1.1000000000000001</v>
      </c>
      <c r="H34">
        <v>0.44500000000000001</v>
      </c>
      <c r="I34" s="42">
        <v>1104.11621666259</v>
      </c>
      <c r="J34">
        <v>8.23</v>
      </c>
      <c r="K34" s="35">
        <v>28.004343576172499</v>
      </c>
      <c r="L34" s="28">
        <v>28.004343576172499</v>
      </c>
      <c r="M34" s="5">
        <v>38.1</v>
      </c>
      <c r="N34" s="24">
        <v>9.9018882101399308E-3</v>
      </c>
      <c r="O34" s="35">
        <v>2.2918118713017157</v>
      </c>
      <c r="P34">
        <v>22.1</v>
      </c>
      <c r="Q34" s="24">
        <v>9.9018882101399308E-3</v>
      </c>
      <c r="R34" s="35">
        <v>1.0198562827292634</v>
      </c>
      <c r="S34">
        <v>26</v>
      </c>
      <c r="T34" s="48">
        <v>9.1168091168091175E-4</v>
      </c>
      <c r="U34" s="5">
        <v>22.1</v>
      </c>
      <c r="V34" s="24">
        <v>9.9018882101399308E-3</v>
      </c>
      <c r="W34" s="55" t="s">
        <v>8</v>
      </c>
      <c r="X34" s="55" t="s">
        <v>8</v>
      </c>
      <c r="Y34" s="35">
        <v>0.99399999999999999</v>
      </c>
      <c r="Z34" s="28">
        <v>0.66400000000000003</v>
      </c>
      <c r="AA34" s="24"/>
    </row>
    <row r="35" spans="2:27" x14ac:dyDescent="0.3">
      <c r="B35" s="5">
        <v>5</v>
      </c>
      <c r="C35" s="5" t="s">
        <v>59</v>
      </c>
      <c r="D35">
        <f t="shared" si="0"/>
        <v>1.05</v>
      </c>
      <c r="E35">
        <f t="shared" si="1"/>
        <v>4.3E-3</v>
      </c>
      <c r="F35" s="36">
        <f t="shared" si="2"/>
        <v>0.71599999999999997</v>
      </c>
      <c r="G35">
        <v>1.1000000000000001</v>
      </c>
      <c r="H35">
        <v>0.46300000000000002</v>
      </c>
      <c r="I35" s="42">
        <v>1054.1074608762699</v>
      </c>
      <c r="J35">
        <v>8.23</v>
      </c>
      <c r="K35" s="35">
        <v>28.025479615268701</v>
      </c>
      <c r="L35" s="28">
        <v>28.025479615268701</v>
      </c>
      <c r="M35" s="5">
        <v>38.4</v>
      </c>
      <c r="N35" s="24">
        <v>9.0751996707636503E-3</v>
      </c>
      <c r="O35" s="35">
        <v>2.1892509766573252</v>
      </c>
      <c r="P35">
        <v>22.3</v>
      </c>
      <c r="Q35" s="24">
        <v>9.0751996707636503E-3</v>
      </c>
      <c r="R35" s="35">
        <v>1.0136232021923417</v>
      </c>
      <c r="S35">
        <v>25.2</v>
      </c>
      <c r="T35" s="48">
        <v>2.0512820512820513E-3</v>
      </c>
      <c r="U35" s="5">
        <v>22.3</v>
      </c>
      <c r="V35" s="24">
        <v>9.0751996707636503E-3</v>
      </c>
      <c r="W35" s="55" t="s">
        <v>8</v>
      </c>
      <c r="X35" s="55" t="s">
        <v>8</v>
      </c>
      <c r="Y35" s="35">
        <v>0.95499999999999996</v>
      </c>
      <c r="Z35" s="28">
        <v>0.626</v>
      </c>
      <c r="AA35" s="24"/>
    </row>
    <row r="36" spans="2:27" x14ac:dyDescent="0.3">
      <c r="B36" s="5">
        <v>6</v>
      </c>
      <c r="C36" s="5" t="s">
        <v>59</v>
      </c>
      <c r="D36">
        <f t="shared" si="0"/>
        <v>1.05</v>
      </c>
      <c r="E36">
        <f t="shared" si="1"/>
        <v>4.3E-3</v>
      </c>
      <c r="F36" s="36">
        <f t="shared" si="2"/>
        <v>0.71599999999999997</v>
      </c>
      <c r="G36">
        <v>1.1000000000000001</v>
      </c>
      <c r="H36">
        <v>0.45300000000000001</v>
      </c>
      <c r="I36" s="42">
        <v>1037.41996169097</v>
      </c>
      <c r="J36">
        <v>8.23</v>
      </c>
      <c r="K36" s="35">
        <v>28.003366941084799</v>
      </c>
      <c r="L36" s="28">
        <v>28.003366941084799</v>
      </c>
      <c r="M36" s="5">
        <v>38.4</v>
      </c>
      <c r="N36" s="24">
        <v>8.6882007306675092E-3</v>
      </c>
      <c r="O36" s="35">
        <v>2.1499231148012057</v>
      </c>
      <c r="P36">
        <v>21.7</v>
      </c>
      <c r="Q36" s="24">
        <v>8.6882007306675092E-3</v>
      </c>
      <c r="R36" s="35">
        <v>0.97391517100494618</v>
      </c>
      <c r="S36">
        <v>25.2</v>
      </c>
      <c r="T36" s="48">
        <v>1.8233618233618235E-3</v>
      </c>
      <c r="U36" s="5">
        <v>21.7</v>
      </c>
      <c r="V36" s="24">
        <v>8.6882007306675092E-3</v>
      </c>
      <c r="W36" s="55" t="s">
        <v>8</v>
      </c>
      <c r="X36" s="55" t="s">
        <v>8</v>
      </c>
      <c r="Y36" s="35">
        <v>0.97699999999999998</v>
      </c>
      <c r="Z36" s="28">
        <v>0.63500000000000001</v>
      </c>
      <c r="AA36" s="24"/>
    </row>
    <row r="37" spans="2:27" x14ac:dyDescent="0.3">
      <c r="B37" s="5">
        <v>7</v>
      </c>
      <c r="C37" s="5" t="s">
        <v>59</v>
      </c>
      <c r="D37">
        <f t="shared" si="0"/>
        <v>1.05</v>
      </c>
      <c r="E37">
        <f t="shared" si="1"/>
        <v>4.3E-3</v>
      </c>
      <c r="F37" s="36">
        <f t="shared" si="2"/>
        <v>0.71599999999999997</v>
      </c>
      <c r="G37">
        <v>1.1000000000000001</v>
      </c>
      <c r="H37">
        <v>0.45500000000000002</v>
      </c>
      <c r="I37" s="42">
        <v>1043.7654451891201</v>
      </c>
      <c r="J37">
        <v>8.23</v>
      </c>
      <c r="K37" s="35">
        <v>27.982724081825001</v>
      </c>
      <c r="L37" s="28">
        <v>27.982724081825001</v>
      </c>
      <c r="M37" s="5">
        <v>38.799999999999997</v>
      </c>
      <c r="N37" s="24">
        <v>7.6524395972919898E-3</v>
      </c>
      <c r="O37" s="35">
        <v>2.1568633257169916</v>
      </c>
      <c r="P37">
        <v>20.7</v>
      </c>
      <c r="Q37" s="24">
        <v>7.6524395972919898E-3</v>
      </c>
      <c r="R37" s="35">
        <v>0.98137281320123115</v>
      </c>
      <c r="S37">
        <v>24.4</v>
      </c>
      <c r="T37" s="48">
        <v>1.8233618233618235E-3</v>
      </c>
      <c r="U37" s="5">
        <v>20.7</v>
      </c>
      <c r="V37" s="24">
        <v>7.6524395972919898E-3</v>
      </c>
      <c r="W37" s="55" t="s">
        <v>8</v>
      </c>
      <c r="X37" s="55" t="s">
        <v>8</v>
      </c>
      <c r="Y37" s="35">
        <v>0.996</v>
      </c>
      <c r="Z37" s="28">
        <v>0.63300000000000001</v>
      </c>
      <c r="AA37" s="24"/>
    </row>
    <row r="38" spans="2:27" x14ac:dyDescent="0.3">
      <c r="B38" s="5">
        <v>8</v>
      </c>
      <c r="C38" s="5" t="s">
        <v>59</v>
      </c>
      <c r="D38">
        <f t="shared" si="0"/>
        <v>1.05</v>
      </c>
      <c r="E38">
        <f t="shared" si="1"/>
        <v>4.3E-3</v>
      </c>
      <c r="F38" s="36">
        <f t="shared" si="2"/>
        <v>0.71599999999999997</v>
      </c>
      <c r="G38">
        <v>1.1000000000000001</v>
      </c>
      <c r="H38">
        <v>0.437</v>
      </c>
      <c r="I38" s="42">
        <v>1016.5696961411001</v>
      </c>
      <c r="J38">
        <v>8.23</v>
      </c>
      <c r="K38" s="35">
        <v>27.964364864230902</v>
      </c>
      <c r="L38" s="28">
        <v>27.964364864230902</v>
      </c>
      <c r="M38" s="5">
        <v>38.6</v>
      </c>
      <c r="N38" s="24">
        <v>7.2665867827907101E-3</v>
      </c>
      <c r="O38" s="35">
        <v>2.0967148311135144</v>
      </c>
      <c r="P38">
        <v>20.399999999999999</v>
      </c>
      <c r="Q38" s="24">
        <v>7.2665867827907101E-3</v>
      </c>
      <c r="R38" s="35">
        <v>0.9162643811966058</v>
      </c>
      <c r="S38">
        <v>24</v>
      </c>
      <c r="T38" s="48">
        <v>1.8233618233618235E-3</v>
      </c>
      <c r="U38" s="5">
        <v>20.399999999999999</v>
      </c>
      <c r="V38" s="24">
        <v>7.2665867827907101E-3</v>
      </c>
      <c r="W38" s="55" t="s">
        <v>8</v>
      </c>
      <c r="X38" s="55" t="s">
        <v>8</v>
      </c>
      <c r="Y38" s="35">
        <v>0.96299999999999997</v>
      </c>
      <c r="Z38" s="28">
        <v>0.59299999999999997</v>
      </c>
      <c r="AA38" s="24"/>
    </row>
    <row r="39" spans="2:27" x14ac:dyDescent="0.3">
      <c r="B39" s="5">
        <v>9</v>
      </c>
      <c r="C39" s="5" t="s">
        <v>59</v>
      </c>
      <c r="D39">
        <f t="shared" si="0"/>
        <v>1.05</v>
      </c>
      <c r="E39">
        <f t="shared" si="1"/>
        <v>4.3E-3</v>
      </c>
      <c r="F39" s="36">
        <f t="shared" si="2"/>
        <v>0.71599999999999997</v>
      </c>
      <c r="G39">
        <v>1.1000000000000001</v>
      </c>
      <c r="H39">
        <v>0.38100000000000001</v>
      </c>
      <c r="I39" s="42">
        <v>1211.3177939181201</v>
      </c>
      <c r="J39">
        <v>8.23</v>
      </c>
      <c r="K39" s="35">
        <v>27.962427649539102</v>
      </c>
      <c r="L39" s="28">
        <v>27.962427649539102</v>
      </c>
      <c r="M39" s="5">
        <v>37.6</v>
      </c>
      <c r="N39" s="24">
        <v>6.4298957076500103E-3</v>
      </c>
      <c r="O39" s="35">
        <v>2.4953913914980994</v>
      </c>
      <c r="P39">
        <v>21.3</v>
      </c>
      <c r="Q39" s="24">
        <v>6.4298957076500103E-3</v>
      </c>
      <c r="R39" s="35">
        <v>0.95074412016077592</v>
      </c>
      <c r="S39">
        <v>24.5</v>
      </c>
      <c r="T39" s="48">
        <v>1.8233618233618235E-3</v>
      </c>
      <c r="U39" s="5">
        <v>21.3</v>
      </c>
      <c r="V39" s="24">
        <v>6.4298957076500103E-3</v>
      </c>
      <c r="W39" s="55" t="s">
        <v>8</v>
      </c>
      <c r="X39" s="55" t="s">
        <v>8</v>
      </c>
      <c r="Y39" s="35">
        <v>0.89200000000000002</v>
      </c>
      <c r="Z39" s="28">
        <v>0.54400000000000004</v>
      </c>
      <c r="AA39" s="24"/>
    </row>
    <row r="40" spans="2:27" x14ac:dyDescent="0.3">
      <c r="B40" s="5">
        <v>10</v>
      </c>
      <c r="C40" s="5" t="s">
        <v>59</v>
      </c>
      <c r="D40">
        <f t="shared" si="0"/>
        <v>1.05</v>
      </c>
      <c r="E40">
        <f t="shared" si="1"/>
        <v>4.3E-3</v>
      </c>
      <c r="F40" s="36">
        <f t="shared" si="2"/>
        <v>0.71599999999999997</v>
      </c>
      <c r="G40">
        <v>1.1000000000000001</v>
      </c>
      <c r="H40">
        <v>0.53600000000000003</v>
      </c>
      <c r="I40" s="42">
        <v>913.44753225551005</v>
      </c>
      <c r="J40">
        <v>8.23</v>
      </c>
      <c r="K40" s="35">
        <v>27.927546269095799</v>
      </c>
      <c r="L40" s="28">
        <v>27.927546269095799</v>
      </c>
      <c r="M40" s="5">
        <v>37.799999999999997</v>
      </c>
      <c r="N40" s="24">
        <v>6.5007881603096401E-3</v>
      </c>
      <c r="O40" s="35">
        <v>1.8769414854469635</v>
      </c>
      <c r="P40">
        <v>20.2</v>
      </c>
      <c r="Q40" s="24">
        <v>6.5007881603096401E-3</v>
      </c>
      <c r="R40" s="35">
        <v>1.0060406361995724</v>
      </c>
      <c r="S40">
        <v>23.9</v>
      </c>
      <c r="T40" s="48">
        <v>2.2792022792022791E-3</v>
      </c>
      <c r="U40" s="5">
        <v>20.2</v>
      </c>
      <c r="V40" s="24">
        <v>6.5007881603096401E-3</v>
      </c>
      <c r="W40" s="55" t="s">
        <v>8</v>
      </c>
      <c r="X40" s="55" t="s">
        <v>8</v>
      </c>
      <c r="Y40" s="35">
        <v>0.95899999999999996</v>
      </c>
      <c r="Z40" s="28">
        <v>0.58699999999999997</v>
      </c>
      <c r="AA40" s="24"/>
    </row>
    <row r="41" spans="2:27" x14ac:dyDescent="0.3">
      <c r="B41" s="5">
        <v>11</v>
      </c>
      <c r="C41" s="5" t="s">
        <v>59</v>
      </c>
      <c r="D41">
        <f t="shared" si="0"/>
        <v>1.05</v>
      </c>
      <c r="E41">
        <f t="shared" si="1"/>
        <v>4.3E-3</v>
      </c>
      <c r="F41" s="36">
        <f t="shared" si="2"/>
        <v>0.71599999999999997</v>
      </c>
      <c r="G41">
        <v>1.1000000000000001</v>
      </c>
      <c r="H41">
        <v>0.46100000000000002</v>
      </c>
      <c r="I41" s="42">
        <v>830.39927467058499</v>
      </c>
      <c r="J41">
        <v>8.23</v>
      </c>
      <c r="K41" s="35">
        <v>27.3315787828898</v>
      </c>
      <c r="L41" s="28">
        <v>27.3315787828898</v>
      </c>
      <c r="M41" s="5">
        <v>25.4</v>
      </c>
      <c r="N41" s="24">
        <v>5.8577429796421903E-3</v>
      </c>
      <c r="O41" s="35">
        <v>1.6286361615710712</v>
      </c>
      <c r="P41">
        <v>17.2</v>
      </c>
      <c r="Q41" s="24">
        <v>5.8577429796421903E-3</v>
      </c>
      <c r="R41" s="35">
        <v>0.75080127048426382</v>
      </c>
      <c r="S41">
        <v>20</v>
      </c>
      <c r="T41" s="48">
        <v>2.2792022792022791E-3</v>
      </c>
      <c r="U41" s="5">
        <v>17.2</v>
      </c>
      <c r="V41" s="24">
        <v>5.8577429796421903E-3</v>
      </c>
      <c r="W41" s="55" t="s">
        <v>8</v>
      </c>
      <c r="X41" s="55" t="s">
        <v>8</v>
      </c>
      <c r="Y41" s="35">
        <v>0.749</v>
      </c>
      <c r="Z41" s="28">
        <v>0.42899999999999999</v>
      </c>
      <c r="AA41" s="24"/>
    </row>
    <row r="42" spans="2:27" x14ac:dyDescent="0.3">
      <c r="B42" s="5">
        <v>12</v>
      </c>
      <c r="C42" s="5" t="s">
        <v>59</v>
      </c>
      <c r="D42">
        <f t="shared" si="0"/>
        <v>1.05</v>
      </c>
      <c r="E42">
        <f t="shared" si="1"/>
        <v>4.3E-3</v>
      </c>
      <c r="F42" s="36">
        <f t="shared" si="2"/>
        <v>0.71599999999999997</v>
      </c>
      <c r="G42">
        <v>1.1000000000000001</v>
      </c>
      <c r="H42">
        <v>0.36099999999999999</v>
      </c>
      <c r="I42" s="42">
        <v>1169.90545396629</v>
      </c>
      <c r="J42">
        <v>8.23</v>
      </c>
      <c r="K42" s="35">
        <v>28.0972992673981</v>
      </c>
      <c r="L42" s="28">
        <v>28.0972992673981</v>
      </c>
      <c r="M42" s="5">
        <v>38.4</v>
      </c>
      <c r="N42" s="24">
        <v>1.25361802851232E-2</v>
      </c>
      <c r="O42" s="35">
        <v>2.4537501260033845</v>
      </c>
      <c r="P42">
        <v>24.4</v>
      </c>
      <c r="Q42" s="24">
        <v>1.25361802851232E-2</v>
      </c>
      <c r="R42" s="35">
        <v>0.88580379548722177</v>
      </c>
      <c r="S42">
        <v>25</v>
      </c>
      <c r="T42" s="48">
        <v>2.2792022792022791E-3</v>
      </c>
      <c r="U42" s="5">
        <v>24.4</v>
      </c>
      <c r="V42" s="24">
        <v>1.25361802851232E-2</v>
      </c>
      <c r="W42" s="55" t="s">
        <v>8</v>
      </c>
      <c r="X42" s="55" t="s">
        <v>8</v>
      </c>
      <c r="Y42" s="35">
        <v>0.96599999999999997</v>
      </c>
      <c r="Z42" s="28">
        <v>0.71399999999999997</v>
      </c>
      <c r="AA42" s="24"/>
    </row>
    <row r="43" spans="2:27" x14ac:dyDescent="0.3">
      <c r="B43" s="5">
        <v>13</v>
      </c>
      <c r="C43" s="5" t="s">
        <v>59</v>
      </c>
      <c r="D43">
        <f t="shared" si="0"/>
        <v>1.05</v>
      </c>
      <c r="E43">
        <f t="shared" si="1"/>
        <v>4.3E-3</v>
      </c>
      <c r="F43" s="36">
        <f t="shared" si="2"/>
        <v>0.71599999999999997</v>
      </c>
      <c r="G43">
        <v>1.1000000000000001</v>
      </c>
      <c r="H43">
        <v>0.46200000000000002</v>
      </c>
      <c r="I43" s="42">
        <v>1011.56550414039</v>
      </c>
      <c r="J43">
        <v>8.23</v>
      </c>
      <c r="K43" s="35">
        <v>28.037216246787001</v>
      </c>
      <c r="L43" s="28">
        <v>28.037216246787001</v>
      </c>
      <c r="M43" s="5">
        <v>38.6</v>
      </c>
      <c r="N43" s="24">
        <v>1.0570390611453401E-2</v>
      </c>
      <c r="O43" s="35">
        <v>2.1067395802140938</v>
      </c>
      <c r="P43">
        <v>22.5</v>
      </c>
      <c r="Q43" s="24">
        <v>1.0570390611453401E-2</v>
      </c>
      <c r="R43" s="35">
        <v>0.97331368605891133</v>
      </c>
      <c r="S43">
        <v>25</v>
      </c>
      <c r="T43" s="48">
        <v>2.2792022792022791E-3</v>
      </c>
      <c r="U43" s="5">
        <v>22.5</v>
      </c>
      <c r="V43" s="24">
        <v>1.0570390611453401E-2</v>
      </c>
      <c r="W43" s="55" t="s">
        <v>8</v>
      </c>
      <c r="X43" s="55" t="s">
        <v>8</v>
      </c>
      <c r="Y43" s="35">
        <v>1.006</v>
      </c>
      <c r="Z43" s="28">
        <v>0.68200000000000005</v>
      </c>
      <c r="AA43" s="24"/>
    </row>
    <row r="44" spans="2:27" x14ac:dyDescent="0.3">
      <c r="B44" s="5">
        <v>14</v>
      </c>
      <c r="C44" s="5" t="s">
        <v>59</v>
      </c>
      <c r="D44">
        <f t="shared" si="0"/>
        <v>1.05</v>
      </c>
      <c r="E44">
        <f t="shared" si="1"/>
        <v>4.3E-3</v>
      </c>
      <c r="F44" s="36">
        <f t="shared" si="2"/>
        <v>0.71599999999999997</v>
      </c>
      <c r="G44">
        <v>1.1000000000000001</v>
      </c>
      <c r="H44">
        <v>0.44700000000000001</v>
      </c>
      <c r="I44" s="42">
        <v>966.41002946789501</v>
      </c>
      <c r="J44">
        <v>8.23</v>
      </c>
      <c r="K44" s="35">
        <v>28.036755794206702</v>
      </c>
      <c r="L44" s="28">
        <v>28.036755794206702</v>
      </c>
      <c r="M44" s="5">
        <v>37.299999999999997</v>
      </c>
      <c r="N44" s="24">
        <v>1.39300706405851E-2</v>
      </c>
      <c r="O44" s="35">
        <v>2.021143645586069</v>
      </c>
      <c r="P44">
        <v>24</v>
      </c>
      <c r="Q44" s="24">
        <v>1.39300706405851E-2</v>
      </c>
      <c r="R44" s="35">
        <v>0.90345120957697289</v>
      </c>
      <c r="S44">
        <v>25</v>
      </c>
      <c r="T44" s="48">
        <v>2.2792022792022791E-3</v>
      </c>
      <c r="U44" s="5">
        <v>24</v>
      </c>
      <c r="V44" s="24">
        <v>1.39300706405851E-2</v>
      </c>
      <c r="W44" s="55" t="s">
        <v>8</v>
      </c>
      <c r="X44" s="55" t="s">
        <v>8</v>
      </c>
      <c r="Y44" s="35">
        <v>1.0389999999999999</v>
      </c>
      <c r="Z44" s="28">
        <v>0.73899999999999999</v>
      </c>
      <c r="AA44" s="24"/>
    </row>
    <row r="45" spans="2:27" x14ac:dyDescent="0.3">
      <c r="B45" s="5">
        <v>15</v>
      </c>
      <c r="C45" s="5" t="s">
        <v>59</v>
      </c>
      <c r="D45">
        <f t="shared" si="0"/>
        <v>1.05</v>
      </c>
      <c r="E45">
        <f t="shared" si="1"/>
        <v>4.3E-3</v>
      </c>
      <c r="F45" s="36">
        <f t="shared" si="2"/>
        <v>0.71599999999999997</v>
      </c>
      <c r="G45">
        <v>1.1000000000000001</v>
      </c>
      <c r="H45">
        <v>0.39500000000000002</v>
      </c>
      <c r="I45" s="42">
        <v>1070.81765381173</v>
      </c>
      <c r="J45">
        <v>8.23</v>
      </c>
      <c r="K45" s="35">
        <v>28.073696254674299</v>
      </c>
      <c r="L45" s="28">
        <v>28.073696254674299</v>
      </c>
      <c r="M45" s="5">
        <v>38.299999999999997</v>
      </c>
      <c r="N45" s="24">
        <v>1.43762928217429E-2</v>
      </c>
      <c r="O45" s="35">
        <v>2.2470860676222069</v>
      </c>
      <c r="P45">
        <v>24</v>
      </c>
      <c r="Q45" s="24">
        <v>1.43762928217429E-2</v>
      </c>
      <c r="R45" s="35">
        <v>0.8875989967107718</v>
      </c>
      <c r="S45">
        <v>25</v>
      </c>
      <c r="T45" s="48">
        <v>2.2792022792022791E-3</v>
      </c>
      <c r="U45" s="5">
        <v>24</v>
      </c>
      <c r="V45" s="24">
        <v>1.43762928217429E-2</v>
      </c>
      <c r="W45" s="55" t="s">
        <v>8</v>
      </c>
      <c r="X45" s="55" t="s">
        <v>8</v>
      </c>
      <c r="Y45" s="35">
        <v>1.075</v>
      </c>
      <c r="Z45" s="28">
        <v>0.77300000000000002</v>
      </c>
      <c r="AA45" s="24"/>
    </row>
    <row r="46" spans="2:27" x14ac:dyDescent="0.3">
      <c r="B46" s="5">
        <v>16</v>
      </c>
      <c r="C46" s="5" t="s">
        <v>59</v>
      </c>
      <c r="D46">
        <f t="shared" si="0"/>
        <v>1.05</v>
      </c>
      <c r="E46">
        <f t="shared" si="1"/>
        <v>4.3E-3</v>
      </c>
      <c r="F46" s="36">
        <f t="shared" si="2"/>
        <v>0.71599999999999997</v>
      </c>
      <c r="G46">
        <v>1.1000000000000001</v>
      </c>
      <c r="H46">
        <v>0.40200000000000002</v>
      </c>
      <c r="I46" s="42">
        <v>1167.5734943007201</v>
      </c>
      <c r="J46">
        <v>8.23</v>
      </c>
      <c r="K46" s="35">
        <v>28.141240040683499</v>
      </c>
      <c r="L46" s="28">
        <v>28.141240040683499</v>
      </c>
      <c r="M46" s="5">
        <v>38.700000000000003</v>
      </c>
      <c r="N46" s="24">
        <v>1.46972911569645E-2</v>
      </c>
      <c r="O46" s="35">
        <v>2.4637748751039643</v>
      </c>
      <c r="P46">
        <v>25.4</v>
      </c>
      <c r="Q46" s="24">
        <v>1.46972911569645E-2</v>
      </c>
      <c r="R46" s="35">
        <v>0.99043749979179374</v>
      </c>
      <c r="S46">
        <v>27</v>
      </c>
      <c r="T46" s="48">
        <v>2.2792022792022791E-3</v>
      </c>
      <c r="U46" s="5">
        <v>25.4</v>
      </c>
      <c r="V46" s="24">
        <v>1.46972911569645E-2</v>
      </c>
      <c r="W46" s="55" t="s">
        <v>8</v>
      </c>
      <c r="X46" s="55" t="s">
        <v>8</v>
      </c>
      <c r="Y46" s="35">
        <v>0.99299999999999999</v>
      </c>
      <c r="Z46" s="28">
        <v>0.71499999999999997</v>
      </c>
      <c r="AA46" s="24"/>
    </row>
    <row r="47" spans="2:27" ht="15" thickBot="1" x14ac:dyDescent="0.35">
      <c r="B47" s="5">
        <v>17</v>
      </c>
      <c r="C47" s="7" t="s">
        <v>59</v>
      </c>
      <c r="D47" s="8">
        <f t="shared" si="0"/>
        <v>1.05</v>
      </c>
      <c r="E47" s="8">
        <f t="shared" si="1"/>
        <v>4.3E-3</v>
      </c>
      <c r="F47" s="44">
        <f t="shared" si="2"/>
        <v>0.71599999999999997</v>
      </c>
      <c r="G47" s="8">
        <v>1.1000000000000001</v>
      </c>
      <c r="H47" s="8">
        <v>0.39100000000000001</v>
      </c>
      <c r="I47" s="50">
        <v>1206.94049429855</v>
      </c>
      <c r="J47" s="8">
        <v>8.23</v>
      </c>
      <c r="K47" s="18">
        <v>28.091197399565001</v>
      </c>
      <c r="L47" s="29">
        <v>28.091197399565001</v>
      </c>
      <c r="M47" s="7">
        <v>37.6</v>
      </c>
      <c r="N47" s="25">
        <v>1.3453334748545801E-2</v>
      </c>
      <c r="O47" s="18">
        <v>2.5331769842618224</v>
      </c>
      <c r="P47" s="8">
        <v>25.1</v>
      </c>
      <c r="Q47" s="25">
        <v>1.3453334748545801E-2</v>
      </c>
      <c r="R47" s="18">
        <v>0.99047220084637255</v>
      </c>
      <c r="S47" s="8">
        <v>27</v>
      </c>
      <c r="T47" s="51">
        <v>2.2792022792022791E-3</v>
      </c>
      <c r="U47" s="7">
        <v>25.1</v>
      </c>
      <c r="V47" s="25">
        <v>1.3453334748545801E-2</v>
      </c>
      <c r="W47" s="56" t="s">
        <v>8</v>
      </c>
      <c r="X47" s="56" t="s">
        <v>8</v>
      </c>
      <c r="Y47" s="18">
        <v>0.99299999999999999</v>
      </c>
      <c r="Z47" s="29">
        <v>0.71099999999999997</v>
      </c>
      <c r="AA47" s="24"/>
    </row>
    <row r="48" spans="2:27" x14ac:dyDescent="0.3">
      <c r="B48" s="3"/>
    </row>
  </sheetData>
  <mergeCells count="6">
    <mergeCell ref="E13:F13"/>
    <mergeCell ref="G13:H13"/>
    <mergeCell ref="I13:J13"/>
    <mergeCell ref="E10:F10"/>
    <mergeCell ref="G10:H10"/>
    <mergeCell ref="I10:J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E837-918F-4C24-9D6C-75D64455D52B}">
  <dimension ref="B1:AA136"/>
  <sheetViews>
    <sheetView tabSelected="1" zoomScaleNormal="100" workbookViewId="0">
      <selection activeCell="W18" sqref="W18"/>
    </sheetView>
  </sheetViews>
  <sheetFormatPr defaultColWidth="8.88671875" defaultRowHeight="14.4" x14ac:dyDescent="0.3"/>
  <cols>
    <col min="1" max="1" width="2.6640625" customWidth="1"/>
    <col min="2" max="2" width="22.33203125" bestFit="1" customWidth="1"/>
    <col min="3" max="3" width="17.21875" customWidth="1"/>
    <col min="6" max="6" width="12.44140625" customWidth="1"/>
    <col min="7" max="10" width="9.33203125" customWidth="1"/>
    <col min="11" max="11" width="10.109375" customWidth="1"/>
    <col min="12" max="12" width="9.33203125" customWidth="1"/>
    <col min="13" max="19" width="9.44140625" customWidth="1"/>
    <col min="20" max="20" width="9.6640625" bestFit="1" customWidth="1"/>
    <col min="21" max="24" width="9.44140625" customWidth="1"/>
    <col min="25" max="25" width="10.5546875" bestFit="1" customWidth="1"/>
    <col min="26" max="26" width="10.21875" bestFit="1"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22" t="s">
        <v>19</v>
      </c>
      <c r="C3" s="13" t="s">
        <v>53</v>
      </c>
      <c r="D3" s="3"/>
      <c r="E3" s="3"/>
      <c r="F3" s="3"/>
      <c r="G3" s="3"/>
      <c r="H3" s="3"/>
      <c r="I3" s="3"/>
      <c r="J3" s="3"/>
      <c r="K3" s="3"/>
      <c r="L3" s="3"/>
      <c r="M3" s="3"/>
      <c r="N3" s="4"/>
    </row>
    <row r="4" spans="2:14" x14ac:dyDescent="0.3">
      <c r="B4" s="23" t="s">
        <v>20</v>
      </c>
      <c r="C4" s="5" t="s">
        <v>54</v>
      </c>
      <c r="N4" s="6"/>
    </row>
    <row r="5" spans="2:14" x14ac:dyDescent="0.3">
      <c r="B5" s="23" t="s">
        <v>21</v>
      </c>
      <c r="C5" s="64">
        <v>2019</v>
      </c>
      <c r="N5" s="6"/>
    </row>
    <row r="6" spans="2:14" x14ac:dyDescent="0.3">
      <c r="B6" s="23" t="s">
        <v>22</v>
      </c>
      <c r="C6" s="64" t="s">
        <v>62</v>
      </c>
      <c r="N6" s="6"/>
    </row>
    <row r="7" spans="2:14" ht="58.8" customHeight="1" thickBot="1" x14ac:dyDescent="0.35">
      <c r="B7" s="65" t="s">
        <v>93</v>
      </c>
      <c r="C7" s="69" t="s">
        <v>94</v>
      </c>
      <c r="D7" s="70"/>
      <c r="E7" s="70"/>
      <c r="F7" s="70"/>
      <c r="G7" s="70"/>
      <c r="H7" s="70"/>
      <c r="I7" s="70"/>
      <c r="J7" s="70"/>
      <c r="K7" s="70"/>
      <c r="L7" s="70"/>
      <c r="M7" s="70"/>
      <c r="N7" s="71"/>
    </row>
    <row r="8" spans="2:14" ht="15" thickBot="1" x14ac:dyDescent="0.35"/>
    <row r="9" spans="2:14" ht="15" thickBot="1" x14ac:dyDescent="0.35">
      <c r="B9" s="10" t="s">
        <v>23</v>
      </c>
      <c r="C9" s="20"/>
      <c r="E9" s="10" t="s">
        <v>27</v>
      </c>
      <c r="F9" s="19"/>
      <c r="G9" s="19"/>
      <c r="H9" s="19"/>
      <c r="I9" s="19"/>
      <c r="J9" s="20"/>
    </row>
    <row r="10" spans="2:14" ht="15" thickBot="1" x14ac:dyDescent="0.35">
      <c r="B10" s="22" t="s">
        <v>24</v>
      </c>
      <c r="C10" s="6" t="s">
        <v>60</v>
      </c>
      <c r="E10" s="10" t="s">
        <v>57</v>
      </c>
      <c r="F10" s="11" t="s">
        <v>13</v>
      </c>
      <c r="G10" s="10" t="s">
        <v>57</v>
      </c>
      <c r="H10" s="12" t="s">
        <v>58</v>
      </c>
      <c r="I10" s="11" t="s">
        <v>58</v>
      </c>
      <c r="J10" s="12" t="s">
        <v>13</v>
      </c>
    </row>
    <row r="11" spans="2:14" ht="15" thickBot="1" x14ac:dyDescent="0.35">
      <c r="B11" s="23" t="s">
        <v>11</v>
      </c>
      <c r="C11" s="6" t="s">
        <v>47</v>
      </c>
      <c r="E11" s="67" t="s">
        <v>0</v>
      </c>
      <c r="F11" s="68"/>
      <c r="G11" s="67" t="s">
        <v>0</v>
      </c>
      <c r="H11" s="68"/>
      <c r="I11" s="67" t="s">
        <v>5</v>
      </c>
      <c r="J11" s="68"/>
    </row>
    <row r="12" spans="2:14" x14ac:dyDescent="0.3">
      <c r="B12" s="23" t="s">
        <v>25</v>
      </c>
      <c r="C12" s="6" t="s">
        <v>48</v>
      </c>
    </row>
    <row r="13" spans="2:14" x14ac:dyDescent="0.3">
      <c r="B13" s="23" t="s">
        <v>26</v>
      </c>
      <c r="C13" s="6" t="s">
        <v>67</v>
      </c>
      <c r="E13" s="1"/>
      <c r="F13" s="1"/>
      <c r="G13" s="1"/>
      <c r="H13" s="1"/>
      <c r="I13" s="1"/>
      <c r="J13" s="1"/>
    </row>
    <row r="14" spans="2:14" ht="15" thickBot="1" x14ac:dyDescent="0.35">
      <c r="B14" s="17" t="s">
        <v>27</v>
      </c>
      <c r="C14" s="9" t="s">
        <v>49</v>
      </c>
      <c r="E14" s="66"/>
      <c r="F14" s="66"/>
      <c r="G14" s="66"/>
      <c r="H14" s="66"/>
      <c r="I14" s="66"/>
      <c r="J14" s="66"/>
    </row>
    <row r="15" spans="2:14" ht="15" thickBot="1" x14ac:dyDescent="0.35">
      <c r="B15" s="1"/>
    </row>
    <row r="16" spans="2:14" ht="15" thickBot="1" x14ac:dyDescent="0.35">
      <c r="B16" s="10" t="s">
        <v>28</v>
      </c>
      <c r="C16" s="19"/>
      <c r="D16" s="20"/>
      <c r="F16" s="10" t="s">
        <v>29</v>
      </c>
      <c r="G16" s="19"/>
      <c r="H16" s="20"/>
    </row>
    <row r="17" spans="2:27" x14ac:dyDescent="0.3">
      <c r="B17" s="22" t="s">
        <v>30</v>
      </c>
      <c r="C17" s="3">
        <f>0.5</f>
        <v>0.5</v>
      </c>
      <c r="D17" s="4" t="s">
        <v>6</v>
      </c>
      <c r="F17" s="22" t="s">
        <v>14</v>
      </c>
      <c r="G17" s="32">
        <v>0.2</v>
      </c>
      <c r="H17" s="6" t="s">
        <v>31</v>
      </c>
    </row>
    <row r="18" spans="2:27" x14ac:dyDescent="0.3">
      <c r="B18" s="23" t="s">
        <v>32</v>
      </c>
      <c r="C18">
        <f>0.3</f>
        <v>0.3</v>
      </c>
      <c r="D18" s="6" t="s">
        <v>6</v>
      </c>
      <c r="F18" s="23" t="s">
        <v>33</v>
      </c>
      <c r="G18" s="37">
        <v>4.6511627906976738</v>
      </c>
      <c r="H18" s="6" t="s">
        <v>34</v>
      </c>
    </row>
    <row r="19" spans="2:27" ht="15" thickBot="1" x14ac:dyDescent="0.35">
      <c r="B19" s="23" t="s">
        <v>35</v>
      </c>
      <c r="C19">
        <f>C20*C22+C22*C21</f>
        <v>0.22</v>
      </c>
      <c r="D19" s="6" t="s">
        <v>6</v>
      </c>
      <c r="F19" s="17" t="s">
        <v>36</v>
      </c>
      <c r="G19" s="41">
        <v>5.8823529411764701</v>
      </c>
      <c r="H19" s="9" t="s">
        <v>34</v>
      </c>
    </row>
    <row r="20" spans="2:27" x14ac:dyDescent="0.3">
      <c r="B20" s="23" t="s">
        <v>10</v>
      </c>
      <c r="C20">
        <f>0.002</f>
        <v>2E-3</v>
      </c>
      <c r="D20" s="6" t="s">
        <v>6</v>
      </c>
    </row>
    <row r="21" spans="2:27" x14ac:dyDescent="0.3">
      <c r="B21" s="23" t="s">
        <v>15</v>
      </c>
      <c r="C21">
        <f>0.2*0.001</f>
        <v>2.0000000000000001E-4</v>
      </c>
      <c r="D21" s="6" t="s">
        <v>6</v>
      </c>
    </row>
    <row r="22" spans="2:27" ht="15" thickBot="1" x14ac:dyDescent="0.35">
      <c r="B22" s="17" t="s">
        <v>12</v>
      </c>
      <c r="C22" s="8">
        <f>50*2</f>
        <v>100</v>
      </c>
      <c r="D22" s="9" t="s">
        <v>2</v>
      </c>
    </row>
    <row r="23" spans="2:27" ht="15" thickBot="1" x14ac:dyDescent="0.35">
      <c r="B23" s="1"/>
    </row>
    <row r="24" spans="2:27" ht="15" thickBot="1" x14ac:dyDescent="0.35">
      <c r="B24" s="2" t="s">
        <v>37</v>
      </c>
      <c r="C24" s="3"/>
      <c r="D24" s="4"/>
      <c r="F24" s="10" t="s">
        <v>55</v>
      </c>
      <c r="G24" s="19"/>
      <c r="H24" s="20"/>
    </row>
    <row r="25" spans="2:27" x14ac:dyDescent="0.3">
      <c r="B25" s="2" t="s">
        <v>38</v>
      </c>
      <c r="C25" s="52" t="s">
        <v>81</v>
      </c>
      <c r="D25" s="4" t="s">
        <v>16</v>
      </c>
      <c r="F25" s="22" t="s">
        <v>63</v>
      </c>
      <c r="G25" t="s">
        <v>64</v>
      </c>
      <c r="H25" s="6"/>
    </row>
    <row r="26" spans="2:27" ht="15" thickBot="1" x14ac:dyDescent="0.35">
      <c r="B26" s="21" t="s">
        <v>39</v>
      </c>
      <c r="C26" s="53" t="s">
        <v>82</v>
      </c>
      <c r="D26" s="6" t="s">
        <v>16</v>
      </c>
      <c r="F26" s="17" t="s">
        <v>65</v>
      </c>
      <c r="G26" s="8" t="s">
        <v>66</v>
      </c>
      <c r="H26" s="9"/>
    </row>
    <row r="27" spans="2:27" ht="28.8" x14ac:dyDescent="0.3">
      <c r="B27" s="33" t="s">
        <v>40</v>
      </c>
      <c r="C27" s="60" t="s">
        <v>83</v>
      </c>
      <c r="D27" s="34" t="s">
        <v>17</v>
      </c>
    </row>
    <row r="28" spans="2:27" ht="15" thickBot="1" x14ac:dyDescent="0.35">
      <c r="B28" s="14" t="s">
        <v>41</v>
      </c>
      <c r="C28" s="61" t="s">
        <v>8</v>
      </c>
      <c r="D28" s="9" t="s">
        <v>42</v>
      </c>
      <c r="I28" s="35"/>
      <c r="J28" s="35"/>
      <c r="K28" s="35"/>
      <c r="L28" s="35"/>
    </row>
    <row r="29" spans="2:27" ht="15" thickBot="1" x14ac:dyDescent="0.35">
      <c r="J29" s="35"/>
    </row>
    <row r="30" spans="2:27" ht="15" thickBot="1" x14ac:dyDescent="0.35">
      <c r="B30" s="2"/>
      <c r="C30" s="11" t="s">
        <v>43</v>
      </c>
      <c r="D30" s="11"/>
      <c r="E30" s="11"/>
      <c r="F30" s="11"/>
      <c r="G30" s="11"/>
      <c r="H30" s="11"/>
      <c r="I30" s="11"/>
      <c r="J30" s="11"/>
      <c r="K30" s="11"/>
      <c r="L30" s="12"/>
      <c r="M30" s="10" t="s">
        <v>44</v>
      </c>
      <c r="N30" s="11"/>
      <c r="O30" s="11"/>
      <c r="P30" s="11"/>
      <c r="Q30" s="11"/>
      <c r="R30" s="11"/>
      <c r="S30" s="11"/>
      <c r="T30" s="12"/>
      <c r="U30" s="12" t="s">
        <v>45</v>
      </c>
      <c r="V30" s="3"/>
      <c r="W30" s="3"/>
      <c r="X30" s="19"/>
      <c r="Y30" s="3"/>
      <c r="Z30" s="4"/>
    </row>
    <row r="31" spans="2:27" ht="15" thickBot="1" x14ac:dyDescent="0.35">
      <c r="B31" s="14" t="s">
        <v>46</v>
      </c>
      <c r="C31" s="14" t="s">
        <v>55</v>
      </c>
      <c r="D31" s="15" t="s">
        <v>4</v>
      </c>
      <c r="E31" s="15" t="s">
        <v>9</v>
      </c>
      <c r="F31" s="15" t="s">
        <v>7</v>
      </c>
      <c r="G31" s="15" t="s">
        <v>90</v>
      </c>
      <c r="H31" s="15" t="s">
        <v>68</v>
      </c>
      <c r="I31" s="15" t="s">
        <v>89</v>
      </c>
      <c r="J31" s="15" t="s">
        <v>88</v>
      </c>
      <c r="K31" s="15" t="s">
        <v>91</v>
      </c>
      <c r="L31" s="26" t="s">
        <v>92</v>
      </c>
      <c r="M31" s="10" t="s">
        <v>70</v>
      </c>
      <c r="N31" s="11" t="s">
        <v>71</v>
      </c>
      <c r="O31" s="15" t="s">
        <v>72</v>
      </c>
      <c r="P31" s="11" t="s">
        <v>73</v>
      </c>
      <c r="Q31" s="11" t="s">
        <v>74</v>
      </c>
      <c r="R31" s="15" t="s">
        <v>75</v>
      </c>
      <c r="S31" s="15" t="s">
        <v>76</v>
      </c>
      <c r="T31" s="26" t="s">
        <v>69</v>
      </c>
      <c r="U31" s="11" t="s">
        <v>77</v>
      </c>
      <c r="V31" s="11" t="s">
        <v>78</v>
      </c>
      <c r="W31" s="11" t="s">
        <v>79</v>
      </c>
      <c r="X31" s="11" t="s">
        <v>80</v>
      </c>
      <c r="Y31" s="11" t="s">
        <v>1</v>
      </c>
      <c r="Z31" s="12" t="s">
        <v>3</v>
      </c>
      <c r="AA31" s="1"/>
    </row>
    <row r="32" spans="2:27" x14ac:dyDescent="0.3">
      <c r="B32" s="5">
        <v>1</v>
      </c>
      <c r="C32" s="13" t="s">
        <v>63</v>
      </c>
      <c r="D32" s="3">
        <f t="shared" ref="D32:D46" si="0">$C$17</f>
        <v>0.5</v>
      </c>
      <c r="E32" s="40">
        <f t="shared" ref="E32:E46" si="1">$C$20</f>
        <v>2E-3</v>
      </c>
      <c r="F32" s="3">
        <f t="shared" ref="F32:F46" si="2">$C$18</f>
        <v>0.3</v>
      </c>
      <c r="G32" s="3">
        <v>1</v>
      </c>
      <c r="H32" s="3">
        <v>0.33200000000000002</v>
      </c>
      <c r="I32" s="31">
        <v>2.81</v>
      </c>
      <c r="J32" s="31">
        <v>2.81</v>
      </c>
      <c r="K32" s="31">
        <v>18.3515212404427</v>
      </c>
      <c r="L32" s="27">
        <v>49.242160196775203</v>
      </c>
      <c r="M32" s="39">
        <v>29.2</v>
      </c>
      <c r="N32" s="30">
        <v>1.0940397857615563E-2</v>
      </c>
      <c r="O32" s="31">
        <v>0.59</v>
      </c>
      <c r="P32" s="35">
        <v>17.909635274904701</v>
      </c>
      <c r="Q32" s="30">
        <v>1.0940397857615563E-2</v>
      </c>
      <c r="R32" s="31">
        <v>0.19588</v>
      </c>
      <c r="S32" s="54" t="s">
        <v>8</v>
      </c>
      <c r="T32" s="57" t="s">
        <v>8</v>
      </c>
      <c r="U32" s="35">
        <v>17.909635274904701</v>
      </c>
      <c r="V32" s="24">
        <f>Q32</f>
        <v>1.0940397857615563E-2</v>
      </c>
      <c r="W32" s="55" t="s">
        <v>8</v>
      </c>
      <c r="X32" s="55" t="s">
        <v>8</v>
      </c>
      <c r="Y32" s="31">
        <v>1.2305051313946205</v>
      </c>
      <c r="Z32" s="27">
        <v>0.8150942980134126</v>
      </c>
      <c r="AA32" s="35"/>
    </row>
    <row r="33" spans="2:26" x14ac:dyDescent="0.3">
      <c r="B33" s="46">
        <v>2</v>
      </c>
      <c r="C33" s="5" t="s">
        <v>63</v>
      </c>
      <c r="D33">
        <f t="shared" si="0"/>
        <v>0.5</v>
      </c>
      <c r="E33" s="36">
        <f t="shared" si="1"/>
        <v>2E-3</v>
      </c>
      <c r="F33">
        <f t="shared" si="2"/>
        <v>0.3</v>
      </c>
      <c r="G33">
        <v>1</v>
      </c>
      <c r="H33">
        <v>0.44700000000000006</v>
      </c>
      <c r="I33" s="35">
        <v>2.81</v>
      </c>
      <c r="J33" s="35">
        <v>2.81</v>
      </c>
      <c r="K33" s="35">
        <v>18.337037669394501</v>
      </c>
      <c r="L33" s="28">
        <v>49.203296806845003</v>
      </c>
      <c r="M33" s="38">
        <v>30.1</v>
      </c>
      <c r="N33" s="24">
        <v>8.0015282496515155E-3</v>
      </c>
      <c r="O33" s="35">
        <v>0.55000000000000004</v>
      </c>
      <c r="P33" s="35">
        <v>16.3320631464344</v>
      </c>
      <c r="Q33" s="24">
        <v>8.0015282496515155E-3</v>
      </c>
      <c r="R33" s="35">
        <v>0.24585000000000007</v>
      </c>
      <c r="S33" s="55" t="s">
        <v>8</v>
      </c>
      <c r="T33" s="58" t="s">
        <v>8</v>
      </c>
      <c r="U33" s="35">
        <v>16.3320631464344</v>
      </c>
      <c r="V33" s="24">
        <f t="shared" ref="V33:V46" si="3">Q33</f>
        <v>8.0015282496515155E-3</v>
      </c>
      <c r="W33" s="55" t="s">
        <v>8</v>
      </c>
      <c r="X33" s="55" t="s">
        <v>8</v>
      </c>
      <c r="Y33" s="35">
        <v>1.1409079457413205</v>
      </c>
      <c r="Z33" s="28">
        <v>0.70747741439319478</v>
      </c>
    </row>
    <row r="34" spans="2:26" x14ac:dyDescent="0.3">
      <c r="B34" s="46">
        <v>3</v>
      </c>
      <c r="C34" s="5" t="s">
        <v>63</v>
      </c>
      <c r="D34">
        <f t="shared" si="0"/>
        <v>0.5</v>
      </c>
      <c r="E34" s="36">
        <f t="shared" si="1"/>
        <v>2E-3</v>
      </c>
      <c r="F34">
        <f t="shared" si="2"/>
        <v>0.3</v>
      </c>
      <c r="G34">
        <v>1</v>
      </c>
      <c r="H34">
        <v>0.23600000000000002</v>
      </c>
      <c r="I34" s="35">
        <v>2.81</v>
      </c>
      <c r="J34" s="35">
        <v>2.81</v>
      </c>
      <c r="K34" s="35">
        <v>18.409552189126401</v>
      </c>
      <c r="L34" s="28">
        <v>49.397873133812404</v>
      </c>
      <c r="M34" s="38">
        <v>30.2</v>
      </c>
      <c r="N34" s="24">
        <v>8.3200225943932914E-3</v>
      </c>
      <c r="O34" s="35">
        <v>0.82</v>
      </c>
      <c r="P34" s="35">
        <v>19.052803483941201</v>
      </c>
      <c r="Q34" s="24">
        <v>8.3200225943932914E-3</v>
      </c>
      <c r="R34" s="35">
        <v>0.19352</v>
      </c>
      <c r="S34" s="55" t="s">
        <v>8</v>
      </c>
      <c r="T34" s="58" t="s">
        <v>8</v>
      </c>
      <c r="U34" s="35">
        <v>19.052803483941201</v>
      </c>
      <c r="V34" s="24">
        <f t="shared" si="3"/>
        <v>8.3200225943932914E-3</v>
      </c>
      <c r="W34" s="55" t="s">
        <v>8</v>
      </c>
      <c r="X34" s="55" t="s">
        <v>8</v>
      </c>
      <c r="Y34" s="35">
        <v>0.93847041567780065</v>
      </c>
      <c r="Z34" s="28">
        <v>0.58726972846783676</v>
      </c>
    </row>
    <row r="35" spans="2:26" x14ac:dyDescent="0.3">
      <c r="B35" s="46">
        <v>4</v>
      </c>
      <c r="C35" s="5" t="s">
        <v>63</v>
      </c>
      <c r="D35">
        <f t="shared" si="0"/>
        <v>0.5</v>
      </c>
      <c r="E35" s="36">
        <f t="shared" si="1"/>
        <v>2E-3</v>
      </c>
      <c r="F35">
        <f t="shared" si="2"/>
        <v>0.3</v>
      </c>
      <c r="G35">
        <v>1</v>
      </c>
      <c r="H35">
        <v>0.38</v>
      </c>
      <c r="I35" s="35">
        <v>2.81</v>
      </c>
      <c r="J35" s="35">
        <v>2.81</v>
      </c>
      <c r="K35" s="35">
        <v>18.368109043640601</v>
      </c>
      <c r="L35" s="28">
        <v>49.286669818167198</v>
      </c>
      <c r="M35" s="38">
        <v>30.3</v>
      </c>
      <c r="N35" s="24">
        <v>8.0950354184995237E-3</v>
      </c>
      <c r="O35" s="35">
        <v>0.62</v>
      </c>
      <c r="P35" s="35">
        <v>17.3380511703864</v>
      </c>
      <c r="Q35" s="24">
        <v>8.0950354184995237E-3</v>
      </c>
      <c r="R35" s="35">
        <v>0.2356</v>
      </c>
      <c r="S35" s="55" t="s">
        <v>8</v>
      </c>
      <c r="T35" s="58" t="s">
        <v>8</v>
      </c>
      <c r="U35" s="35">
        <v>17.3380511703864</v>
      </c>
      <c r="V35" s="24">
        <f t="shared" si="3"/>
        <v>8.0950354184995237E-3</v>
      </c>
      <c r="W35" s="55" t="s">
        <v>8</v>
      </c>
      <c r="X35" s="55" t="s">
        <v>8</v>
      </c>
      <c r="Y35" s="35">
        <v>1.0689802028574651</v>
      </c>
      <c r="Z35" s="28">
        <v>0.66510954599888394</v>
      </c>
    </row>
    <row r="36" spans="2:26" x14ac:dyDescent="0.3">
      <c r="B36" s="46">
        <v>5</v>
      </c>
      <c r="C36" s="5" t="s">
        <v>63</v>
      </c>
      <c r="D36">
        <f t="shared" si="0"/>
        <v>0.5</v>
      </c>
      <c r="E36" s="36">
        <f t="shared" si="1"/>
        <v>2E-3</v>
      </c>
      <c r="F36">
        <f t="shared" si="2"/>
        <v>0.3</v>
      </c>
      <c r="G36">
        <v>1</v>
      </c>
      <c r="H36">
        <v>0.37</v>
      </c>
      <c r="I36" s="35">
        <v>2.81</v>
      </c>
      <c r="J36" s="35">
        <v>2.81</v>
      </c>
      <c r="K36" s="35">
        <v>18.441379883486299</v>
      </c>
      <c r="L36" s="28">
        <v>49.4832755592479</v>
      </c>
      <c r="M36" s="38">
        <v>30.3</v>
      </c>
      <c r="N36" s="24">
        <v>9.1903225773597337E-3</v>
      </c>
      <c r="O36" s="35">
        <v>0.87</v>
      </c>
      <c r="P36" s="35">
        <v>20.226456178551899</v>
      </c>
      <c r="Q36" s="24">
        <v>9.1903225773597337E-3</v>
      </c>
      <c r="R36" s="35">
        <v>0.32190000000000002</v>
      </c>
      <c r="S36" s="55" t="s">
        <v>8</v>
      </c>
      <c r="T36" s="58" t="s">
        <v>8</v>
      </c>
      <c r="U36" s="35">
        <v>20.226456178551899</v>
      </c>
      <c r="V36" s="24">
        <f t="shared" si="3"/>
        <v>9.1903225773597337E-3</v>
      </c>
      <c r="W36" s="55" t="s">
        <v>8</v>
      </c>
      <c r="X36" s="55" t="s">
        <v>8</v>
      </c>
      <c r="Y36" s="35">
        <v>0.8946780380940943</v>
      </c>
      <c r="Z36" s="28">
        <v>0.57254398605467605</v>
      </c>
    </row>
    <row r="37" spans="2:26" x14ac:dyDescent="0.3">
      <c r="B37" s="46">
        <v>6</v>
      </c>
      <c r="C37" s="5" t="s">
        <v>63</v>
      </c>
      <c r="D37">
        <f t="shared" si="0"/>
        <v>0.5</v>
      </c>
      <c r="E37" s="36">
        <f t="shared" si="1"/>
        <v>2E-3</v>
      </c>
      <c r="F37">
        <f t="shared" si="2"/>
        <v>0.3</v>
      </c>
      <c r="G37">
        <v>1</v>
      </c>
      <c r="H37">
        <v>0.17199999999999999</v>
      </c>
      <c r="I37" s="35">
        <v>2.81</v>
      </c>
      <c r="J37" s="35">
        <v>2.81</v>
      </c>
      <c r="K37" s="35">
        <v>18.5788117597331</v>
      </c>
      <c r="L37" s="28">
        <v>49.852042942486797</v>
      </c>
      <c r="M37" s="38">
        <v>30.5</v>
      </c>
      <c r="N37" s="24">
        <v>9.2977658366679809E-3</v>
      </c>
      <c r="O37" s="35">
        <v>0.95</v>
      </c>
      <c r="P37" s="35">
        <v>25.3783342406096</v>
      </c>
      <c r="Q37" s="24">
        <v>9.2977658366679809E-3</v>
      </c>
      <c r="R37" s="35">
        <v>0.16339999999999999</v>
      </c>
      <c r="S37" s="55" t="s">
        <v>8</v>
      </c>
      <c r="T37" s="58" t="s">
        <v>8</v>
      </c>
      <c r="U37" s="35">
        <v>25.3783342406096</v>
      </c>
      <c r="V37" s="24">
        <f t="shared" si="3"/>
        <v>9.2977658366679809E-3</v>
      </c>
      <c r="W37" s="55" t="s">
        <v>8</v>
      </c>
      <c r="X37" s="55" t="s">
        <v>8</v>
      </c>
      <c r="Y37" s="35">
        <v>0.45275911800655955</v>
      </c>
      <c r="Z37" s="28">
        <v>0.29067973186432666</v>
      </c>
    </row>
    <row r="38" spans="2:26" x14ac:dyDescent="0.3">
      <c r="B38" s="46">
        <v>7</v>
      </c>
      <c r="C38" s="5" t="s">
        <v>63</v>
      </c>
      <c r="D38">
        <f t="shared" si="0"/>
        <v>0.5</v>
      </c>
      <c r="E38" s="36">
        <f t="shared" si="1"/>
        <v>2E-3</v>
      </c>
      <c r="F38">
        <f t="shared" si="2"/>
        <v>0.3</v>
      </c>
      <c r="G38">
        <v>1</v>
      </c>
      <c r="H38">
        <v>0.35899999999999999</v>
      </c>
      <c r="I38" s="35">
        <v>2.81</v>
      </c>
      <c r="J38" s="35">
        <v>2.81</v>
      </c>
      <c r="K38" s="35">
        <v>18.6001796954497</v>
      </c>
      <c r="L38" s="28">
        <v>49.909378969285001</v>
      </c>
      <c r="M38" s="38">
        <v>32.4</v>
      </c>
      <c r="N38" s="24">
        <v>1.759255514889959E-2</v>
      </c>
      <c r="O38" s="35">
        <v>0.56999999999999995</v>
      </c>
      <c r="P38" s="35">
        <v>24.7762656505171</v>
      </c>
      <c r="Q38" s="24">
        <v>1.759255514889959E-2</v>
      </c>
      <c r="R38" s="35">
        <v>0.20462999999999998</v>
      </c>
      <c r="S38" s="55" t="s">
        <v>8</v>
      </c>
      <c r="T38" s="58" t="s">
        <v>8</v>
      </c>
      <c r="U38" s="35">
        <v>24.7762656505171</v>
      </c>
      <c r="V38" s="24">
        <f t="shared" si="3"/>
        <v>1.759255514889959E-2</v>
      </c>
      <c r="W38" s="55" t="s">
        <v>8</v>
      </c>
      <c r="X38" s="55" t="s">
        <v>8</v>
      </c>
      <c r="Y38" s="35">
        <v>1.0800905411441084</v>
      </c>
      <c r="Z38" s="28">
        <v>0.79338085866796448</v>
      </c>
    </row>
    <row r="39" spans="2:26" x14ac:dyDescent="0.3">
      <c r="B39" s="46">
        <v>8</v>
      </c>
      <c r="C39" s="5" t="s">
        <v>63</v>
      </c>
      <c r="D39">
        <f t="shared" si="0"/>
        <v>0.5</v>
      </c>
      <c r="E39" s="36">
        <f t="shared" si="1"/>
        <v>2E-3</v>
      </c>
      <c r="F39">
        <f t="shared" si="2"/>
        <v>0.3</v>
      </c>
      <c r="G39">
        <v>1</v>
      </c>
      <c r="H39">
        <v>0.36700000000000005</v>
      </c>
      <c r="I39" s="35">
        <v>2.81</v>
      </c>
      <c r="J39" s="35">
        <v>2.81</v>
      </c>
      <c r="K39" s="35">
        <v>18.554985529711502</v>
      </c>
      <c r="L39" s="28">
        <v>49.788110638443001</v>
      </c>
      <c r="M39" s="38">
        <v>35.1</v>
      </c>
      <c r="N39" s="24">
        <v>9.9283395349477905E-3</v>
      </c>
      <c r="O39" s="35">
        <v>0.54</v>
      </c>
      <c r="P39" s="35">
        <v>19.883505715841</v>
      </c>
      <c r="Q39" s="24">
        <v>9.9283395349477905E-3</v>
      </c>
      <c r="R39" s="35">
        <v>0.19818000000000005</v>
      </c>
      <c r="S39" s="55" t="s">
        <v>8</v>
      </c>
      <c r="T39" s="58" t="s">
        <v>8</v>
      </c>
      <c r="U39" s="35">
        <v>19.883505715841</v>
      </c>
      <c r="V39" s="24">
        <f t="shared" si="3"/>
        <v>9.9283395349477905E-3</v>
      </c>
      <c r="W39" s="55" t="s">
        <v>8</v>
      </c>
      <c r="X39" s="55" t="s">
        <v>8</v>
      </c>
      <c r="Y39" s="35">
        <v>1.0849350641683586</v>
      </c>
      <c r="Z39" s="28">
        <v>0.7167737273496082</v>
      </c>
    </row>
    <row r="40" spans="2:26" x14ac:dyDescent="0.3">
      <c r="B40" s="46">
        <v>9</v>
      </c>
      <c r="C40" s="5" t="s">
        <v>63</v>
      </c>
      <c r="D40">
        <f t="shared" si="0"/>
        <v>0.5</v>
      </c>
      <c r="E40" s="36">
        <f t="shared" si="1"/>
        <v>2E-3</v>
      </c>
      <c r="F40">
        <f t="shared" si="2"/>
        <v>0.3</v>
      </c>
      <c r="G40">
        <v>1</v>
      </c>
      <c r="H40">
        <v>0.32200000000000001</v>
      </c>
      <c r="I40" s="35">
        <v>2.81</v>
      </c>
      <c r="J40" s="35">
        <v>2.81</v>
      </c>
      <c r="K40" s="35">
        <v>18.678523385022601</v>
      </c>
      <c r="L40" s="28">
        <v>50.119596556252702</v>
      </c>
      <c r="M40" s="38">
        <v>36.799999999999997</v>
      </c>
      <c r="N40" s="24">
        <v>1.1712302690966108E-2</v>
      </c>
      <c r="O40" s="35">
        <v>0.57999999999999996</v>
      </c>
      <c r="P40" s="35">
        <v>23.114861186717398</v>
      </c>
      <c r="Q40" s="24">
        <v>1.1712302690966108E-2</v>
      </c>
      <c r="R40" s="35">
        <v>0.18675999999999998</v>
      </c>
      <c r="S40" s="55" t="s">
        <v>8</v>
      </c>
      <c r="T40" s="58" t="s">
        <v>8</v>
      </c>
      <c r="U40" s="35">
        <v>23.114861186717398</v>
      </c>
      <c r="V40" s="24">
        <f t="shared" si="3"/>
        <v>1.1712302690966108E-2</v>
      </c>
      <c r="W40" s="55" t="s">
        <v>8</v>
      </c>
      <c r="X40" s="55" t="s">
        <v>8</v>
      </c>
      <c r="Y40" s="35">
        <v>0.97745407041396282</v>
      </c>
      <c r="Z40" s="28">
        <v>0.67067526815087242</v>
      </c>
    </row>
    <row r="41" spans="2:26" x14ac:dyDescent="0.3">
      <c r="B41" s="46">
        <v>10</v>
      </c>
      <c r="C41" s="5" t="s">
        <v>63</v>
      </c>
      <c r="D41">
        <f t="shared" si="0"/>
        <v>0.5</v>
      </c>
      <c r="E41" s="36">
        <f t="shared" si="1"/>
        <v>2E-3</v>
      </c>
      <c r="F41">
        <f t="shared" si="2"/>
        <v>0.3</v>
      </c>
      <c r="G41">
        <v>1</v>
      </c>
      <c r="H41">
        <v>0.36899999999999999</v>
      </c>
      <c r="I41" s="35">
        <v>2.81</v>
      </c>
      <c r="J41" s="35">
        <v>2.81</v>
      </c>
      <c r="K41" s="35">
        <v>18.589338530951899</v>
      </c>
      <c r="L41" s="28">
        <v>49.880289154226801</v>
      </c>
      <c r="M41" s="38">
        <v>38.200000000000003</v>
      </c>
      <c r="N41" s="24">
        <v>9.2316697998451065E-3</v>
      </c>
      <c r="O41" s="35">
        <v>0.51</v>
      </c>
      <c r="P41" s="35">
        <v>18.084921066956898</v>
      </c>
      <c r="Q41" s="24">
        <v>9.2316697998451065E-3</v>
      </c>
      <c r="R41" s="35">
        <v>0.18819</v>
      </c>
      <c r="S41" s="55" t="s">
        <v>8</v>
      </c>
      <c r="T41" s="58" t="s">
        <v>8</v>
      </c>
      <c r="U41" s="35">
        <v>18.084921066956898</v>
      </c>
      <c r="V41" s="24">
        <f t="shared" si="3"/>
        <v>9.2316697998451065E-3</v>
      </c>
      <c r="W41" s="55" t="s">
        <v>8</v>
      </c>
      <c r="X41" s="55" t="s">
        <v>8</v>
      </c>
      <c r="Y41" s="35">
        <v>1.2039128235400813</v>
      </c>
      <c r="Z41" s="28">
        <v>0.7910945118235102</v>
      </c>
    </row>
    <row r="42" spans="2:26" x14ac:dyDescent="0.3">
      <c r="B42" s="46">
        <v>11</v>
      </c>
      <c r="C42" s="5" t="s">
        <v>63</v>
      </c>
      <c r="D42">
        <f t="shared" si="0"/>
        <v>0.5</v>
      </c>
      <c r="E42" s="36">
        <f t="shared" si="1"/>
        <v>2E-3</v>
      </c>
      <c r="F42">
        <f t="shared" si="2"/>
        <v>0.3</v>
      </c>
      <c r="G42">
        <v>1</v>
      </c>
      <c r="H42">
        <v>0.376</v>
      </c>
      <c r="I42" s="35">
        <v>2.81</v>
      </c>
      <c r="J42" s="35">
        <v>2.81</v>
      </c>
      <c r="K42" s="35">
        <v>18.793589282253599</v>
      </c>
      <c r="L42" s="28">
        <v>50.428349889036397</v>
      </c>
      <c r="M42" s="38">
        <v>40.200000000000003</v>
      </c>
      <c r="N42" s="24">
        <v>1.5088219391693778E-2</v>
      </c>
      <c r="O42" s="35">
        <v>0.83</v>
      </c>
      <c r="P42" s="35">
        <v>24.4637996733805</v>
      </c>
      <c r="Q42" s="24">
        <v>1.5088219391693778E-2</v>
      </c>
      <c r="R42" s="35">
        <v>0.31207999999999997</v>
      </c>
      <c r="S42" s="55" t="s">
        <v>8</v>
      </c>
      <c r="T42" s="58" t="s">
        <v>8</v>
      </c>
      <c r="U42" s="35">
        <v>24.4637996733805</v>
      </c>
      <c r="V42" s="24">
        <f t="shared" si="3"/>
        <v>1.5088219391693778E-2</v>
      </c>
      <c r="W42" s="55" t="s">
        <v>8</v>
      </c>
      <c r="X42" s="55" t="s">
        <v>8</v>
      </c>
      <c r="Y42" s="35">
        <v>1.0933487452316721</v>
      </c>
      <c r="Z42" s="28">
        <v>0.79261868453359696</v>
      </c>
    </row>
    <row r="43" spans="2:26" x14ac:dyDescent="0.3">
      <c r="B43" s="46">
        <v>12</v>
      </c>
      <c r="C43" s="5" t="s">
        <v>63</v>
      </c>
      <c r="D43">
        <f t="shared" si="0"/>
        <v>0.5</v>
      </c>
      <c r="E43" s="36">
        <f t="shared" si="1"/>
        <v>2E-3</v>
      </c>
      <c r="F43">
        <f t="shared" si="2"/>
        <v>0.3</v>
      </c>
      <c r="G43">
        <v>1</v>
      </c>
      <c r="H43">
        <v>0.48299999999999998</v>
      </c>
      <c r="I43" s="35">
        <v>2.81</v>
      </c>
      <c r="J43" s="35">
        <v>2.81</v>
      </c>
      <c r="K43" s="35">
        <v>18.768482943769701</v>
      </c>
      <c r="L43" s="28">
        <v>50.360982703211299</v>
      </c>
      <c r="M43" s="38">
        <v>42.2</v>
      </c>
      <c r="N43" s="24">
        <v>9.3492892738094666E-3</v>
      </c>
      <c r="O43" s="35">
        <v>0.67</v>
      </c>
      <c r="P43" s="35">
        <v>21.0876428960261</v>
      </c>
      <c r="Q43" s="24">
        <v>9.3492892738094666E-3</v>
      </c>
      <c r="R43" s="35">
        <v>0.32361000000000001</v>
      </c>
      <c r="S43" s="55" t="s">
        <v>8</v>
      </c>
      <c r="T43" s="58" t="s">
        <v>8</v>
      </c>
      <c r="U43" s="35">
        <v>21.0876428960261</v>
      </c>
      <c r="V43" s="24">
        <f t="shared" si="3"/>
        <v>9.3492892738094666E-3</v>
      </c>
      <c r="W43" s="55" t="s">
        <v>8</v>
      </c>
      <c r="X43" s="55" t="s">
        <v>8</v>
      </c>
      <c r="Y43" s="35">
        <v>1.0835197254423938</v>
      </c>
      <c r="Z43" s="28">
        <v>0.72212417085106517</v>
      </c>
    </row>
    <row r="44" spans="2:26" x14ac:dyDescent="0.3">
      <c r="B44" s="46">
        <v>13</v>
      </c>
      <c r="C44" s="5" t="s">
        <v>63</v>
      </c>
      <c r="D44">
        <f t="shared" si="0"/>
        <v>0.5</v>
      </c>
      <c r="E44" s="36">
        <f t="shared" si="1"/>
        <v>2E-3</v>
      </c>
      <c r="F44">
        <f t="shared" si="2"/>
        <v>0.3</v>
      </c>
      <c r="G44">
        <v>1</v>
      </c>
      <c r="H44">
        <v>0.308</v>
      </c>
      <c r="I44" s="35">
        <v>2.81</v>
      </c>
      <c r="J44" s="35">
        <v>2.81</v>
      </c>
      <c r="K44" s="35">
        <v>18.887544120769501</v>
      </c>
      <c r="L44" s="28">
        <v>50.680456466406497</v>
      </c>
      <c r="M44" s="38">
        <v>43.9</v>
      </c>
      <c r="N44" s="24">
        <v>1.1388729368580012E-2</v>
      </c>
      <c r="O44" s="35">
        <v>0.59</v>
      </c>
      <c r="P44" s="35">
        <v>24.204681545998898</v>
      </c>
      <c r="Q44" s="24">
        <v>1.1388729368580012E-2</v>
      </c>
      <c r="R44" s="35">
        <v>0.18171999999999999</v>
      </c>
      <c r="S44" s="55" t="s">
        <v>8</v>
      </c>
      <c r="T44" s="58" t="s">
        <v>8</v>
      </c>
      <c r="U44" s="35">
        <v>24.204681545998898</v>
      </c>
      <c r="V44" s="24">
        <f t="shared" si="3"/>
        <v>1.1388729368580012E-2</v>
      </c>
      <c r="W44" s="55" t="s">
        <v>8</v>
      </c>
      <c r="X44" s="55" t="s">
        <v>8</v>
      </c>
      <c r="Y44" s="35">
        <v>1.0151622406140723</v>
      </c>
      <c r="Z44" s="28">
        <v>0.70501667413066094</v>
      </c>
    </row>
    <row r="45" spans="2:26" x14ac:dyDescent="0.3">
      <c r="B45" s="46">
        <v>14</v>
      </c>
      <c r="C45" s="5" t="s">
        <v>63</v>
      </c>
      <c r="D45">
        <f t="shared" si="0"/>
        <v>0.5</v>
      </c>
      <c r="E45" s="36">
        <f t="shared" si="1"/>
        <v>2E-3</v>
      </c>
      <c r="F45">
        <f t="shared" si="2"/>
        <v>0.3</v>
      </c>
      <c r="G45">
        <v>1</v>
      </c>
      <c r="H45">
        <v>0.41700000000000004</v>
      </c>
      <c r="I45" s="35">
        <v>2.81</v>
      </c>
      <c r="J45" s="35">
        <v>2.81</v>
      </c>
      <c r="K45" s="35">
        <v>18.867344754585599</v>
      </c>
      <c r="L45" s="28">
        <v>50.626256031877404</v>
      </c>
      <c r="M45" s="38">
        <v>44.1</v>
      </c>
      <c r="N45" s="24">
        <v>1.4453903596287407E-2</v>
      </c>
      <c r="O45" s="35">
        <v>0.77</v>
      </c>
      <c r="P45" s="35">
        <v>23.4349482852476</v>
      </c>
      <c r="Q45" s="24">
        <v>1.4453903596287407E-2</v>
      </c>
      <c r="R45" s="35">
        <v>0.32109000000000004</v>
      </c>
      <c r="S45" s="55" t="s">
        <v>8</v>
      </c>
      <c r="T45" s="58" t="s">
        <v>8</v>
      </c>
      <c r="U45" s="35">
        <v>23.4349482852476</v>
      </c>
      <c r="V45" s="24">
        <f t="shared" si="3"/>
        <v>1.4453903596287407E-2</v>
      </c>
      <c r="W45" s="55" t="s">
        <v>8</v>
      </c>
      <c r="X45" s="55" t="s">
        <v>8</v>
      </c>
      <c r="Y45" s="35">
        <v>1.1668808154652861</v>
      </c>
      <c r="Z45" s="28">
        <v>0.84586888280498473</v>
      </c>
    </row>
    <row r="46" spans="2:26" x14ac:dyDescent="0.3">
      <c r="B46" s="46">
        <v>15</v>
      </c>
      <c r="C46" s="5" t="s">
        <v>63</v>
      </c>
      <c r="D46">
        <f t="shared" si="0"/>
        <v>0.5</v>
      </c>
      <c r="E46" s="36">
        <f t="shared" si="1"/>
        <v>2E-3</v>
      </c>
      <c r="F46">
        <f t="shared" si="2"/>
        <v>0.3</v>
      </c>
      <c r="G46">
        <v>1</v>
      </c>
      <c r="H46">
        <v>0.33700000000000002</v>
      </c>
      <c r="I46" s="35">
        <v>2.81</v>
      </c>
      <c r="J46" s="35">
        <v>2.81</v>
      </c>
      <c r="K46" s="35">
        <v>18.813692833717798</v>
      </c>
      <c r="L46" s="28">
        <v>50.482293226416999</v>
      </c>
      <c r="M46" s="38">
        <v>44.2</v>
      </c>
      <c r="N46" s="24">
        <v>9.8075552020994872E-3</v>
      </c>
      <c r="O46" s="35">
        <v>0.55000000000000004</v>
      </c>
      <c r="P46" s="35">
        <v>20.8894937397931</v>
      </c>
      <c r="Q46" s="24">
        <v>9.8075552020994872E-3</v>
      </c>
      <c r="R46" s="35">
        <v>0.18535000000000001</v>
      </c>
      <c r="S46" s="55" t="s">
        <v>8</v>
      </c>
      <c r="T46" s="58" t="s">
        <v>8</v>
      </c>
      <c r="U46" s="35">
        <v>20.8894937397931</v>
      </c>
      <c r="V46" s="24">
        <f t="shared" si="3"/>
        <v>9.8075552020994872E-3</v>
      </c>
      <c r="W46" s="55" t="s">
        <v>8</v>
      </c>
      <c r="X46" s="55" t="s">
        <v>8</v>
      </c>
      <c r="Y46" s="35">
        <v>1.1297888540414194</v>
      </c>
      <c r="Z46" s="28">
        <v>0.76391786751592128</v>
      </c>
    </row>
    <row r="47" spans="2:26" x14ac:dyDescent="0.3">
      <c r="B47" s="46">
        <v>16</v>
      </c>
      <c r="C47" s="5" t="s">
        <v>65</v>
      </c>
      <c r="D47">
        <v>0.75</v>
      </c>
      <c r="E47" s="36">
        <v>3.5000000000000001E-3</v>
      </c>
      <c r="F47">
        <v>0.3</v>
      </c>
      <c r="G47">
        <v>1</v>
      </c>
      <c r="H47">
        <v>0.32500000000000001</v>
      </c>
      <c r="I47" s="35">
        <v>2.81</v>
      </c>
      <c r="J47" s="35">
        <v>2.81</v>
      </c>
      <c r="K47" s="35">
        <v>10.6637371462384</v>
      </c>
      <c r="L47" s="28">
        <v>28.613728855030999</v>
      </c>
      <c r="M47" s="38">
        <v>35.5</v>
      </c>
      <c r="N47" s="24">
        <v>1.08916789845473E-2</v>
      </c>
      <c r="O47" s="35">
        <v>1</v>
      </c>
      <c r="P47">
        <v>23.7</v>
      </c>
      <c r="Q47" s="24">
        <v>1.08916789845473E-2</v>
      </c>
      <c r="R47" s="35">
        <v>0.32500000000000001</v>
      </c>
      <c r="S47" s="55" t="s">
        <v>8</v>
      </c>
      <c r="T47" s="58" t="s">
        <v>8</v>
      </c>
      <c r="U47">
        <v>23.7</v>
      </c>
      <c r="V47" s="24">
        <v>1.08916789845473E-2</v>
      </c>
      <c r="W47" s="55" t="s">
        <v>8</v>
      </c>
      <c r="X47" s="55" t="s">
        <v>8</v>
      </c>
      <c r="Y47">
        <v>0.86</v>
      </c>
      <c r="Z47" s="28">
        <v>0.58358453993443304</v>
      </c>
    </row>
    <row r="48" spans="2:26" x14ac:dyDescent="0.3">
      <c r="B48" s="46">
        <v>17</v>
      </c>
      <c r="C48" s="5" t="s">
        <v>65</v>
      </c>
      <c r="D48">
        <v>0.875</v>
      </c>
      <c r="E48" s="36">
        <v>2.7499999999999998E-3</v>
      </c>
      <c r="F48">
        <v>0.3</v>
      </c>
      <c r="G48">
        <v>1</v>
      </c>
      <c r="H48">
        <v>0.23749999999999999</v>
      </c>
      <c r="I48" s="35">
        <v>2.81</v>
      </c>
      <c r="J48" s="35">
        <v>2.81</v>
      </c>
      <c r="K48" s="35">
        <v>13.719466514819301</v>
      </c>
      <c r="L48" s="28">
        <v>36.813088086027498</v>
      </c>
      <c r="M48" s="38">
        <v>40.25</v>
      </c>
      <c r="N48" s="24">
        <v>1.90275189094509E-2</v>
      </c>
      <c r="O48" s="35">
        <v>0.75</v>
      </c>
      <c r="P48">
        <v>27.5</v>
      </c>
      <c r="Q48" s="24">
        <v>1.90275189094509E-2</v>
      </c>
      <c r="R48" s="35">
        <v>0.17812499999999998</v>
      </c>
      <c r="S48" s="55" t="s">
        <v>8</v>
      </c>
      <c r="T48" s="58" t="s">
        <v>8</v>
      </c>
      <c r="U48">
        <v>27.5</v>
      </c>
      <c r="V48" s="24">
        <v>1.90275189094509E-2</v>
      </c>
      <c r="W48" s="55" t="s">
        <v>8</v>
      </c>
      <c r="X48" s="55" t="s">
        <v>8</v>
      </c>
      <c r="Y48">
        <v>1.05</v>
      </c>
      <c r="Z48" s="28">
        <v>0.78717209562367196</v>
      </c>
    </row>
    <row r="49" spans="2:26" x14ac:dyDescent="0.3">
      <c r="B49" s="46">
        <v>18</v>
      </c>
      <c r="C49" s="5" t="s">
        <v>65</v>
      </c>
      <c r="D49">
        <v>0.625</v>
      </c>
      <c r="E49" s="36">
        <v>2.7499999999999998E-3</v>
      </c>
      <c r="F49">
        <v>0.3</v>
      </c>
      <c r="G49">
        <v>1</v>
      </c>
      <c r="H49">
        <v>0.23749999999999999</v>
      </c>
      <c r="I49" s="35">
        <v>2.81</v>
      </c>
      <c r="J49" s="35">
        <v>2.81</v>
      </c>
      <c r="K49" s="35">
        <v>13.741357737129301</v>
      </c>
      <c r="L49" s="28">
        <v>36.871828234147799</v>
      </c>
      <c r="M49" s="38">
        <v>40.25</v>
      </c>
      <c r="N49" s="24">
        <v>1.90275189094509E-2</v>
      </c>
      <c r="O49" s="35">
        <v>0.75</v>
      </c>
      <c r="P49">
        <v>28.7</v>
      </c>
      <c r="Q49" s="24">
        <v>1.90275189094509E-2</v>
      </c>
      <c r="R49" s="35">
        <v>0.17812499999999998</v>
      </c>
      <c r="S49" s="55" t="s">
        <v>8</v>
      </c>
      <c r="T49" s="58" t="s">
        <v>8</v>
      </c>
      <c r="U49">
        <v>28.7</v>
      </c>
      <c r="V49" s="24">
        <v>1.90275189094509E-2</v>
      </c>
      <c r="W49" s="55" t="s">
        <v>8</v>
      </c>
      <c r="X49" s="55" t="s">
        <v>8</v>
      </c>
      <c r="Y49">
        <v>0.94</v>
      </c>
      <c r="Z49" s="28">
        <v>0.71308531015320897</v>
      </c>
    </row>
    <row r="50" spans="2:26" x14ac:dyDescent="0.3">
      <c r="B50" s="46">
        <v>19</v>
      </c>
      <c r="C50" s="5" t="s">
        <v>65</v>
      </c>
      <c r="D50">
        <v>0.75</v>
      </c>
      <c r="E50" s="36">
        <v>3.5000000000000001E-3</v>
      </c>
      <c r="F50">
        <v>0.3</v>
      </c>
      <c r="G50">
        <v>1</v>
      </c>
      <c r="H50">
        <v>0.32500000000000001</v>
      </c>
      <c r="I50" s="35">
        <v>2.81</v>
      </c>
      <c r="J50" s="35">
        <v>2.81</v>
      </c>
      <c r="K50" s="35">
        <v>10.6637371462384</v>
      </c>
      <c r="L50" s="28">
        <v>28.613728855030999</v>
      </c>
      <c r="M50" s="38">
        <v>35.5</v>
      </c>
      <c r="N50" s="24">
        <v>1.08916789845473E-2</v>
      </c>
      <c r="O50" s="35">
        <v>1</v>
      </c>
      <c r="P50">
        <v>23.7</v>
      </c>
      <c r="Q50" s="24">
        <v>1.08916789845473E-2</v>
      </c>
      <c r="R50" s="35">
        <v>0.32500000000000001</v>
      </c>
      <c r="S50" s="55" t="s">
        <v>8</v>
      </c>
      <c r="T50" s="58" t="s">
        <v>8</v>
      </c>
      <c r="U50">
        <v>23.7</v>
      </c>
      <c r="V50" s="24">
        <v>1.08916789845473E-2</v>
      </c>
      <c r="W50" s="55" t="s">
        <v>8</v>
      </c>
      <c r="X50" s="55" t="s">
        <v>8</v>
      </c>
      <c r="Y50">
        <v>0.86</v>
      </c>
      <c r="Z50" s="28">
        <v>0.58358453993443304</v>
      </c>
    </row>
    <row r="51" spans="2:26" x14ac:dyDescent="0.3">
      <c r="B51" s="46">
        <v>20</v>
      </c>
      <c r="C51" s="5" t="s">
        <v>65</v>
      </c>
      <c r="D51">
        <v>0.625</v>
      </c>
      <c r="E51" s="36">
        <v>2.7499999999999998E-3</v>
      </c>
      <c r="F51">
        <v>0.3</v>
      </c>
      <c r="G51">
        <v>1</v>
      </c>
      <c r="H51">
        <v>0.41249999999999998</v>
      </c>
      <c r="I51" s="35">
        <v>2.81</v>
      </c>
      <c r="J51" s="35">
        <v>2.81</v>
      </c>
      <c r="K51" s="35">
        <v>13.4004280031658</v>
      </c>
      <c r="L51" s="28">
        <v>35.9570203358969</v>
      </c>
      <c r="M51" s="38">
        <v>30.75</v>
      </c>
      <c r="N51" s="24">
        <v>5.5147537405077296E-3</v>
      </c>
      <c r="O51" s="35">
        <v>1.25</v>
      </c>
      <c r="P51">
        <v>19</v>
      </c>
      <c r="Q51" s="24">
        <v>5.5147537405077296E-3</v>
      </c>
      <c r="R51" s="35">
        <v>0.515625</v>
      </c>
      <c r="S51" s="55" t="s">
        <v>8</v>
      </c>
      <c r="T51" s="58" t="s">
        <v>8</v>
      </c>
      <c r="U51">
        <v>19</v>
      </c>
      <c r="V51" s="24">
        <v>5.5147537405077296E-3</v>
      </c>
      <c r="W51" s="55" t="s">
        <v>8</v>
      </c>
      <c r="X51" s="55" t="s">
        <v>8</v>
      </c>
      <c r="Y51">
        <v>0.81</v>
      </c>
      <c r="Z51" s="28">
        <v>0.46050114750849402</v>
      </c>
    </row>
    <row r="52" spans="2:26" x14ac:dyDescent="0.3">
      <c r="B52" s="46">
        <v>21</v>
      </c>
      <c r="C52" s="5" t="s">
        <v>65</v>
      </c>
      <c r="D52">
        <v>0.625</v>
      </c>
      <c r="E52" s="36">
        <v>2.7499999999999998E-3</v>
      </c>
      <c r="F52">
        <v>0.3</v>
      </c>
      <c r="G52">
        <v>1</v>
      </c>
      <c r="H52">
        <v>0.23749999999999999</v>
      </c>
      <c r="I52" s="35">
        <v>2.81</v>
      </c>
      <c r="J52" s="35">
        <v>2.81</v>
      </c>
      <c r="K52" s="35">
        <v>13.7270493149373</v>
      </c>
      <c r="L52" s="28">
        <v>36.833434816593403</v>
      </c>
      <c r="M52" s="38">
        <v>40.25</v>
      </c>
      <c r="N52" s="24">
        <v>9.3704221146265598E-3</v>
      </c>
      <c r="O52" s="35">
        <v>1.25</v>
      </c>
      <c r="P52">
        <v>27.2</v>
      </c>
      <c r="Q52" s="24">
        <v>9.3704221146265598E-3</v>
      </c>
      <c r="R52" s="35">
        <v>0.296875</v>
      </c>
      <c r="S52" s="55" t="s">
        <v>8</v>
      </c>
      <c r="T52" s="58" t="s">
        <v>8</v>
      </c>
      <c r="U52">
        <v>27.2</v>
      </c>
      <c r="V52" s="24">
        <v>9.3704221146265598E-3</v>
      </c>
      <c r="W52" s="55" t="s">
        <v>8</v>
      </c>
      <c r="X52" s="55" t="s">
        <v>8</v>
      </c>
      <c r="Y52">
        <v>0.72</v>
      </c>
      <c r="Z52" s="28">
        <v>0.47885557321918198</v>
      </c>
    </row>
    <row r="53" spans="2:26" x14ac:dyDescent="0.3">
      <c r="B53" s="46">
        <v>22</v>
      </c>
      <c r="C53" s="5" t="s">
        <v>65</v>
      </c>
      <c r="D53">
        <v>0.75</v>
      </c>
      <c r="E53" s="36">
        <v>3.5000000000000001E-3</v>
      </c>
      <c r="F53">
        <v>0.3</v>
      </c>
      <c r="G53">
        <v>1</v>
      </c>
      <c r="H53">
        <v>0.32500000000000001</v>
      </c>
      <c r="I53" s="35">
        <v>2.81</v>
      </c>
      <c r="J53" s="35">
        <v>2.81</v>
      </c>
      <c r="K53" s="35">
        <v>10.6637371462384</v>
      </c>
      <c r="L53" s="28">
        <v>28.613728855030999</v>
      </c>
      <c r="M53" s="38">
        <v>35.5</v>
      </c>
      <c r="N53" s="24">
        <v>1.08916789845473E-2</v>
      </c>
      <c r="O53" s="35">
        <v>1</v>
      </c>
      <c r="P53">
        <v>23.7</v>
      </c>
      <c r="Q53" s="24">
        <v>1.08916789845473E-2</v>
      </c>
      <c r="R53" s="35">
        <v>0.32500000000000001</v>
      </c>
      <c r="S53" s="55" t="s">
        <v>8</v>
      </c>
      <c r="T53" s="58" t="s">
        <v>8</v>
      </c>
      <c r="U53">
        <v>23.7</v>
      </c>
      <c r="V53" s="24">
        <v>1.08916789845473E-2</v>
      </c>
      <c r="W53" s="55" t="s">
        <v>8</v>
      </c>
      <c r="X53" s="55" t="s">
        <v>8</v>
      </c>
      <c r="Y53">
        <v>0.86</v>
      </c>
      <c r="Z53" s="28">
        <v>0.58358453993443304</v>
      </c>
    </row>
    <row r="54" spans="2:26" x14ac:dyDescent="0.3">
      <c r="B54" s="46">
        <v>23</v>
      </c>
      <c r="C54" s="5" t="s">
        <v>65</v>
      </c>
      <c r="D54">
        <v>0.625</v>
      </c>
      <c r="E54" s="36">
        <v>2.7499999999999998E-3</v>
      </c>
      <c r="F54">
        <v>0.3</v>
      </c>
      <c r="G54">
        <v>1</v>
      </c>
      <c r="H54">
        <v>0.41249999999999998</v>
      </c>
      <c r="I54" s="35">
        <v>2.81</v>
      </c>
      <c r="J54" s="35">
        <v>2.81</v>
      </c>
      <c r="K54" s="35">
        <v>13.7121660784212</v>
      </c>
      <c r="L54" s="28">
        <v>36.793499014696003</v>
      </c>
      <c r="M54" s="38">
        <v>40.25</v>
      </c>
      <c r="N54" s="24">
        <v>1.90275189094509E-2</v>
      </c>
      <c r="O54" s="35">
        <v>0.75</v>
      </c>
      <c r="P54">
        <v>27.1</v>
      </c>
      <c r="Q54" s="24">
        <v>1.90275189094509E-2</v>
      </c>
      <c r="R54" s="35">
        <v>0.30937499999999996</v>
      </c>
      <c r="S54" s="55" t="s">
        <v>8</v>
      </c>
      <c r="T54" s="58" t="s">
        <v>8</v>
      </c>
      <c r="U54">
        <v>27.1</v>
      </c>
      <c r="V54" s="24">
        <v>1.90275189094509E-2</v>
      </c>
      <c r="W54" s="55" t="s">
        <v>8</v>
      </c>
      <c r="X54" s="55" t="s">
        <v>8</v>
      </c>
      <c r="Y54">
        <v>1.07</v>
      </c>
      <c r="Z54" s="28">
        <v>0.81186769078049303</v>
      </c>
    </row>
    <row r="55" spans="2:26" x14ac:dyDescent="0.3">
      <c r="B55" s="46">
        <v>24</v>
      </c>
      <c r="C55" s="5" t="s">
        <v>65</v>
      </c>
      <c r="D55">
        <v>0.625</v>
      </c>
      <c r="E55" s="36">
        <v>4.2500000000000003E-3</v>
      </c>
      <c r="F55">
        <v>0.3</v>
      </c>
      <c r="G55">
        <v>1</v>
      </c>
      <c r="H55">
        <v>0.41249999999999998</v>
      </c>
      <c r="I55" s="35">
        <v>2.81</v>
      </c>
      <c r="J55" s="35">
        <v>2.81</v>
      </c>
      <c r="K55" s="35">
        <v>8.8473859163522999</v>
      </c>
      <c r="L55" s="28">
        <v>23.739960786226501</v>
      </c>
      <c r="M55" s="38">
        <v>40.25</v>
      </c>
      <c r="N55" s="24">
        <v>9.3704221146265598E-3</v>
      </c>
      <c r="O55" s="35">
        <v>0.75</v>
      </c>
      <c r="P55">
        <v>24.3</v>
      </c>
      <c r="Q55" s="24">
        <v>9.3704221146265598E-3</v>
      </c>
      <c r="R55" s="35">
        <v>0.30937499999999996</v>
      </c>
      <c r="S55" s="55" t="s">
        <v>8</v>
      </c>
      <c r="T55" s="58" t="s">
        <v>8</v>
      </c>
      <c r="U55">
        <v>24.3</v>
      </c>
      <c r="V55" s="24">
        <v>9.3704221146265598E-3</v>
      </c>
      <c r="W55" s="55" t="s">
        <v>8</v>
      </c>
      <c r="X55" s="55" t="s">
        <v>8</v>
      </c>
      <c r="Y55">
        <v>0.88</v>
      </c>
      <c r="Z55" s="28">
        <v>0.58526792282344497</v>
      </c>
    </row>
    <row r="56" spans="2:26" x14ac:dyDescent="0.3">
      <c r="B56" s="46">
        <v>25</v>
      </c>
      <c r="C56" s="5" t="s">
        <v>65</v>
      </c>
      <c r="D56">
        <v>0.625</v>
      </c>
      <c r="E56" s="36">
        <v>4.2500000000000003E-3</v>
      </c>
      <c r="F56">
        <v>0.3</v>
      </c>
      <c r="G56">
        <v>1</v>
      </c>
      <c r="H56">
        <v>0.41249999999999998</v>
      </c>
      <c r="I56" s="35">
        <v>2.81</v>
      </c>
      <c r="J56" s="35">
        <v>2.81</v>
      </c>
      <c r="K56" s="35">
        <v>8.9280142689506707</v>
      </c>
      <c r="L56" s="28">
        <v>23.956308750138099</v>
      </c>
      <c r="M56" s="38">
        <v>40.25</v>
      </c>
      <c r="N56" s="24">
        <v>1.90275189094509E-2</v>
      </c>
      <c r="O56" s="35">
        <v>1.25</v>
      </c>
      <c r="P56">
        <v>31.8</v>
      </c>
      <c r="Q56" s="24">
        <v>1.90275189094509E-2</v>
      </c>
      <c r="R56" s="35">
        <v>0.515625</v>
      </c>
      <c r="S56" s="55" t="s">
        <v>8</v>
      </c>
      <c r="T56" s="58" t="s">
        <v>8</v>
      </c>
      <c r="U56">
        <v>31.8</v>
      </c>
      <c r="V56" s="24">
        <v>1.90275189094509E-2</v>
      </c>
      <c r="W56" s="55" t="s">
        <v>8</v>
      </c>
      <c r="X56" s="55" t="s">
        <v>8</v>
      </c>
      <c r="Y56">
        <v>0.69</v>
      </c>
      <c r="Z56" s="28">
        <v>0.52169444768784601</v>
      </c>
    </row>
    <row r="57" spans="2:26" x14ac:dyDescent="0.3">
      <c r="B57" s="46">
        <v>26</v>
      </c>
      <c r="C57" s="5" t="s">
        <v>65</v>
      </c>
      <c r="D57">
        <v>0.875</v>
      </c>
      <c r="E57" s="36">
        <v>4.2500000000000003E-3</v>
      </c>
      <c r="F57">
        <v>0.3</v>
      </c>
      <c r="G57">
        <v>1</v>
      </c>
      <c r="H57">
        <v>0.23749999999999999</v>
      </c>
      <c r="I57" s="35">
        <v>2.81</v>
      </c>
      <c r="J57" s="35">
        <v>2.81</v>
      </c>
      <c r="K57" s="35">
        <v>8.72576961630255</v>
      </c>
      <c r="L57" s="28">
        <v>23.413630927730001</v>
      </c>
      <c r="M57" s="38">
        <v>30.75</v>
      </c>
      <c r="N57" s="24">
        <v>1.1128180474441699E-2</v>
      </c>
      <c r="O57" s="35">
        <v>1.25</v>
      </c>
      <c r="P57">
        <v>23.8</v>
      </c>
      <c r="Q57" s="24">
        <v>1.1128180474441699E-2</v>
      </c>
      <c r="R57" s="35">
        <v>0.296875</v>
      </c>
      <c r="S57" s="55" t="s">
        <v>8</v>
      </c>
      <c r="T57" s="58" t="s">
        <v>8</v>
      </c>
      <c r="U57">
        <v>23.8</v>
      </c>
      <c r="V57" s="24">
        <v>1.1128180474441699E-2</v>
      </c>
      <c r="W57" s="55" t="s">
        <v>8</v>
      </c>
      <c r="X57" s="55" t="s">
        <v>8</v>
      </c>
      <c r="Y57">
        <v>0.69</v>
      </c>
      <c r="Z57" s="28">
        <v>0.45901743424276997</v>
      </c>
    </row>
    <row r="58" spans="2:26" x14ac:dyDescent="0.3">
      <c r="B58" s="46">
        <v>27</v>
      </c>
      <c r="C58" s="5" t="s">
        <v>65</v>
      </c>
      <c r="D58">
        <v>0.875</v>
      </c>
      <c r="E58" s="36">
        <v>4.2500000000000003E-3</v>
      </c>
      <c r="F58">
        <v>0.3</v>
      </c>
      <c r="G58">
        <v>1</v>
      </c>
      <c r="H58">
        <v>0.41249999999999998</v>
      </c>
      <c r="I58" s="35">
        <v>2.81</v>
      </c>
      <c r="J58" s="35">
        <v>2.81</v>
      </c>
      <c r="K58" s="35">
        <v>8.6757418287083503</v>
      </c>
      <c r="L58" s="28">
        <v>23.279392664932701</v>
      </c>
      <c r="M58" s="38">
        <v>30.75</v>
      </c>
      <c r="N58" s="24">
        <v>5.5147537405077296E-3</v>
      </c>
      <c r="O58" s="35">
        <v>1.25</v>
      </c>
      <c r="P58">
        <v>19.399999999999999</v>
      </c>
      <c r="Q58" s="24">
        <v>5.5147537405077296E-3</v>
      </c>
      <c r="R58" s="35">
        <v>0.515625</v>
      </c>
      <c r="S58" s="55" t="s">
        <v>8</v>
      </c>
      <c r="T58" s="58" t="s">
        <v>8</v>
      </c>
      <c r="U58">
        <v>19.399999999999999</v>
      </c>
      <c r="V58" s="24">
        <v>5.5147537405077296E-3</v>
      </c>
      <c r="W58" s="55" t="s">
        <v>8</v>
      </c>
      <c r="X58" s="55" t="s">
        <v>8</v>
      </c>
      <c r="Y58">
        <v>0.78</v>
      </c>
      <c r="Z58" s="28">
        <v>0.44482451269969397</v>
      </c>
    </row>
    <row r="59" spans="2:26" x14ac:dyDescent="0.3">
      <c r="B59" s="46">
        <v>28</v>
      </c>
      <c r="C59" s="5" t="s">
        <v>65</v>
      </c>
      <c r="D59">
        <v>0.875</v>
      </c>
      <c r="E59" s="36">
        <v>4.2500000000000003E-3</v>
      </c>
      <c r="F59">
        <v>0.3</v>
      </c>
      <c r="G59">
        <v>1</v>
      </c>
      <c r="H59">
        <v>0.23749999999999999</v>
      </c>
      <c r="I59" s="35">
        <v>2.81</v>
      </c>
      <c r="J59" s="35">
        <v>2.81</v>
      </c>
      <c r="K59" s="35">
        <v>8.67330363930893</v>
      </c>
      <c r="L59" s="28">
        <v>23.272850334658099</v>
      </c>
      <c r="M59" s="38">
        <v>30.75</v>
      </c>
      <c r="N59" s="24">
        <v>5.5147537405077296E-3</v>
      </c>
      <c r="O59" s="35">
        <v>0.75</v>
      </c>
      <c r="P59">
        <v>19.2</v>
      </c>
      <c r="Q59" s="24">
        <v>5.5147537405077296E-3</v>
      </c>
      <c r="R59" s="35">
        <v>0.17812499999999998</v>
      </c>
      <c r="S59" s="55" t="s">
        <v>8</v>
      </c>
      <c r="T59" s="58" t="s">
        <v>8</v>
      </c>
      <c r="U59">
        <v>19.2</v>
      </c>
      <c r="V59" s="24">
        <v>5.5147537405077296E-3</v>
      </c>
      <c r="W59" s="55" t="s">
        <v>8</v>
      </c>
      <c r="X59" s="55" t="s">
        <v>8</v>
      </c>
      <c r="Y59">
        <v>0.79</v>
      </c>
      <c r="Z59" s="28">
        <v>0.45266283010409403</v>
      </c>
    </row>
    <row r="60" spans="2:26" x14ac:dyDescent="0.3">
      <c r="B60" s="46">
        <v>29</v>
      </c>
      <c r="C60" s="5" t="s">
        <v>65</v>
      </c>
      <c r="D60">
        <v>0.75</v>
      </c>
      <c r="E60" s="36">
        <v>3.5000000000000001E-3</v>
      </c>
      <c r="F60">
        <v>0.3</v>
      </c>
      <c r="G60">
        <v>1</v>
      </c>
      <c r="H60">
        <v>0.32500000000000001</v>
      </c>
      <c r="I60" s="35">
        <v>2.81</v>
      </c>
      <c r="J60" s="35">
        <v>2.81</v>
      </c>
      <c r="K60" s="35">
        <v>10.6637371462384</v>
      </c>
      <c r="L60" s="28">
        <v>28.613728855030999</v>
      </c>
      <c r="M60" s="38">
        <v>35.5</v>
      </c>
      <c r="N60" s="24">
        <v>1.08916789845473E-2</v>
      </c>
      <c r="O60" s="35">
        <v>1</v>
      </c>
      <c r="P60">
        <v>23.7</v>
      </c>
      <c r="Q60" s="24">
        <v>1.08916789845473E-2</v>
      </c>
      <c r="R60" s="35">
        <v>0.32500000000000001</v>
      </c>
      <c r="S60" s="55" t="s">
        <v>8</v>
      </c>
      <c r="T60" s="58" t="s">
        <v>8</v>
      </c>
      <c r="U60">
        <v>23.7</v>
      </c>
      <c r="V60" s="24">
        <v>1.08916789845473E-2</v>
      </c>
      <c r="W60" s="55" t="s">
        <v>8</v>
      </c>
      <c r="X60" s="55" t="s">
        <v>8</v>
      </c>
      <c r="Y60">
        <v>0.86</v>
      </c>
      <c r="Z60" s="28">
        <v>0.58358453993443304</v>
      </c>
    </row>
    <row r="61" spans="2:26" x14ac:dyDescent="0.3">
      <c r="B61" s="46">
        <v>30</v>
      </c>
      <c r="C61" s="5" t="s">
        <v>65</v>
      </c>
      <c r="D61">
        <v>0.875</v>
      </c>
      <c r="E61" s="36">
        <v>2.7499999999999998E-3</v>
      </c>
      <c r="F61">
        <v>0.3</v>
      </c>
      <c r="G61">
        <v>1</v>
      </c>
      <c r="H61">
        <v>0.41249999999999998</v>
      </c>
      <c r="I61" s="35">
        <v>2.81</v>
      </c>
      <c r="J61" s="35">
        <v>2.81</v>
      </c>
      <c r="K61" s="35">
        <v>13.429361892216001</v>
      </c>
      <c r="L61" s="28">
        <v>36.034657888722002</v>
      </c>
      <c r="M61" s="38">
        <v>30.75</v>
      </c>
      <c r="N61" s="24">
        <v>1.1128180474441699E-2</v>
      </c>
      <c r="O61" s="35">
        <v>1.25</v>
      </c>
      <c r="P61">
        <v>20.8</v>
      </c>
      <c r="Q61" s="24">
        <v>1.1128180474441699E-2</v>
      </c>
      <c r="R61" s="35">
        <v>0.515625</v>
      </c>
      <c r="S61" s="55" t="s">
        <v>8</v>
      </c>
      <c r="T61" s="58" t="s">
        <v>8</v>
      </c>
      <c r="U61">
        <v>20.8</v>
      </c>
      <c r="V61" s="24">
        <v>1.1128180474441699E-2</v>
      </c>
      <c r="W61" s="55" t="s">
        <v>8</v>
      </c>
      <c r="X61" s="55" t="s">
        <v>8</v>
      </c>
      <c r="Y61">
        <v>0.99</v>
      </c>
      <c r="Z61" s="28">
        <v>0.65715445621806601</v>
      </c>
    </row>
    <row r="62" spans="2:26" x14ac:dyDescent="0.3">
      <c r="B62" s="46">
        <v>31</v>
      </c>
      <c r="C62" s="5" t="s">
        <v>65</v>
      </c>
      <c r="D62">
        <v>0.875</v>
      </c>
      <c r="E62" s="36">
        <v>4.2500000000000003E-3</v>
      </c>
      <c r="F62">
        <v>0.3</v>
      </c>
      <c r="G62">
        <v>1</v>
      </c>
      <c r="H62">
        <v>0.41249999999999998</v>
      </c>
      <c r="I62" s="35">
        <v>2.81</v>
      </c>
      <c r="J62" s="35">
        <v>2.81</v>
      </c>
      <c r="K62" s="35">
        <v>8.7113040105583401</v>
      </c>
      <c r="L62" s="28">
        <v>23.374815743633398</v>
      </c>
      <c r="M62" s="38">
        <v>30.75</v>
      </c>
      <c r="N62" s="24">
        <v>1.1128180474441699E-2</v>
      </c>
      <c r="O62" s="35">
        <v>1.25</v>
      </c>
      <c r="P62">
        <v>22.6</v>
      </c>
      <c r="Q62" s="24">
        <v>1.1128180474441699E-2</v>
      </c>
      <c r="R62" s="35">
        <v>0.515625</v>
      </c>
      <c r="S62" s="55" t="s">
        <v>8</v>
      </c>
      <c r="T62" s="58" t="s">
        <v>8</v>
      </c>
      <c r="U62">
        <v>22.6</v>
      </c>
      <c r="V62" s="24">
        <v>1.1128180474441699E-2</v>
      </c>
      <c r="W62" s="55" t="s">
        <v>8</v>
      </c>
      <c r="X62" s="55" t="s">
        <v>8</v>
      </c>
      <c r="Y62">
        <v>0.81</v>
      </c>
      <c r="Z62" s="28">
        <v>0.53827224303288901</v>
      </c>
    </row>
    <row r="63" spans="2:26" x14ac:dyDescent="0.3">
      <c r="B63" s="46">
        <v>32</v>
      </c>
      <c r="C63" s="5" t="s">
        <v>65</v>
      </c>
      <c r="D63">
        <v>0.625</v>
      </c>
      <c r="E63" s="36">
        <v>4.2500000000000003E-3</v>
      </c>
      <c r="F63">
        <v>0.3</v>
      </c>
      <c r="G63">
        <v>1</v>
      </c>
      <c r="H63">
        <v>0.23749999999999999</v>
      </c>
      <c r="I63" s="35">
        <v>2.81</v>
      </c>
      <c r="J63" s="35">
        <v>2.81</v>
      </c>
      <c r="K63" s="35">
        <v>8.9374353391376893</v>
      </c>
      <c r="L63" s="28">
        <v>23.981588063024301</v>
      </c>
      <c r="M63" s="38">
        <v>40.25</v>
      </c>
      <c r="N63" s="24">
        <v>1.90275189094509E-2</v>
      </c>
      <c r="O63" s="35">
        <v>1.25</v>
      </c>
      <c r="P63">
        <v>32.6</v>
      </c>
      <c r="Q63" s="24">
        <v>1.90275189094509E-2</v>
      </c>
      <c r="R63" s="35">
        <v>0.296875</v>
      </c>
      <c r="S63" s="55" t="s">
        <v>8</v>
      </c>
      <c r="T63" s="58" t="s">
        <v>8</v>
      </c>
      <c r="U63">
        <v>32.6</v>
      </c>
      <c r="V63" s="24">
        <v>1.90275189094509E-2</v>
      </c>
      <c r="W63" s="55" t="s">
        <v>8</v>
      </c>
      <c r="X63" s="55" t="s">
        <v>8</v>
      </c>
      <c r="Y63">
        <v>0.63</v>
      </c>
      <c r="Z63" s="28">
        <v>0.47230325737420298</v>
      </c>
    </row>
    <row r="64" spans="2:26" x14ac:dyDescent="0.3">
      <c r="B64" s="46">
        <v>33</v>
      </c>
      <c r="C64" s="5" t="s">
        <v>65</v>
      </c>
      <c r="D64">
        <v>0.75</v>
      </c>
      <c r="E64" s="36">
        <v>3.5000000000000001E-3</v>
      </c>
      <c r="F64">
        <v>0.3</v>
      </c>
      <c r="G64">
        <v>1</v>
      </c>
      <c r="H64">
        <v>0.32500000000000001</v>
      </c>
      <c r="I64" s="35">
        <v>2.81</v>
      </c>
      <c r="J64" s="35">
        <v>2.81</v>
      </c>
      <c r="K64" s="35">
        <v>10.6637371462384</v>
      </c>
      <c r="L64" s="28">
        <v>28.613728855030999</v>
      </c>
      <c r="M64" s="38">
        <v>35.5</v>
      </c>
      <c r="N64" s="24">
        <v>1.08916789845473E-2</v>
      </c>
      <c r="O64" s="35">
        <v>1</v>
      </c>
      <c r="P64">
        <v>23.7</v>
      </c>
      <c r="Q64" s="24">
        <v>1.08916789845473E-2</v>
      </c>
      <c r="R64" s="35">
        <v>0.32500000000000001</v>
      </c>
      <c r="S64" s="55" t="s">
        <v>8</v>
      </c>
      <c r="T64" s="58" t="s">
        <v>8</v>
      </c>
      <c r="U64">
        <v>23.7</v>
      </c>
      <c r="V64" s="24">
        <v>1.08916789845473E-2</v>
      </c>
      <c r="W64" s="55" t="s">
        <v>8</v>
      </c>
      <c r="X64" s="55" t="s">
        <v>8</v>
      </c>
      <c r="Y64">
        <v>0.86</v>
      </c>
      <c r="Z64" s="28">
        <v>0.58358453993443304</v>
      </c>
    </row>
    <row r="65" spans="2:26" x14ac:dyDescent="0.3">
      <c r="B65" s="46">
        <v>34</v>
      </c>
      <c r="C65" s="5" t="s">
        <v>65</v>
      </c>
      <c r="D65">
        <v>0.875</v>
      </c>
      <c r="E65" s="36">
        <v>2.7499999999999998E-3</v>
      </c>
      <c r="F65">
        <v>0.3</v>
      </c>
      <c r="G65">
        <v>1</v>
      </c>
      <c r="H65">
        <v>0.23749999999999999</v>
      </c>
      <c r="I65" s="35">
        <v>2.81</v>
      </c>
      <c r="J65" s="35">
        <v>2.81</v>
      </c>
      <c r="K65" s="35">
        <v>13.637926642849999</v>
      </c>
      <c r="L65" s="28">
        <v>36.594294265868101</v>
      </c>
      <c r="M65" s="38">
        <v>40.25</v>
      </c>
      <c r="N65" s="24">
        <v>9.3704221146265598E-3</v>
      </c>
      <c r="O65" s="35">
        <v>0.75</v>
      </c>
      <c r="P65">
        <v>22.4</v>
      </c>
      <c r="Q65" s="24">
        <v>9.3704221146265598E-3</v>
      </c>
      <c r="R65" s="35">
        <v>0.17812499999999998</v>
      </c>
      <c r="S65" s="55" t="s">
        <v>8</v>
      </c>
      <c r="T65" s="58" t="s">
        <v>8</v>
      </c>
      <c r="U65">
        <v>22.4</v>
      </c>
      <c r="V65" s="24">
        <v>9.3704221146265598E-3</v>
      </c>
      <c r="W65" s="55" t="s">
        <v>8</v>
      </c>
      <c r="X65" s="55" t="s">
        <v>8</v>
      </c>
      <c r="Y65">
        <v>0.99</v>
      </c>
      <c r="Z65" s="28">
        <v>0.65498635877106604</v>
      </c>
    </row>
    <row r="66" spans="2:26" x14ac:dyDescent="0.3">
      <c r="B66" s="46">
        <v>35</v>
      </c>
      <c r="C66" s="5" t="s">
        <v>65</v>
      </c>
      <c r="D66">
        <v>0.875</v>
      </c>
      <c r="E66" s="36">
        <v>2.7499999999999998E-3</v>
      </c>
      <c r="F66">
        <v>0.3</v>
      </c>
      <c r="G66">
        <v>1</v>
      </c>
      <c r="H66">
        <v>0.23749999999999999</v>
      </c>
      <c r="I66" s="35">
        <v>2.81</v>
      </c>
      <c r="J66" s="35">
        <v>2.81</v>
      </c>
      <c r="K66" s="35">
        <v>13.754120639453101</v>
      </c>
      <c r="L66" s="28">
        <v>36.906074598390198</v>
      </c>
      <c r="M66" s="38">
        <v>40.25</v>
      </c>
      <c r="N66" s="24">
        <v>1.90275189094509E-2</v>
      </c>
      <c r="O66" s="35">
        <v>1.25</v>
      </c>
      <c r="P66">
        <v>29.4</v>
      </c>
      <c r="Q66" s="24">
        <v>1.90275189094509E-2</v>
      </c>
      <c r="R66" s="35">
        <v>0.296875</v>
      </c>
      <c r="S66" s="55" t="s">
        <v>8</v>
      </c>
      <c r="T66" s="58" t="s">
        <v>8</v>
      </c>
      <c r="U66">
        <v>29.4</v>
      </c>
      <c r="V66" s="24">
        <v>1.90275189094509E-2</v>
      </c>
      <c r="W66" s="55" t="s">
        <v>8</v>
      </c>
      <c r="X66" s="55" t="s">
        <v>8</v>
      </c>
      <c r="Y66">
        <v>0.89</v>
      </c>
      <c r="Z66" s="28">
        <v>0.66986801862877199</v>
      </c>
    </row>
    <row r="67" spans="2:26" x14ac:dyDescent="0.3">
      <c r="B67" s="46">
        <v>36</v>
      </c>
      <c r="C67" s="5" t="s">
        <v>65</v>
      </c>
      <c r="D67">
        <v>0.75</v>
      </c>
      <c r="E67" s="36">
        <v>3.5000000000000001E-3</v>
      </c>
      <c r="F67">
        <v>0.3</v>
      </c>
      <c r="G67">
        <v>1</v>
      </c>
      <c r="H67">
        <v>0.32500000000000001</v>
      </c>
      <c r="I67" s="35">
        <v>2.81</v>
      </c>
      <c r="J67" s="35">
        <v>2.81</v>
      </c>
      <c r="K67" s="35">
        <v>10.431368822080101</v>
      </c>
      <c r="L67" s="28">
        <v>27.990220967431899</v>
      </c>
      <c r="M67" s="38">
        <v>26</v>
      </c>
      <c r="N67" s="24">
        <v>6.2835653928026997E-3</v>
      </c>
      <c r="O67" s="35">
        <v>1</v>
      </c>
      <c r="P67">
        <v>17.2</v>
      </c>
      <c r="Q67" s="24">
        <v>6.2835653928026997E-3</v>
      </c>
      <c r="R67" s="35">
        <v>0.32500000000000001</v>
      </c>
      <c r="S67" s="55" t="s">
        <v>8</v>
      </c>
      <c r="T67" s="58" t="s">
        <v>8</v>
      </c>
      <c r="U67">
        <v>17.2</v>
      </c>
      <c r="V67" s="24">
        <v>6.2835653928026997E-3</v>
      </c>
      <c r="W67" s="55" t="s">
        <v>8</v>
      </c>
      <c r="X67" s="55" t="s">
        <v>8</v>
      </c>
      <c r="Y67">
        <v>0.81</v>
      </c>
      <c r="Z67" s="28">
        <v>0.46574046271809999</v>
      </c>
    </row>
    <row r="68" spans="2:26" x14ac:dyDescent="0.3">
      <c r="B68" s="46">
        <v>37</v>
      </c>
      <c r="C68" s="5" t="s">
        <v>65</v>
      </c>
      <c r="D68">
        <v>0.75</v>
      </c>
      <c r="E68" s="36">
        <v>3.5000000000000001E-3</v>
      </c>
      <c r="F68">
        <v>0.3</v>
      </c>
      <c r="G68">
        <v>1</v>
      </c>
      <c r="H68">
        <v>0.32500000000000001</v>
      </c>
      <c r="I68" s="35">
        <v>2.81</v>
      </c>
      <c r="J68" s="35">
        <v>2.81</v>
      </c>
      <c r="K68" s="35">
        <v>10.6637371462384</v>
      </c>
      <c r="L68" s="28">
        <v>28.613728855030999</v>
      </c>
      <c r="M68" s="38">
        <v>35.5</v>
      </c>
      <c r="N68" s="24">
        <v>1.08916789845473E-2</v>
      </c>
      <c r="O68" s="35">
        <v>1</v>
      </c>
      <c r="P68">
        <v>23.7</v>
      </c>
      <c r="Q68" s="24">
        <v>1.08916789845473E-2</v>
      </c>
      <c r="R68" s="35">
        <v>0.32500000000000001</v>
      </c>
      <c r="S68" s="55" t="s">
        <v>8</v>
      </c>
      <c r="T68" s="58" t="s">
        <v>8</v>
      </c>
      <c r="U68">
        <v>23.7</v>
      </c>
      <c r="V68" s="24">
        <v>1.08916789845473E-2</v>
      </c>
      <c r="W68" s="55" t="s">
        <v>8</v>
      </c>
      <c r="X68" s="55" t="s">
        <v>8</v>
      </c>
      <c r="Y68">
        <v>0.86</v>
      </c>
      <c r="Z68" s="28">
        <v>0.58358453993443304</v>
      </c>
    </row>
    <row r="69" spans="2:26" x14ac:dyDescent="0.3">
      <c r="B69" s="46">
        <v>38</v>
      </c>
      <c r="C69" s="5" t="s">
        <v>65</v>
      </c>
      <c r="D69">
        <v>0.875</v>
      </c>
      <c r="E69" s="36">
        <v>4.2500000000000003E-3</v>
      </c>
      <c r="F69">
        <v>0.3</v>
      </c>
      <c r="G69">
        <v>1</v>
      </c>
      <c r="H69">
        <v>0.23749999999999999</v>
      </c>
      <c r="I69" s="35">
        <v>2.81</v>
      </c>
      <c r="J69" s="35">
        <v>2.81</v>
      </c>
      <c r="K69" s="35">
        <v>8.6988911112844995</v>
      </c>
      <c r="L69" s="28">
        <v>23.341508533482301</v>
      </c>
      <c r="M69" s="38">
        <v>30.75</v>
      </c>
      <c r="N69" s="24">
        <v>5.5147537405077296E-3</v>
      </c>
      <c r="O69" s="35">
        <v>1.25</v>
      </c>
      <c r="P69">
        <v>21.3</v>
      </c>
      <c r="Q69" s="24">
        <v>5.5147537405077296E-3</v>
      </c>
      <c r="R69" s="35">
        <v>0.296875</v>
      </c>
      <c r="S69" s="55" t="s">
        <v>8</v>
      </c>
      <c r="T69" s="58" t="s">
        <v>8</v>
      </c>
      <c r="U69">
        <v>21.3</v>
      </c>
      <c r="V69" s="24">
        <v>5.5147537405077296E-3</v>
      </c>
      <c r="W69" s="55" t="s">
        <v>8</v>
      </c>
      <c r="X69" s="55" t="s">
        <v>8</v>
      </c>
      <c r="Y69">
        <v>0.65</v>
      </c>
      <c r="Z69" s="28">
        <v>0.370360497357895</v>
      </c>
    </row>
    <row r="70" spans="2:26" x14ac:dyDescent="0.3">
      <c r="B70" s="46">
        <v>39</v>
      </c>
      <c r="C70" s="5" t="s">
        <v>65</v>
      </c>
      <c r="D70">
        <v>0.625</v>
      </c>
      <c r="E70" s="36">
        <v>4.2500000000000003E-3</v>
      </c>
      <c r="F70">
        <v>0.3</v>
      </c>
      <c r="G70">
        <v>1</v>
      </c>
      <c r="H70">
        <v>0.23749999999999999</v>
      </c>
      <c r="I70" s="35">
        <v>2.81</v>
      </c>
      <c r="J70" s="35">
        <v>2.81</v>
      </c>
      <c r="K70" s="35">
        <v>8.6915834514849095</v>
      </c>
      <c r="L70" s="28">
        <v>23.321900079785099</v>
      </c>
      <c r="M70" s="38">
        <v>30.75</v>
      </c>
      <c r="N70" s="24">
        <v>5.5147537405077296E-3</v>
      </c>
      <c r="O70" s="35">
        <v>0.75</v>
      </c>
      <c r="P70">
        <v>20.7</v>
      </c>
      <c r="Q70" s="24">
        <v>5.5147537405077296E-3</v>
      </c>
      <c r="R70" s="35">
        <v>0.17812499999999998</v>
      </c>
      <c r="S70" s="55" t="s">
        <v>8</v>
      </c>
      <c r="T70" s="58" t="s">
        <v>8</v>
      </c>
      <c r="U70">
        <v>20.7</v>
      </c>
      <c r="V70" s="24">
        <v>5.5147537405077296E-3</v>
      </c>
      <c r="W70" s="55" t="s">
        <v>8</v>
      </c>
      <c r="X70" s="55" t="s">
        <v>8</v>
      </c>
      <c r="Y70">
        <v>0.69</v>
      </c>
      <c r="Z70" s="28">
        <v>0.39387544957109499</v>
      </c>
    </row>
    <row r="71" spans="2:26" x14ac:dyDescent="0.3">
      <c r="B71" s="46">
        <v>40</v>
      </c>
      <c r="C71" s="5" t="s">
        <v>65</v>
      </c>
      <c r="D71">
        <v>0.625</v>
      </c>
      <c r="E71" s="36">
        <v>4.2500000000000003E-3</v>
      </c>
      <c r="F71">
        <v>0.3</v>
      </c>
      <c r="G71">
        <v>1</v>
      </c>
      <c r="H71">
        <v>0.23749999999999999</v>
      </c>
      <c r="I71" s="35">
        <v>2.81</v>
      </c>
      <c r="J71" s="35">
        <v>2.81</v>
      </c>
      <c r="K71" s="35">
        <v>8.8750083253185306</v>
      </c>
      <c r="L71" s="28">
        <v>23.814079278612699</v>
      </c>
      <c r="M71" s="38">
        <v>40.25</v>
      </c>
      <c r="N71" s="24">
        <v>9.3704221146265598E-3</v>
      </c>
      <c r="O71" s="35">
        <v>0.75</v>
      </c>
      <c r="P71">
        <v>26.6</v>
      </c>
      <c r="Q71" s="24">
        <v>9.3704221146265598E-3</v>
      </c>
      <c r="R71" s="35">
        <v>0.17812499999999998</v>
      </c>
      <c r="S71" s="55" t="s">
        <v>8</v>
      </c>
      <c r="T71" s="58" t="s">
        <v>8</v>
      </c>
      <c r="U71">
        <v>26.6</v>
      </c>
      <c r="V71" s="24">
        <v>9.3704221146265598E-3</v>
      </c>
      <c r="W71" s="55" t="s">
        <v>8</v>
      </c>
      <c r="X71" s="55" t="s">
        <v>8</v>
      </c>
      <c r="Y71">
        <v>0.76</v>
      </c>
      <c r="Z71" s="28">
        <v>0.50087192141316805</v>
      </c>
    </row>
    <row r="72" spans="2:26" x14ac:dyDescent="0.3">
      <c r="B72" s="46">
        <v>41</v>
      </c>
      <c r="C72" s="5" t="s">
        <v>65</v>
      </c>
      <c r="D72">
        <v>0.875</v>
      </c>
      <c r="E72" s="36">
        <v>2.7499999999999998E-3</v>
      </c>
      <c r="F72">
        <v>0.3</v>
      </c>
      <c r="G72">
        <v>1</v>
      </c>
      <c r="H72">
        <v>0.23749999999999999</v>
      </c>
      <c r="I72" s="35">
        <v>2.81</v>
      </c>
      <c r="J72" s="35">
        <v>2.81</v>
      </c>
      <c r="K72" s="35">
        <v>13.6880873693485</v>
      </c>
      <c r="L72" s="28">
        <v>36.728889240173501</v>
      </c>
      <c r="M72" s="38">
        <v>40.25</v>
      </c>
      <c r="N72" s="24">
        <v>9.3704221146265598E-3</v>
      </c>
      <c r="O72" s="35">
        <v>1.25</v>
      </c>
      <c r="P72">
        <v>25.1</v>
      </c>
      <c r="Q72" s="24">
        <v>9.3704221146265598E-3</v>
      </c>
      <c r="R72" s="35">
        <v>0.296875</v>
      </c>
      <c r="S72" s="55" t="s">
        <v>8</v>
      </c>
      <c r="T72" s="58" t="s">
        <v>8</v>
      </c>
      <c r="U72">
        <v>25.1</v>
      </c>
      <c r="V72" s="24">
        <v>9.3704221146265598E-3</v>
      </c>
      <c r="W72" s="55" t="s">
        <v>8</v>
      </c>
      <c r="X72" s="55" t="s">
        <v>8</v>
      </c>
      <c r="Y72">
        <v>0.84</v>
      </c>
      <c r="Z72" s="28">
        <v>0.55591279189813103</v>
      </c>
    </row>
    <row r="73" spans="2:26" x14ac:dyDescent="0.3">
      <c r="B73" s="46">
        <v>42</v>
      </c>
      <c r="C73" s="5" t="s">
        <v>65</v>
      </c>
      <c r="D73">
        <v>1</v>
      </c>
      <c r="E73" s="36">
        <v>3.5000000000000001E-3</v>
      </c>
      <c r="F73">
        <v>0.3</v>
      </c>
      <c r="G73">
        <v>1</v>
      </c>
      <c r="H73">
        <v>0.32500000000000001</v>
      </c>
      <c r="I73" s="35">
        <v>2.81</v>
      </c>
      <c r="J73" s="35">
        <v>2.81</v>
      </c>
      <c r="K73" s="35">
        <v>10.6418278566446</v>
      </c>
      <c r="L73" s="28">
        <v>28.554940227437701</v>
      </c>
      <c r="M73" s="38">
        <v>35.5</v>
      </c>
      <c r="N73" s="24">
        <v>1.08916789845473E-2</v>
      </c>
      <c r="O73" s="35">
        <v>1</v>
      </c>
      <c r="P73">
        <v>22.2</v>
      </c>
      <c r="Q73" s="24">
        <v>1.08916789845473E-2</v>
      </c>
      <c r="R73" s="35">
        <v>0.32500000000000001</v>
      </c>
      <c r="S73" s="55" t="s">
        <v>8</v>
      </c>
      <c r="T73" s="58" t="s">
        <v>8</v>
      </c>
      <c r="U73">
        <v>22.2</v>
      </c>
      <c r="V73" s="24">
        <v>1.08916789845473E-2</v>
      </c>
      <c r="W73" s="55" t="s">
        <v>8</v>
      </c>
      <c r="X73" s="55" t="s">
        <v>8</v>
      </c>
      <c r="Y73">
        <v>0.98</v>
      </c>
      <c r="Z73" s="28">
        <v>0.65776901534982701</v>
      </c>
    </row>
    <row r="74" spans="2:26" x14ac:dyDescent="0.3">
      <c r="B74" s="46">
        <v>43</v>
      </c>
      <c r="C74" s="5" t="s">
        <v>65</v>
      </c>
      <c r="D74">
        <v>0.875</v>
      </c>
      <c r="E74" s="36">
        <v>2.7499999999999998E-3</v>
      </c>
      <c r="F74">
        <v>0.3</v>
      </c>
      <c r="G74">
        <v>1</v>
      </c>
      <c r="H74">
        <v>0.23749999999999999</v>
      </c>
      <c r="I74" s="35">
        <v>2.81</v>
      </c>
      <c r="J74" s="35">
        <v>2.81</v>
      </c>
      <c r="K74" s="35">
        <v>13.375922322176701</v>
      </c>
      <c r="L74" s="28">
        <v>35.891264878723199</v>
      </c>
      <c r="M74" s="38">
        <v>30.75</v>
      </c>
      <c r="N74" s="24">
        <v>5.5147537405077296E-3</v>
      </c>
      <c r="O74" s="35">
        <v>0.75</v>
      </c>
      <c r="P74">
        <v>17.7</v>
      </c>
      <c r="Q74" s="24">
        <v>5.5147537405077296E-3</v>
      </c>
      <c r="R74" s="35">
        <v>0.17812499999999998</v>
      </c>
      <c r="S74" s="55" t="s">
        <v>8</v>
      </c>
      <c r="T74" s="58" t="s">
        <v>8</v>
      </c>
      <c r="U74">
        <v>17.7</v>
      </c>
      <c r="V74" s="24">
        <v>5.5147537405077296E-3</v>
      </c>
      <c r="W74" s="55" t="s">
        <v>8</v>
      </c>
      <c r="X74" s="55" t="s">
        <v>8</v>
      </c>
      <c r="Y74">
        <v>0.9</v>
      </c>
      <c r="Z74" s="28">
        <v>0.51145021063709295</v>
      </c>
    </row>
    <row r="75" spans="2:26" x14ac:dyDescent="0.3">
      <c r="B75" s="46">
        <v>44</v>
      </c>
      <c r="C75" s="5" t="s">
        <v>65</v>
      </c>
      <c r="D75">
        <v>0.625</v>
      </c>
      <c r="E75" s="36">
        <v>4.2500000000000003E-3</v>
      </c>
      <c r="F75">
        <v>0.3</v>
      </c>
      <c r="G75">
        <v>1</v>
      </c>
      <c r="H75">
        <v>0.23749999999999999</v>
      </c>
      <c r="I75" s="35">
        <v>2.81</v>
      </c>
      <c r="J75" s="35">
        <v>2.81</v>
      </c>
      <c r="K75" s="35">
        <v>8.9115170000180903</v>
      </c>
      <c r="L75" s="28">
        <v>23.912042056988</v>
      </c>
      <c r="M75" s="38">
        <v>40.25</v>
      </c>
      <c r="N75" s="24">
        <v>1.90275189094509E-2</v>
      </c>
      <c r="O75" s="35">
        <v>0.75</v>
      </c>
      <c r="P75">
        <v>30.4</v>
      </c>
      <c r="Q75" s="24">
        <v>1.90275189094509E-2</v>
      </c>
      <c r="R75" s="35">
        <v>0.17812499999999998</v>
      </c>
      <c r="S75" s="55" t="s">
        <v>8</v>
      </c>
      <c r="T75" s="58" t="s">
        <v>8</v>
      </c>
      <c r="U75">
        <v>30.4</v>
      </c>
      <c r="V75" s="24">
        <v>1.90275189094509E-2</v>
      </c>
      <c r="W75" s="55" t="s">
        <v>8</v>
      </c>
      <c r="X75" s="55" t="s">
        <v>8</v>
      </c>
      <c r="Y75">
        <v>0.81</v>
      </c>
      <c r="Z75" s="28">
        <v>0.60812903073671898</v>
      </c>
    </row>
    <row r="76" spans="2:26" x14ac:dyDescent="0.3">
      <c r="B76" s="46">
        <v>45</v>
      </c>
      <c r="C76" s="5" t="s">
        <v>65</v>
      </c>
      <c r="D76">
        <v>0.875</v>
      </c>
      <c r="E76" s="36">
        <v>2.7499999999999998E-3</v>
      </c>
      <c r="F76">
        <v>0.3</v>
      </c>
      <c r="G76">
        <v>1</v>
      </c>
      <c r="H76">
        <v>0.41249999999999998</v>
      </c>
      <c r="I76" s="35">
        <v>2.81</v>
      </c>
      <c r="J76" s="35">
        <v>2.81</v>
      </c>
      <c r="K76" s="35">
        <v>13.298518583221901</v>
      </c>
      <c r="L76" s="28">
        <v>35.683569436830297</v>
      </c>
      <c r="M76" s="38">
        <v>30.75</v>
      </c>
      <c r="N76" s="24">
        <v>5.5147537405077296E-3</v>
      </c>
      <c r="O76" s="35">
        <v>0.75</v>
      </c>
      <c r="P76">
        <v>13.6</v>
      </c>
      <c r="Q76" s="24">
        <v>5.5147537405077296E-3</v>
      </c>
      <c r="R76" s="35">
        <v>0.30937499999999996</v>
      </c>
      <c r="S76" s="55" t="s">
        <v>8</v>
      </c>
      <c r="T76" s="58" t="s">
        <v>8</v>
      </c>
      <c r="U76">
        <v>13.6</v>
      </c>
      <c r="V76" s="24">
        <v>5.5147537405077296E-3</v>
      </c>
      <c r="W76" s="55" t="s">
        <v>8</v>
      </c>
      <c r="X76" s="55" t="s">
        <v>8</v>
      </c>
      <c r="Y76">
        <v>1.17</v>
      </c>
      <c r="Z76" s="28">
        <v>0.67213571742729095</v>
      </c>
    </row>
    <row r="77" spans="2:26" x14ac:dyDescent="0.3">
      <c r="B77" s="46">
        <v>46</v>
      </c>
      <c r="C77" s="5" t="s">
        <v>65</v>
      </c>
      <c r="D77">
        <v>0.5</v>
      </c>
      <c r="E77" s="36">
        <v>3.5000000000000001E-3</v>
      </c>
      <c r="F77">
        <v>0.3</v>
      </c>
      <c r="G77">
        <v>1</v>
      </c>
      <c r="H77">
        <v>0.32500000000000001</v>
      </c>
      <c r="I77" s="35">
        <v>2.81</v>
      </c>
      <c r="J77" s="35">
        <v>2.81</v>
      </c>
      <c r="K77" s="35">
        <v>10.695837326244</v>
      </c>
      <c r="L77" s="28">
        <v>28.699862434120998</v>
      </c>
      <c r="M77" s="38">
        <v>35.5</v>
      </c>
      <c r="N77" s="24">
        <v>1.08916789845473E-2</v>
      </c>
      <c r="O77" s="35">
        <v>1</v>
      </c>
      <c r="P77">
        <v>25.9</v>
      </c>
      <c r="Q77" s="24">
        <v>1.08916789845473E-2</v>
      </c>
      <c r="R77" s="35">
        <v>0.32500000000000001</v>
      </c>
      <c r="S77" s="55" t="s">
        <v>8</v>
      </c>
      <c r="T77" s="58" t="s">
        <v>8</v>
      </c>
      <c r="U77">
        <v>25.9</v>
      </c>
      <c r="V77" s="24">
        <v>1.08916789845473E-2</v>
      </c>
      <c r="W77" s="55" t="s">
        <v>8</v>
      </c>
      <c r="X77" s="55" t="s">
        <v>8</v>
      </c>
      <c r="Y77">
        <v>0.7</v>
      </c>
      <c r="Z77" s="28">
        <v>0.47478064265852199</v>
      </c>
    </row>
    <row r="78" spans="2:26" x14ac:dyDescent="0.3">
      <c r="B78" s="46">
        <v>47</v>
      </c>
      <c r="C78" s="5" t="s">
        <v>65</v>
      </c>
      <c r="D78">
        <v>0.75</v>
      </c>
      <c r="E78" s="36">
        <v>3.5000000000000001E-3</v>
      </c>
      <c r="F78">
        <v>0.3</v>
      </c>
      <c r="G78">
        <v>1</v>
      </c>
      <c r="H78">
        <v>0.32500000000000001</v>
      </c>
      <c r="I78" s="35">
        <v>2.81</v>
      </c>
      <c r="J78" s="35">
        <v>2.81</v>
      </c>
      <c r="K78" s="35">
        <v>10.6637371462384</v>
      </c>
      <c r="L78" s="28">
        <v>28.613728855030999</v>
      </c>
      <c r="M78" s="38">
        <v>35.5</v>
      </c>
      <c r="N78" s="24">
        <v>1.08916789845473E-2</v>
      </c>
      <c r="O78" s="35">
        <v>1</v>
      </c>
      <c r="P78">
        <v>23.7</v>
      </c>
      <c r="Q78" s="24">
        <v>1.08916789845473E-2</v>
      </c>
      <c r="R78" s="35">
        <v>0.32500000000000001</v>
      </c>
      <c r="S78" s="55" t="s">
        <v>8</v>
      </c>
      <c r="T78" s="58" t="s">
        <v>8</v>
      </c>
      <c r="U78">
        <v>23.7</v>
      </c>
      <c r="V78" s="24">
        <v>1.08916789845473E-2</v>
      </c>
      <c r="W78" s="55" t="s">
        <v>8</v>
      </c>
      <c r="X78" s="55" t="s">
        <v>8</v>
      </c>
      <c r="Y78">
        <v>0.86</v>
      </c>
      <c r="Z78" s="28">
        <v>0.58358453993443304</v>
      </c>
    </row>
    <row r="79" spans="2:26" x14ac:dyDescent="0.3">
      <c r="B79" s="46">
        <v>48</v>
      </c>
      <c r="C79" s="5" t="s">
        <v>65</v>
      </c>
      <c r="D79">
        <v>0.625</v>
      </c>
      <c r="E79" s="36">
        <v>4.2500000000000003E-3</v>
      </c>
      <c r="F79">
        <v>0.3</v>
      </c>
      <c r="G79">
        <v>1</v>
      </c>
      <c r="H79">
        <v>0.41249999999999998</v>
      </c>
      <c r="I79" s="35">
        <v>2.81</v>
      </c>
      <c r="J79" s="35">
        <v>2.81</v>
      </c>
      <c r="K79" s="35">
        <v>8.7293844795870505</v>
      </c>
      <c r="L79" s="28">
        <v>23.423330596471999</v>
      </c>
      <c r="M79" s="38">
        <v>30.75</v>
      </c>
      <c r="N79" s="24">
        <v>1.1128180474441699E-2</v>
      </c>
      <c r="O79" s="35">
        <v>1.25</v>
      </c>
      <c r="P79">
        <v>24.1</v>
      </c>
      <c r="Q79" s="24">
        <v>1.1128180474441699E-2</v>
      </c>
      <c r="R79" s="35">
        <v>0.515625</v>
      </c>
      <c r="S79" s="55" t="s">
        <v>8</v>
      </c>
      <c r="T79" s="58" t="s">
        <v>8</v>
      </c>
      <c r="U79">
        <v>24.1</v>
      </c>
      <c r="V79" s="24">
        <v>1.1128180474441699E-2</v>
      </c>
      <c r="W79" s="55" t="s">
        <v>8</v>
      </c>
      <c r="X79" s="55" t="s">
        <v>8</v>
      </c>
      <c r="Y79">
        <v>0.66</v>
      </c>
      <c r="Z79" s="28">
        <v>0.43920373204523999</v>
      </c>
    </row>
    <row r="80" spans="2:26" x14ac:dyDescent="0.3">
      <c r="B80" s="46">
        <v>49</v>
      </c>
      <c r="C80" s="5" t="s">
        <v>65</v>
      </c>
      <c r="D80">
        <v>0.75</v>
      </c>
      <c r="E80" s="36">
        <v>3.5000000000000001E-3</v>
      </c>
      <c r="F80">
        <v>0.3</v>
      </c>
      <c r="G80">
        <v>1</v>
      </c>
      <c r="H80">
        <v>0.5</v>
      </c>
      <c r="I80" s="35">
        <v>2.81</v>
      </c>
      <c r="J80" s="35">
        <v>2.81</v>
      </c>
      <c r="K80" s="35">
        <v>10.6462111967663</v>
      </c>
      <c r="L80" s="28">
        <v>28.566701930113101</v>
      </c>
      <c r="M80" s="38">
        <v>35.5</v>
      </c>
      <c r="N80" s="24">
        <v>1.08916789845473E-2</v>
      </c>
      <c r="O80" s="35">
        <v>1</v>
      </c>
      <c r="P80">
        <v>22.5</v>
      </c>
      <c r="Q80" s="24">
        <v>1.08916789845473E-2</v>
      </c>
      <c r="R80" s="35">
        <v>0.5</v>
      </c>
      <c r="S80" s="55" t="s">
        <v>8</v>
      </c>
      <c r="T80" s="58" t="s">
        <v>8</v>
      </c>
      <c r="U80">
        <v>22.5</v>
      </c>
      <c r="V80" s="24">
        <v>1.08916789845473E-2</v>
      </c>
      <c r="W80" s="55" t="s">
        <v>8</v>
      </c>
      <c r="X80" s="55" t="s">
        <v>8</v>
      </c>
      <c r="Y80">
        <v>0.96</v>
      </c>
      <c r="Z80" s="28">
        <v>0.64293212026674895</v>
      </c>
    </row>
    <row r="81" spans="2:26" x14ac:dyDescent="0.3">
      <c r="B81" s="46">
        <v>50</v>
      </c>
      <c r="C81" s="5" t="s">
        <v>65</v>
      </c>
      <c r="D81">
        <v>0.625</v>
      </c>
      <c r="E81" s="36">
        <v>2.7499999999999998E-3</v>
      </c>
      <c r="F81">
        <v>0.3</v>
      </c>
      <c r="G81">
        <v>1</v>
      </c>
      <c r="H81">
        <v>0.23749999999999999</v>
      </c>
      <c r="I81" s="35">
        <v>2.81</v>
      </c>
      <c r="J81" s="35">
        <v>2.81</v>
      </c>
      <c r="K81" s="35">
        <v>13.671375491952499</v>
      </c>
      <c r="L81" s="28">
        <v>36.6840466937089</v>
      </c>
      <c r="M81" s="38">
        <v>40.25</v>
      </c>
      <c r="N81" s="24">
        <v>9.3704221146265598E-3</v>
      </c>
      <c r="O81" s="35">
        <v>0.75</v>
      </c>
      <c r="P81">
        <v>24.2</v>
      </c>
      <c r="Q81" s="24">
        <v>9.3704221146265598E-3</v>
      </c>
      <c r="R81" s="35">
        <v>0.17812499999999998</v>
      </c>
      <c r="S81" s="55" t="s">
        <v>8</v>
      </c>
      <c r="T81" s="58" t="s">
        <v>8</v>
      </c>
      <c r="U81">
        <v>24.2</v>
      </c>
      <c r="V81" s="24">
        <v>9.3704221146265598E-3</v>
      </c>
      <c r="W81" s="55" t="s">
        <v>8</v>
      </c>
      <c r="X81" s="55" t="s">
        <v>8</v>
      </c>
      <c r="Y81">
        <v>0.89</v>
      </c>
      <c r="Z81" s="28">
        <v>0.588937314189109</v>
      </c>
    </row>
    <row r="82" spans="2:26" x14ac:dyDescent="0.3">
      <c r="B82" s="46">
        <v>51</v>
      </c>
      <c r="C82" s="5" t="s">
        <v>65</v>
      </c>
      <c r="D82">
        <v>0.875</v>
      </c>
      <c r="E82" s="36">
        <v>2.7499999999999998E-3</v>
      </c>
      <c r="F82">
        <v>0.3</v>
      </c>
      <c r="G82">
        <v>1</v>
      </c>
      <c r="H82">
        <v>0.23749999999999999</v>
      </c>
      <c r="I82" s="35">
        <v>2.81</v>
      </c>
      <c r="J82" s="35">
        <v>2.81</v>
      </c>
      <c r="K82" s="35">
        <v>13.434958026079199</v>
      </c>
      <c r="L82" s="28">
        <v>36.049673849337097</v>
      </c>
      <c r="M82" s="38">
        <v>30.75</v>
      </c>
      <c r="N82" s="24">
        <v>1.1128180474441699E-2</v>
      </c>
      <c r="O82" s="35">
        <v>0.75</v>
      </c>
      <c r="P82">
        <v>21.1</v>
      </c>
      <c r="Q82" s="24">
        <v>1.1128180474441699E-2</v>
      </c>
      <c r="R82" s="35">
        <v>0.17812499999999998</v>
      </c>
      <c r="S82" s="55" t="s">
        <v>8</v>
      </c>
      <c r="T82" s="58" t="s">
        <v>8</v>
      </c>
      <c r="U82">
        <v>21.1</v>
      </c>
      <c r="V82" s="24">
        <v>1.1128180474441699E-2</v>
      </c>
      <c r="W82" s="55" t="s">
        <v>8</v>
      </c>
      <c r="X82" s="55" t="s">
        <v>8</v>
      </c>
      <c r="Y82">
        <v>0.96</v>
      </c>
      <c r="Z82" s="28">
        <v>0.63734075402053703</v>
      </c>
    </row>
    <row r="83" spans="2:26" x14ac:dyDescent="0.3">
      <c r="B83" s="46">
        <v>52</v>
      </c>
      <c r="C83" s="5" t="s">
        <v>65</v>
      </c>
      <c r="D83">
        <v>0.625</v>
      </c>
      <c r="E83" s="36">
        <v>2.7499999999999998E-3</v>
      </c>
      <c r="F83">
        <v>0.3</v>
      </c>
      <c r="G83">
        <v>1</v>
      </c>
      <c r="H83">
        <v>0.41249999999999998</v>
      </c>
      <c r="I83" s="35">
        <v>2.81</v>
      </c>
      <c r="J83" s="35">
        <v>2.81</v>
      </c>
      <c r="K83" s="35">
        <v>13.3381865627109</v>
      </c>
      <c r="L83" s="28">
        <v>35.790009495672699</v>
      </c>
      <c r="M83" s="38">
        <v>30.75</v>
      </c>
      <c r="N83" s="24">
        <v>5.5147537405077296E-3</v>
      </c>
      <c r="O83" s="35">
        <v>0.75</v>
      </c>
      <c r="P83">
        <v>15.7</v>
      </c>
      <c r="Q83" s="24">
        <v>5.5147537405077296E-3</v>
      </c>
      <c r="R83" s="35">
        <v>0.30937499999999996</v>
      </c>
      <c r="S83" s="55" t="s">
        <v>8</v>
      </c>
      <c r="T83" s="58" t="s">
        <v>8</v>
      </c>
      <c r="U83">
        <v>15.7</v>
      </c>
      <c r="V83" s="24">
        <v>5.5147537405077296E-3</v>
      </c>
      <c r="W83" s="55" t="s">
        <v>8</v>
      </c>
      <c r="X83" s="55" t="s">
        <v>8</v>
      </c>
      <c r="Y83">
        <v>1.03</v>
      </c>
      <c r="Z83" s="28">
        <v>0.58983338468109203</v>
      </c>
    </row>
    <row r="84" spans="2:26" x14ac:dyDescent="0.3">
      <c r="B84" s="46">
        <v>53</v>
      </c>
      <c r="C84" s="5" t="s">
        <v>65</v>
      </c>
      <c r="D84">
        <v>0.875</v>
      </c>
      <c r="E84" s="36">
        <v>4.2500000000000003E-3</v>
      </c>
      <c r="F84">
        <v>0.3</v>
      </c>
      <c r="G84">
        <v>1</v>
      </c>
      <c r="H84">
        <v>0.41249999999999998</v>
      </c>
      <c r="I84" s="35">
        <v>2.81</v>
      </c>
      <c r="J84" s="35">
        <v>2.81</v>
      </c>
      <c r="K84" s="35">
        <v>8.6354769383447607</v>
      </c>
      <c r="L84" s="28">
        <v>23.171350930647499</v>
      </c>
      <c r="M84" s="38">
        <v>30.75</v>
      </c>
      <c r="N84" s="24">
        <v>5.5147537405077296E-3</v>
      </c>
      <c r="O84" s="35">
        <v>0.75</v>
      </c>
      <c r="P84">
        <v>16.100000000000001</v>
      </c>
      <c r="Q84" s="24">
        <v>5.5147537405077296E-3</v>
      </c>
      <c r="R84" s="35">
        <v>0.30937499999999996</v>
      </c>
      <c r="S84" s="55" t="s">
        <v>8</v>
      </c>
      <c r="T84" s="58" t="s">
        <v>8</v>
      </c>
      <c r="U84">
        <v>16.100000000000001</v>
      </c>
      <c r="V84" s="24">
        <v>5.5147537405077296E-3</v>
      </c>
      <c r="W84" s="55" t="s">
        <v>8</v>
      </c>
      <c r="X84" s="55" t="s">
        <v>8</v>
      </c>
      <c r="Y84">
        <v>1</v>
      </c>
      <c r="Z84" s="28">
        <v>0.57415674987229204</v>
      </c>
    </row>
    <row r="85" spans="2:26" x14ac:dyDescent="0.3">
      <c r="B85" s="46">
        <v>54</v>
      </c>
      <c r="C85" s="5" t="s">
        <v>65</v>
      </c>
      <c r="D85">
        <v>0.875</v>
      </c>
      <c r="E85" s="36">
        <v>4.2500000000000003E-3</v>
      </c>
      <c r="F85">
        <v>0.3</v>
      </c>
      <c r="G85">
        <v>1</v>
      </c>
      <c r="H85">
        <v>0.41249999999999998</v>
      </c>
      <c r="I85" s="35">
        <v>2.81</v>
      </c>
      <c r="J85" s="35">
        <v>2.81</v>
      </c>
      <c r="K85" s="35">
        <v>8.8161180427193901</v>
      </c>
      <c r="L85" s="28">
        <v>23.656060513204299</v>
      </c>
      <c r="M85" s="38">
        <v>40.25</v>
      </c>
      <c r="N85" s="24">
        <v>9.3704221146265598E-3</v>
      </c>
      <c r="O85" s="35">
        <v>0.75</v>
      </c>
      <c r="P85">
        <v>21.7</v>
      </c>
      <c r="Q85" s="24">
        <v>9.3704221146265598E-3</v>
      </c>
      <c r="R85" s="35">
        <v>0.30937499999999996</v>
      </c>
      <c r="S85" s="55" t="s">
        <v>8</v>
      </c>
      <c r="T85" s="58" t="s">
        <v>8</v>
      </c>
      <c r="U85">
        <v>21.7</v>
      </c>
      <c r="V85" s="24">
        <v>9.3704221146265598E-3</v>
      </c>
      <c r="W85" s="55" t="s">
        <v>8</v>
      </c>
      <c r="X85" s="55" t="s">
        <v>8</v>
      </c>
      <c r="Y85">
        <v>1.03</v>
      </c>
      <c r="Z85" s="28">
        <v>0.68067209833071496</v>
      </c>
    </row>
    <row r="86" spans="2:26" x14ac:dyDescent="0.3">
      <c r="B86" s="46">
        <v>55</v>
      </c>
      <c r="C86" s="5" t="s">
        <v>65</v>
      </c>
      <c r="D86">
        <v>0.75</v>
      </c>
      <c r="E86" s="36">
        <v>3.5000000000000001E-3</v>
      </c>
      <c r="F86">
        <v>0.3</v>
      </c>
      <c r="G86">
        <v>1</v>
      </c>
      <c r="H86">
        <v>0.32500000000000001</v>
      </c>
      <c r="I86" s="35">
        <v>2.81</v>
      </c>
      <c r="J86" s="35">
        <v>2.81</v>
      </c>
      <c r="K86" s="35">
        <v>10.6637371462384</v>
      </c>
      <c r="L86" s="28">
        <v>28.613728855030999</v>
      </c>
      <c r="M86" s="38">
        <v>35.5</v>
      </c>
      <c r="N86" s="24">
        <v>1.08916789845473E-2</v>
      </c>
      <c r="O86" s="35">
        <v>1</v>
      </c>
      <c r="P86">
        <v>23.7</v>
      </c>
      <c r="Q86" s="24">
        <v>1.08916789845473E-2</v>
      </c>
      <c r="R86" s="35">
        <v>0.32500000000000001</v>
      </c>
      <c r="S86" s="55" t="s">
        <v>8</v>
      </c>
      <c r="T86" s="58" t="s">
        <v>8</v>
      </c>
      <c r="U86">
        <v>23.7</v>
      </c>
      <c r="V86" s="24">
        <v>1.08916789845473E-2</v>
      </c>
      <c r="W86" s="55" t="s">
        <v>8</v>
      </c>
      <c r="X86" s="55" t="s">
        <v>8</v>
      </c>
      <c r="Y86">
        <v>0.86</v>
      </c>
      <c r="Z86" s="28">
        <v>0.58358453993443304</v>
      </c>
    </row>
    <row r="87" spans="2:26" x14ac:dyDescent="0.3">
      <c r="B87" s="46">
        <v>56</v>
      </c>
      <c r="C87" s="5" t="s">
        <v>65</v>
      </c>
      <c r="D87">
        <v>0.75</v>
      </c>
      <c r="E87" s="36">
        <v>3.5000000000000001E-3</v>
      </c>
      <c r="F87">
        <v>0.3</v>
      </c>
      <c r="G87">
        <v>1</v>
      </c>
      <c r="H87">
        <v>0.32500000000000001</v>
      </c>
      <c r="I87" s="35">
        <v>2.81</v>
      </c>
      <c r="J87" s="35">
        <v>2.81</v>
      </c>
      <c r="K87" s="35">
        <v>10.695837326244</v>
      </c>
      <c r="L87" s="28">
        <v>28.699862434120998</v>
      </c>
      <c r="M87" s="38">
        <v>35.5</v>
      </c>
      <c r="N87" s="24">
        <v>1.08916789845473E-2</v>
      </c>
      <c r="O87" s="35">
        <v>1.5</v>
      </c>
      <c r="P87">
        <v>25.9</v>
      </c>
      <c r="Q87" s="24">
        <v>1.08916789845473E-2</v>
      </c>
      <c r="R87" s="35">
        <v>0.48750000000000004</v>
      </c>
      <c r="S87" s="55" t="s">
        <v>8</v>
      </c>
      <c r="T87" s="58" t="s">
        <v>8</v>
      </c>
      <c r="U87">
        <v>25.9</v>
      </c>
      <c r="V87" s="24">
        <v>1.08916789845473E-2</v>
      </c>
      <c r="W87" s="55" t="s">
        <v>8</v>
      </c>
      <c r="X87" s="55" t="s">
        <v>8</v>
      </c>
      <c r="Y87">
        <v>0.7</v>
      </c>
      <c r="Z87" s="28">
        <v>0.47478064265852199</v>
      </c>
    </row>
    <row r="88" spans="2:26" x14ac:dyDescent="0.3">
      <c r="B88" s="46">
        <v>57</v>
      </c>
      <c r="C88" s="5" t="s">
        <v>65</v>
      </c>
      <c r="D88">
        <v>0.875</v>
      </c>
      <c r="E88" s="36">
        <v>2.7499999999999998E-3</v>
      </c>
      <c r="F88">
        <v>0.3</v>
      </c>
      <c r="G88">
        <v>1</v>
      </c>
      <c r="H88">
        <v>0.23749999999999999</v>
      </c>
      <c r="I88" s="35">
        <v>2.81</v>
      </c>
      <c r="J88" s="35">
        <v>2.81</v>
      </c>
      <c r="K88" s="35">
        <v>13.411732335988599</v>
      </c>
      <c r="L88" s="28">
        <v>35.987352958489097</v>
      </c>
      <c r="M88" s="38">
        <v>30.75</v>
      </c>
      <c r="N88" s="24">
        <v>5.5147537405077296E-3</v>
      </c>
      <c r="O88" s="35">
        <v>1.25</v>
      </c>
      <c r="P88">
        <v>19.600000000000001</v>
      </c>
      <c r="Q88" s="24">
        <v>5.5147537405077296E-3</v>
      </c>
      <c r="R88" s="35">
        <v>0.296875</v>
      </c>
      <c r="S88" s="55" t="s">
        <v>8</v>
      </c>
      <c r="T88" s="58" t="s">
        <v>8</v>
      </c>
      <c r="U88">
        <v>19.600000000000001</v>
      </c>
      <c r="V88" s="24">
        <v>5.5147537405077296E-3</v>
      </c>
      <c r="W88" s="55" t="s">
        <v>8</v>
      </c>
      <c r="X88" s="55" t="s">
        <v>8</v>
      </c>
      <c r="Y88">
        <v>0.77</v>
      </c>
      <c r="Z88" s="28">
        <v>0.43698619529529398</v>
      </c>
    </row>
    <row r="89" spans="2:26" x14ac:dyDescent="0.3">
      <c r="B89" s="46">
        <v>58</v>
      </c>
      <c r="C89" s="5" t="s">
        <v>65</v>
      </c>
      <c r="D89">
        <v>0.875</v>
      </c>
      <c r="E89" s="36">
        <v>4.2500000000000003E-3</v>
      </c>
      <c r="F89">
        <v>0.3</v>
      </c>
      <c r="G89">
        <v>1</v>
      </c>
      <c r="H89">
        <v>0.41249999999999998</v>
      </c>
      <c r="I89" s="35">
        <v>2.81</v>
      </c>
      <c r="J89" s="35">
        <v>2.81</v>
      </c>
      <c r="K89" s="35">
        <v>8.8761210116465907</v>
      </c>
      <c r="L89" s="28">
        <v>23.817064920930701</v>
      </c>
      <c r="M89" s="38">
        <v>40.25</v>
      </c>
      <c r="N89" s="24">
        <v>1.90275189094509E-2</v>
      </c>
      <c r="O89" s="35">
        <v>0.75</v>
      </c>
      <c r="P89">
        <v>27.4</v>
      </c>
      <c r="Q89" s="24">
        <v>1.90275189094509E-2</v>
      </c>
      <c r="R89" s="35">
        <v>0.30937499999999996</v>
      </c>
      <c r="S89" s="55" t="s">
        <v>8</v>
      </c>
      <c r="T89" s="58" t="s">
        <v>8</v>
      </c>
      <c r="U89">
        <v>27.4</v>
      </c>
      <c r="V89" s="24">
        <v>1.90275189094509E-2</v>
      </c>
      <c r="W89" s="55" t="s">
        <v>8</v>
      </c>
      <c r="X89" s="55" t="s">
        <v>8</v>
      </c>
      <c r="Y89">
        <v>1.05</v>
      </c>
      <c r="Z89" s="28">
        <v>0.79334599441287801</v>
      </c>
    </row>
    <row r="90" spans="2:26" x14ac:dyDescent="0.3">
      <c r="B90" s="46">
        <v>59</v>
      </c>
      <c r="C90" s="5" t="s">
        <v>65</v>
      </c>
      <c r="D90">
        <v>0.625</v>
      </c>
      <c r="E90" s="36">
        <v>4.2500000000000003E-3</v>
      </c>
      <c r="F90">
        <v>0.3</v>
      </c>
      <c r="G90">
        <v>1</v>
      </c>
      <c r="H90">
        <v>0.41249999999999998</v>
      </c>
      <c r="I90" s="35">
        <v>2.81</v>
      </c>
      <c r="J90" s="35">
        <v>2.81</v>
      </c>
      <c r="K90" s="35">
        <v>8.8954022725167192</v>
      </c>
      <c r="L90" s="28">
        <v>23.8688018273224</v>
      </c>
      <c r="M90" s="38">
        <v>40.25</v>
      </c>
      <c r="N90" s="24">
        <v>9.3704221146265598E-3</v>
      </c>
      <c r="O90" s="35">
        <v>1.25</v>
      </c>
      <c r="P90">
        <v>28.3</v>
      </c>
      <c r="Q90" s="24">
        <v>9.3704221146265598E-3</v>
      </c>
      <c r="R90" s="35">
        <v>0.515625</v>
      </c>
      <c r="S90" s="55" t="s">
        <v>8</v>
      </c>
      <c r="T90" s="58" t="s">
        <v>8</v>
      </c>
      <c r="U90">
        <v>28.3</v>
      </c>
      <c r="V90" s="24">
        <v>9.3704221146265598E-3</v>
      </c>
      <c r="W90" s="55" t="s">
        <v>8</v>
      </c>
      <c r="X90" s="55" t="s">
        <v>8</v>
      </c>
      <c r="Y90">
        <v>0.66</v>
      </c>
      <c r="Z90" s="28">
        <v>0.43849226819687598</v>
      </c>
    </row>
    <row r="91" spans="2:26" x14ac:dyDescent="0.3">
      <c r="B91" s="46">
        <v>60</v>
      </c>
      <c r="C91" s="5" t="s">
        <v>65</v>
      </c>
      <c r="D91">
        <v>0.75</v>
      </c>
      <c r="E91" s="36">
        <v>3.5000000000000001E-3</v>
      </c>
      <c r="F91">
        <v>0.3</v>
      </c>
      <c r="G91">
        <v>1</v>
      </c>
      <c r="H91">
        <v>0.32500000000000001</v>
      </c>
      <c r="I91" s="35">
        <v>2.81</v>
      </c>
      <c r="J91" s="35">
        <v>2.81</v>
      </c>
      <c r="K91" s="35">
        <v>10.888527351769</v>
      </c>
      <c r="L91" s="28">
        <v>29.216902573785799</v>
      </c>
      <c r="M91" s="38">
        <v>45</v>
      </c>
      <c r="N91" s="24">
        <v>1.8279025639613401E-2</v>
      </c>
      <c r="O91" s="35">
        <v>1</v>
      </c>
      <c r="P91">
        <v>30.3</v>
      </c>
      <c r="Q91" s="24">
        <v>1.8279025639613401E-2</v>
      </c>
      <c r="R91" s="35">
        <v>0.32500000000000001</v>
      </c>
      <c r="S91" s="55" t="s">
        <v>8</v>
      </c>
      <c r="T91" s="58" t="s">
        <v>8</v>
      </c>
      <c r="U91">
        <v>30.3</v>
      </c>
      <c r="V91" s="24">
        <v>1.8279025639613401E-2</v>
      </c>
      <c r="W91" s="55" t="s">
        <v>8</v>
      </c>
      <c r="X91" s="55" t="s">
        <v>8</v>
      </c>
      <c r="Y91">
        <v>0.9</v>
      </c>
      <c r="Z91" s="28">
        <v>0.68073594863531395</v>
      </c>
    </row>
    <row r="92" spans="2:26" x14ac:dyDescent="0.3">
      <c r="B92" s="46">
        <v>61</v>
      </c>
      <c r="C92" s="5" t="s">
        <v>65</v>
      </c>
      <c r="D92">
        <v>0.875</v>
      </c>
      <c r="E92" s="36">
        <v>2.7499999999999998E-3</v>
      </c>
      <c r="F92">
        <v>0.3</v>
      </c>
      <c r="G92">
        <v>1</v>
      </c>
      <c r="H92">
        <v>0.41249999999999998</v>
      </c>
      <c r="I92" s="35">
        <v>2.81</v>
      </c>
      <c r="J92" s="35">
        <v>2.81</v>
      </c>
      <c r="K92" s="35">
        <v>13.3570597091606</v>
      </c>
      <c r="L92" s="28">
        <v>35.840651319242397</v>
      </c>
      <c r="M92" s="38">
        <v>30.75</v>
      </c>
      <c r="N92" s="24">
        <v>5.5147537405077296E-3</v>
      </c>
      <c r="O92" s="35">
        <v>1.25</v>
      </c>
      <c r="P92">
        <v>16.7</v>
      </c>
      <c r="Q92" s="24">
        <v>5.5147537405077296E-3</v>
      </c>
      <c r="R92" s="35">
        <v>0.515625</v>
      </c>
      <c r="S92" s="55" t="s">
        <v>8</v>
      </c>
      <c r="T92" s="58" t="s">
        <v>8</v>
      </c>
      <c r="U92">
        <v>16.7</v>
      </c>
      <c r="V92" s="24">
        <v>5.5147537405077296E-3</v>
      </c>
      <c r="W92" s="55" t="s">
        <v>8</v>
      </c>
      <c r="X92" s="55" t="s">
        <v>8</v>
      </c>
      <c r="Y92">
        <v>0.96</v>
      </c>
      <c r="Z92" s="28">
        <v>0.55064179765909305</v>
      </c>
    </row>
    <row r="93" spans="2:26" x14ac:dyDescent="0.3">
      <c r="B93" s="46">
        <v>62</v>
      </c>
      <c r="C93" s="5" t="s">
        <v>65</v>
      </c>
      <c r="D93">
        <v>0.875</v>
      </c>
      <c r="E93" s="36">
        <v>2.7499999999999998E-3</v>
      </c>
      <c r="F93">
        <v>0.3</v>
      </c>
      <c r="G93">
        <v>1</v>
      </c>
      <c r="H93">
        <v>0.23749999999999999</v>
      </c>
      <c r="I93" s="35">
        <v>2.81</v>
      </c>
      <c r="J93" s="35">
        <v>2.81</v>
      </c>
      <c r="K93" s="35">
        <v>13.461060697870399</v>
      </c>
      <c r="L93" s="28">
        <v>36.119714470442403</v>
      </c>
      <c r="M93" s="38">
        <v>30.75</v>
      </c>
      <c r="N93" s="24">
        <v>1.1128180474441699E-2</v>
      </c>
      <c r="O93" s="35">
        <v>1.25</v>
      </c>
      <c r="P93">
        <v>22.5</v>
      </c>
      <c r="Q93" s="24">
        <v>1.1128180474441699E-2</v>
      </c>
      <c r="R93" s="35">
        <v>0.296875</v>
      </c>
      <c r="S93" s="55" t="s">
        <v>8</v>
      </c>
      <c r="T93" s="58" t="s">
        <v>8</v>
      </c>
      <c r="U93">
        <v>22.5</v>
      </c>
      <c r="V93" s="24">
        <v>1.1128180474441699E-2</v>
      </c>
      <c r="W93" s="55" t="s">
        <v>8</v>
      </c>
      <c r="X93" s="55" t="s">
        <v>8</v>
      </c>
      <c r="Y93">
        <v>0.82</v>
      </c>
      <c r="Z93" s="28">
        <v>0.54487681043206504</v>
      </c>
    </row>
    <row r="94" spans="2:26" x14ac:dyDescent="0.3">
      <c r="B94" s="46">
        <v>63</v>
      </c>
      <c r="C94" s="5" t="s">
        <v>65</v>
      </c>
      <c r="D94">
        <v>0.75</v>
      </c>
      <c r="E94" s="36">
        <v>3.5000000000000001E-3</v>
      </c>
      <c r="F94">
        <v>0.3</v>
      </c>
      <c r="G94">
        <v>1</v>
      </c>
      <c r="H94">
        <v>0.32500000000000001</v>
      </c>
      <c r="I94" s="35">
        <v>2.81</v>
      </c>
      <c r="J94" s="35">
        <v>2.81</v>
      </c>
      <c r="K94" s="35">
        <v>10.609512014119399</v>
      </c>
      <c r="L94" s="28">
        <v>28.468227966712</v>
      </c>
      <c r="M94" s="38">
        <v>35.5</v>
      </c>
      <c r="N94" s="24">
        <v>3.5886625373428298E-3</v>
      </c>
      <c r="O94" s="35">
        <v>1</v>
      </c>
      <c r="P94">
        <v>19.600000000000001</v>
      </c>
      <c r="Q94" s="24">
        <v>3.5886625373428298E-3</v>
      </c>
      <c r="R94" s="35">
        <v>0.32500000000000001</v>
      </c>
      <c r="S94" s="55" t="s">
        <v>8</v>
      </c>
      <c r="T94" s="58" t="s">
        <v>8</v>
      </c>
      <c r="U94">
        <v>19.600000000000001</v>
      </c>
      <c r="V94" s="24">
        <v>3.5886625373428298E-3</v>
      </c>
      <c r="W94" s="55" t="s">
        <v>8</v>
      </c>
      <c r="X94" s="55" t="s">
        <v>8</v>
      </c>
      <c r="Y94">
        <v>0.83</v>
      </c>
      <c r="Z94" s="28">
        <v>0.43974345210517501</v>
      </c>
    </row>
    <row r="95" spans="2:26" x14ac:dyDescent="0.3">
      <c r="B95" s="46">
        <v>64</v>
      </c>
      <c r="C95" s="5" t="s">
        <v>65</v>
      </c>
      <c r="D95">
        <v>0.625</v>
      </c>
      <c r="E95" s="36">
        <v>4.2500000000000003E-3</v>
      </c>
      <c r="F95">
        <v>0.3</v>
      </c>
      <c r="G95">
        <v>1</v>
      </c>
      <c r="H95">
        <v>0.41249999999999998</v>
      </c>
      <c r="I95" s="35">
        <v>2.81</v>
      </c>
      <c r="J95" s="35">
        <v>2.81</v>
      </c>
      <c r="K95" s="35">
        <v>8.6623284271265408</v>
      </c>
      <c r="L95" s="28">
        <v>23.243400832930298</v>
      </c>
      <c r="M95" s="38">
        <v>30.75</v>
      </c>
      <c r="N95" s="24">
        <v>5.5147537405077296E-3</v>
      </c>
      <c r="O95" s="35">
        <v>0.75</v>
      </c>
      <c r="P95">
        <v>18.3</v>
      </c>
      <c r="Q95" s="24">
        <v>5.5147537405077296E-3</v>
      </c>
      <c r="R95" s="35">
        <v>0.30937499999999996</v>
      </c>
      <c r="S95" s="55" t="s">
        <v>8</v>
      </c>
      <c r="T95" s="58" t="s">
        <v>8</v>
      </c>
      <c r="U95">
        <v>18.3</v>
      </c>
      <c r="V95" s="24">
        <v>5.5147537405077296E-3</v>
      </c>
      <c r="W95" s="55" t="s">
        <v>8</v>
      </c>
      <c r="X95" s="55" t="s">
        <v>8</v>
      </c>
      <c r="Y95">
        <v>0.85</v>
      </c>
      <c r="Z95" s="28">
        <v>0.48793525842389301</v>
      </c>
    </row>
    <row r="96" spans="2:26" x14ac:dyDescent="0.3">
      <c r="B96" s="46">
        <v>65</v>
      </c>
      <c r="C96" s="5" t="s">
        <v>65</v>
      </c>
      <c r="D96">
        <v>0.625</v>
      </c>
      <c r="E96" s="36">
        <v>2.7499999999999998E-3</v>
      </c>
      <c r="F96">
        <v>0.3</v>
      </c>
      <c r="G96">
        <v>1</v>
      </c>
      <c r="H96">
        <v>0.23749999999999999</v>
      </c>
      <c r="I96" s="35">
        <v>2.81</v>
      </c>
      <c r="J96" s="35">
        <v>2.81</v>
      </c>
      <c r="K96" s="35">
        <v>13.4536049108893</v>
      </c>
      <c r="L96" s="28">
        <v>36.099708550927097</v>
      </c>
      <c r="M96" s="38">
        <v>30.75</v>
      </c>
      <c r="N96" s="24">
        <v>1.1128180474441699E-2</v>
      </c>
      <c r="O96" s="35">
        <v>0.75</v>
      </c>
      <c r="P96">
        <v>22.1</v>
      </c>
      <c r="Q96" s="24">
        <v>1.1128180474441699E-2</v>
      </c>
      <c r="R96" s="35">
        <v>0.17812499999999998</v>
      </c>
      <c r="S96" s="55" t="s">
        <v>8</v>
      </c>
      <c r="T96" s="58" t="s">
        <v>8</v>
      </c>
      <c r="U96">
        <v>22.1</v>
      </c>
      <c r="V96" s="24">
        <v>1.1128180474441699E-2</v>
      </c>
      <c r="W96" s="55" t="s">
        <v>8</v>
      </c>
      <c r="X96" s="55" t="s">
        <v>8</v>
      </c>
      <c r="Y96">
        <v>0.86</v>
      </c>
      <c r="Z96" s="28">
        <v>0.57129508002877105</v>
      </c>
    </row>
    <row r="97" spans="2:26" x14ac:dyDescent="0.3">
      <c r="B97" s="46">
        <v>66</v>
      </c>
      <c r="C97" s="5" t="s">
        <v>65</v>
      </c>
      <c r="D97">
        <v>0.625</v>
      </c>
      <c r="E97" s="36">
        <v>4.2500000000000003E-3</v>
      </c>
      <c r="F97">
        <v>0.3</v>
      </c>
      <c r="G97">
        <v>1</v>
      </c>
      <c r="H97">
        <v>0.41249999999999998</v>
      </c>
      <c r="I97" s="35">
        <v>2.81</v>
      </c>
      <c r="J97" s="35">
        <v>2.81</v>
      </c>
      <c r="K97" s="35">
        <v>8.7016547966943492</v>
      </c>
      <c r="L97" s="28">
        <v>23.348924258745701</v>
      </c>
      <c r="M97" s="38">
        <v>30.75</v>
      </c>
      <c r="N97" s="24">
        <v>1.1128180474441699E-2</v>
      </c>
      <c r="O97" s="35">
        <v>0.75</v>
      </c>
      <c r="P97">
        <v>21.8</v>
      </c>
      <c r="Q97" s="24">
        <v>1.1128180474441699E-2</v>
      </c>
      <c r="R97" s="35">
        <v>0.30937499999999996</v>
      </c>
      <c r="S97" s="55" t="s">
        <v>8</v>
      </c>
      <c r="T97" s="58" t="s">
        <v>8</v>
      </c>
      <c r="U97">
        <v>21.8</v>
      </c>
      <c r="V97" s="24">
        <v>1.1128180474441699E-2</v>
      </c>
      <c r="W97" s="55" t="s">
        <v>8</v>
      </c>
      <c r="X97" s="55" t="s">
        <v>8</v>
      </c>
      <c r="Y97">
        <v>0.88</v>
      </c>
      <c r="Z97" s="28">
        <v>0.59110878222630103</v>
      </c>
    </row>
    <row r="98" spans="2:26" x14ac:dyDescent="0.3">
      <c r="B98" s="46">
        <v>67</v>
      </c>
      <c r="C98" s="5" t="s">
        <v>65</v>
      </c>
      <c r="D98">
        <v>0.75</v>
      </c>
      <c r="E98" s="36">
        <v>3.5000000000000001E-3</v>
      </c>
      <c r="F98">
        <v>0.3</v>
      </c>
      <c r="G98">
        <v>1</v>
      </c>
      <c r="H98">
        <v>0.32500000000000001</v>
      </c>
      <c r="I98" s="35">
        <v>2.81</v>
      </c>
      <c r="J98" s="35">
        <v>2.81</v>
      </c>
      <c r="K98" s="35">
        <v>10.6637371462384</v>
      </c>
      <c r="L98" s="28">
        <v>28.613728855030999</v>
      </c>
      <c r="M98" s="38">
        <v>35.5</v>
      </c>
      <c r="N98" s="24">
        <v>1.08916789845473E-2</v>
      </c>
      <c r="O98" s="35">
        <v>1</v>
      </c>
      <c r="P98">
        <v>23.7</v>
      </c>
      <c r="Q98" s="24">
        <v>1.08916789845473E-2</v>
      </c>
      <c r="R98" s="35">
        <v>0.32500000000000001</v>
      </c>
      <c r="S98" s="55" t="s">
        <v>8</v>
      </c>
      <c r="T98" s="58" t="s">
        <v>8</v>
      </c>
      <c r="U98">
        <v>23.7</v>
      </c>
      <c r="V98" s="24">
        <v>1.08916789845473E-2</v>
      </c>
      <c r="W98" s="55" t="s">
        <v>8</v>
      </c>
      <c r="X98" s="55" t="s">
        <v>8</v>
      </c>
      <c r="Y98">
        <v>0.86</v>
      </c>
      <c r="Z98" s="28">
        <v>0.58358453993443304</v>
      </c>
    </row>
    <row r="99" spans="2:26" x14ac:dyDescent="0.3">
      <c r="B99" s="46">
        <v>68</v>
      </c>
      <c r="C99" s="5" t="s">
        <v>65</v>
      </c>
      <c r="D99">
        <v>0.625</v>
      </c>
      <c r="E99" s="36">
        <v>2.7499999999999998E-3</v>
      </c>
      <c r="F99">
        <v>0.3</v>
      </c>
      <c r="G99">
        <v>1</v>
      </c>
      <c r="H99">
        <v>0.41249999999999998</v>
      </c>
      <c r="I99" s="35">
        <v>2.81</v>
      </c>
      <c r="J99" s="35">
        <v>2.81</v>
      </c>
      <c r="K99" s="35">
        <v>13.4163005294263</v>
      </c>
      <c r="L99" s="28">
        <v>35.999610673265003</v>
      </c>
      <c r="M99" s="38">
        <v>30.75</v>
      </c>
      <c r="N99" s="24">
        <v>1.1128180474441699E-2</v>
      </c>
      <c r="O99" s="35">
        <v>0.75</v>
      </c>
      <c r="P99">
        <v>20.100000000000001</v>
      </c>
      <c r="Q99" s="24">
        <v>1.1128180474441699E-2</v>
      </c>
      <c r="R99" s="35">
        <v>0.30937499999999996</v>
      </c>
      <c r="S99" s="55" t="s">
        <v>8</v>
      </c>
      <c r="T99" s="58" t="s">
        <v>8</v>
      </c>
      <c r="U99">
        <v>20.100000000000001</v>
      </c>
      <c r="V99" s="24">
        <v>1.1128180474441699E-2</v>
      </c>
      <c r="W99" s="55" t="s">
        <v>8</v>
      </c>
      <c r="X99" s="55" t="s">
        <v>8</v>
      </c>
      <c r="Y99">
        <v>1.06</v>
      </c>
      <c r="Z99" s="28">
        <v>0.703386428012302</v>
      </c>
    </row>
    <row r="100" spans="2:26" x14ac:dyDescent="0.3">
      <c r="B100" s="46">
        <v>69</v>
      </c>
      <c r="C100" s="5" t="s">
        <v>65</v>
      </c>
      <c r="D100">
        <v>0.625</v>
      </c>
      <c r="E100" s="36">
        <v>4.2500000000000003E-3</v>
      </c>
      <c r="F100">
        <v>0.3</v>
      </c>
      <c r="G100">
        <v>1</v>
      </c>
      <c r="H100">
        <v>0.41249999999999998</v>
      </c>
      <c r="I100" s="35">
        <v>2.81</v>
      </c>
      <c r="J100" s="35">
        <v>2.81</v>
      </c>
      <c r="K100" s="35">
        <v>8.8961862343498499</v>
      </c>
      <c r="L100" s="28">
        <v>23.870905411742999</v>
      </c>
      <c r="M100" s="38">
        <v>40.25</v>
      </c>
      <c r="N100" s="24">
        <v>1.90275189094509E-2</v>
      </c>
      <c r="O100" s="35">
        <v>0.75</v>
      </c>
      <c r="P100">
        <v>29.1</v>
      </c>
      <c r="Q100" s="24">
        <v>1.90275189094509E-2</v>
      </c>
      <c r="R100" s="35">
        <v>0.30937499999999996</v>
      </c>
      <c r="S100" s="55" t="s">
        <v>8</v>
      </c>
      <c r="T100" s="58" t="s">
        <v>8</v>
      </c>
      <c r="U100">
        <v>29.1</v>
      </c>
      <c r="V100" s="24">
        <v>1.90275189094509E-2</v>
      </c>
      <c r="W100" s="55" t="s">
        <v>8</v>
      </c>
      <c r="X100" s="55" t="s">
        <v>8</v>
      </c>
      <c r="Y100">
        <v>0.91</v>
      </c>
      <c r="Z100" s="28">
        <v>0.68838971499638801</v>
      </c>
    </row>
    <row r="101" spans="2:26" x14ac:dyDescent="0.3">
      <c r="B101" s="46">
        <v>70</v>
      </c>
      <c r="C101" s="5" t="s">
        <v>65</v>
      </c>
      <c r="D101">
        <v>0.625</v>
      </c>
      <c r="E101" s="36">
        <v>2.7499999999999998E-3</v>
      </c>
      <c r="F101">
        <v>0.3</v>
      </c>
      <c r="G101">
        <v>1</v>
      </c>
      <c r="H101">
        <v>0.23749999999999999</v>
      </c>
      <c r="I101" s="35">
        <v>2.81</v>
      </c>
      <c r="J101" s="35">
        <v>2.81</v>
      </c>
      <c r="K101" s="35">
        <v>13.481555383577501</v>
      </c>
      <c r="L101" s="28">
        <v>36.174707328175899</v>
      </c>
      <c r="M101" s="38">
        <v>30.75</v>
      </c>
      <c r="N101" s="24">
        <v>1.1128180474441699E-2</v>
      </c>
      <c r="O101" s="35">
        <v>1.25</v>
      </c>
      <c r="P101">
        <v>23.6</v>
      </c>
      <c r="Q101" s="24">
        <v>1.1128180474441699E-2</v>
      </c>
      <c r="R101" s="35">
        <v>0.296875</v>
      </c>
      <c r="S101" s="55" t="s">
        <v>8</v>
      </c>
      <c r="T101" s="58" t="s">
        <v>8</v>
      </c>
      <c r="U101">
        <v>23.6</v>
      </c>
      <c r="V101" s="24">
        <v>1.1128180474441699E-2</v>
      </c>
      <c r="W101" s="55" t="s">
        <v>8</v>
      </c>
      <c r="X101" s="55" t="s">
        <v>8</v>
      </c>
      <c r="Y101">
        <v>0.71</v>
      </c>
      <c r="Z101" s="28">
        <v>0.47222656904112298</v>
      </c>
    </row>
    <row r="102" spans="2:26" x14ac:dyDescent="0.3">
      <c r="B102" s="46">
        <v>71</v>
      </c>
      <c r="C102" s="5" t="s">
        <v>65</v>
      </c>
      <c r="D102">
        <v>0.625</v>
      </c>
      <c r="E102" s="36">
        <v>2.7499999999999998E-3</v>
      </c>
      <c r="F102">
        <v>0.3</v>
      </c>
      <c r="G102">
        <v>1</v>
      </c>
      <c r="H102">
        <v>0.41249999999999998</v>
      </c>
      <c r="I102" s="35">
        <v>2.81</v>
      </c>
      <c r="J102" s="35">
        <v>2.81</v>
      </c>
      <c r="K102" s="35">
        <v>13.759588883029799</v>
      </c>
      <c r="L102" s="28">
        <v>36.920747394321999</v>
      </c>
      <c r="M102" s="38">
        <v>40.25</v>
      </c>
      <c r="N102" s="24">
        <v>1.90275189094509E-2</v>
      </c>
      <c r="O102" s="35">
        <v>1.25</v>
      </c>
      <c r="P102">
        <v>29.7</v>
      </c>
      <c r="Q102" s="24">
        <v>1.90275189094509E-2</v>
      </c>
      <c r="R102" s="35">
        <v>0.515625</v>
      </c>
      <c r="S102" s="55" t="s">
        <v>8</v>
      </c>
      <c r="T102" s="58" t="s">
        <v>8</v>
      </c>
      <c r="U102">
        <v>29.7</v>
      </c>
      <c r="V102" s="24">
        <v>1.90275189094509E-2</v>
      </c>
      <c r="W102" s="55" t="s">
        <v>8</v>
      </c>
      <c r="X102" s="55" t="s">
        <v>8</v>
      </c>
      <c r="Y102">
        <v>0.87</v>
      </c>
      <c r="Z102" s="28">
        <v>0.65134632226115596</v>
      </c>
    </row>
    <row r="103" spans="2:26" x14ac:dyDescent="0.3">
      <c r="B103" s="46">
        <v>72</v>
      </c>
      <c r="C103" s="5" t="s">
        <v>65</v>
      </c>
      <c r="D103">
        <v>0.875</v>
      </c>
      <c r="E103" s="36">
        <v>4.2500000000000003E-3</v>
      </c>
      <c r="F103">
        <v>0.3</v>
      </c>
      <c r="G103">
        <v>1</v>
      </c>
      <c r="H103">
        <v>0.41249999999999998</v>
      </c>
      <c r="I103" s="35">
        <v>2.81</v>
      </c>
      <c r="J103" s="35">
        <v>2.81</v>
      </c>
      <c r="K103" s="35">
        <v>8.8642037538071303</v>
      </c>
      <c r="L103" s="28">
        <v>23.7850876525643</v>
      </c>
      <c r="M103" s="38">
        <v>40.25</v>
      </c>
      <c r="N103" s="24">
        <v>9.3704221146265598E-3</v>
      </c>
      <c r="O103" s="35">
        <v>1.25</v>
      </c>
      <c r="P103">
        <v>25.7</v>
      </c>
      <c r="Q103" s="24">
        <v>9.3704221146265598E-3</v>
      </c>
      <c r="R103" s="35">
        <v>0.515625</v>
      </c>
      <c r="S103" s="55" t="s">
        <v>8</v>
      </c>
      <c r="T103" s="58" t="s">
        <v>8</v>
      </c>
      <c r="U103">
        <v>25.7</v>
      </c>
      <c r="V103" s="24">
        <v>9.3704221146265598E-3</v>
      </c>
      <c r="W103" s="55" t="s">
        <v>8</v>
      </c>
      <c r="X103" s="55" t="s">
        <v>8</v>
      </c>
      <c r="Y103">
        <v>0.81</v>
      </c>
      <c r="Z103" s="28">
        <v>0.53389644370414602</v>
      </c>
    </row>
    <row r="104" spans="2:26" x14ac:dyDescent="0.3">
      <c r="B104" s="46">
        <v>73</v>
      </c>
      <c r="C104" s="5" t="s">
        <v>65</v>
      </c>
      <c r="D104">
        <v>0.875</v>
      </c>
      <c r="E104" s="36">
        <v>4.2500000000000003E-3</v>
      </c>
      <c r="F104">
        <v>0.3</v>
      </c>
      <c r="G104">
        <v>1</v>
      </c>
      <c r="H104">
        <v>0.41249999999999998</v>
      </c>
      <c r="I104" s="35">
        <v>2.81</v>
      </c>
      <c r="J104" s="35">
        <v>2.81</v>
      </c>
      <c r="K104" s="35">
        <v>8.9068010604549102</v>
      </c>
      <c r="L104" s="28">
        <v>23.8993878988719</v>
      </c>
      <c r="M104" s="38">
        <v>40.25</v>
      </c>
      <c r="N104" s="24">
        <v>1.90275189094509E-2</v>
      </c>
      <c r="O104" s="35">
        <v>1.25</v>
      </c>
      <c r="P104">
        <v>30</v>
      </c>
      <c r="Q104" s="24">
        <v>1.90275189094509E-2</v>
      </c>
      <c r="R104" s="35">
        <v>0.515625</v>
      </c>
      <c r="S104" s="55" t="s">
        <v>8</v>
      </c>
      <c r="T104" s="58" t="s">
        <v>8</v>
      </c>
      <c r="U104">
        <v>30</v>
      </c>
      <c r="V104" s="24">
        <v>1.90275189094509E-2</v>
      </c>
      <c r="W104" s="55" t="s">
        <v>8</v>
      </c>
      <c r="X104" s="55" t="s">
        <v>8</v>
      </c>
      <c r="Y104">
        <v>0.84</v>
      </c>
      <c r="Z104" s="28">
        <v>0.63282462589354005</v>
      </c>
    </row>
    <row r="105" spans="2:26" x14ac:dyDescent="0.3">
      <c r="B105" s="46">
        <v>74</v>
      </c>
      <c r="C105" s="5" t="s">
        <v>65</v>
      </c>
      <c r="D105">
        <v>0.875</v>
      </c>
      <c r="E105" s="36">
        <v>4.2500000000000003E-3</v>
      </c>
      <c r="F105">
        <v>0.3</v>
      </c>
      <c r="G105">
        <v>1</v>
      </c>
      <c r="H105">
        <v>0.23749999999999999</v>
      </c>
      <c r="I105" s="35">
        <v>2.81</v>
      </c>
      <c r="J105" s="35">
        <v>2.81</v>
      </c>
      <c r="K105" s="35">
        <v>8.8950064702946108</v>
      </c>
      <c r="L105" s="28">
        <v>23.867739781502301</v>
      </c>
      <c r="M105" s="38">
        <v>40.25</v>
      </c>
      <c r="N105" s="24">
        <v>1.90275189094509E-2</v>
      </c>
      <c r="O105" s="35">
        <v>0.75</v>
      </c>
      <c r="P105">
        <v>29</v>
      </c>
      <c r="Q105" s="24">
        <v>1.90275189094509E-2</v>
      </c>
      <c r="R105" s="35">
        <v>0.17812499999999998</v>
      </c>
      <c r="S105" s="55" t="s">
        <v>8</v>
      </c>
      <c r="T105" s="58" t="s">
        <v>8</v>
      </c>
      <c r="U105">
        <v>29</v>
      </c>
      <c r="V105" s="24">
        <v>1.90275189094509E-2</v>
      </c>
      <c r="W105" s="55" t="s">
        <v>8</v>
      </c>
      <c r="X105" s="55" t="s">
        <v>8</v>
      </c>
      <c r="Y105">
        <v>0.92</v>
      </c>
      <c r="Z105" s="28">
        <v>0.69456361378559295</v>
      </c>
    </row>
    <row r="106" spans="2:26" x14ac:dyDescent="0.3">
      <c r="B106" s="46">
        <v>75</v>
      </c>
      <c r="C106" s="5" t="s">
        <v>65</v>
      </c>
      <c r="D106">
        <v>0.625</v>
      </c>
      <c r="E106" s="36">
        <v>2.7499999999999998E-3</v>
      </c>
      <c r="F106">
        <v>0.3</v>
      </c>
      <c r="G106">
        <v>1</v>
      </c>
      <c r="H106">
        <v>0.41249999999999998</v>
      </c>
      <c r="I106" s="35">
        <v>2.81</v>
      </c>
      <c r="J106" s="35">
        <v>2.81</v>
      </c>
      <c r="K106" s="35">
        <v>13.615608777630399</v>
      </c>
      <c r="L106" s="28">
        <v>36.5344093179122</v>
      </c>
      <c r="M106" s="38">
        <v>40.25</v>
      </c>
      <c r="N106" s="24">
        <v>9.3704221146265598E-3</v>
      </c>
      <c r="O106" s="35">
        <v>0.75</v>
      </c>
      <c r="P106">
        <v>21.2</v>
      </c>
      <c r="Q106" s="24">
        <v>9.3704221146265598E-3</v>
      </c>
      <c r="R106" s="35">
        <v>0.30937499999999996</v>
      </c>
      <c r="S106" s="55" t="s">
        <v>8</v>
      </c>
      <c r="T106" s="58" t="s">
        <v>8</v>
      </c>
      <c r="U106">
        <v>21.2</v>
      </c>
      <c r="V106" s="24">
        <v>9.3704221146265598E-3</v>
      </c>
      <c r="W106" s="55" t="s">
        <v>8</v>
      </c>
      <c r="X106" s="55" t="s">
        <v>8</v>
      </c>
      <c r="Y106">
        <v>1.05</v>
      </c>
      <c r="Z106" s="28">
        <v>0.69901905515903595</v>
      </c>
    </row>
    <row r="107" spans="2:26" x14ac:dyDescent="0.3">
      <c r="B107" s="46">
        <v>76</v>
      </c>
      <c r="C107" s="5" t="s">
        <v>65</v>
      </c>
      <c r="D107">
        <v>0.75</v>
      </c>
      <c r="E107" s="36">
        <v>3.5000000000000001E-3</v>
      </c>
      <c r="F107">
        <v>0.3</v>
      </c>
      <c r="G107">
        <v>1</v>
      </c>
      <c r="H107">
        <v>0.32500000000000001</v>
      </c>
      <c r="I107" s="35">
        <v>2.81</v>
      </c>
      <c r="J107" s="35">
        <v>2.81</v>
      </c>
      <c r="K107" s="35">
        <v>10.6637371462384</v>
      </c>
      <c r="L107" s="28">
        <v>28.613728855030999</v>
      </c>
      <c r="M107" s="38">
        <v>35.5</v>
      </c>
      <c r="N107" s="24">
        <v>1.08916789845473E-2</v>
      </c>
      <c r="O107" s="35">
        <v>1</v>
      </c>
      <c r="P107">
        <v>23.7</v>
      </c>
      <c r="Q107" s="24">
        <v>1.08916789845473E-2</v>
      </c>
      <c r="R107" s="35">
        <v>0.32500000000000001</v>
      </c>
      <c r="S107" s="55" t="s">
        <v>8</v>
      </c>
      <c r="T107" s="58" t="s">
        <v>8</v>
      </c>
      <c r="U107">
        <v>23.7</v>
      </c>
      <c r="V107" s="24">
        <v>1.08916789845473E-2</v>
      </c>
      <c r="W107" s="55" t="s">
        <v>8</v>
      </c>
      <c r="X107" s="55" t="s">
        <v>8</v>
      </c>
      <c r="Y107">
        <v>0.86</v>
      </c>
      <c r="Z107" s="28">
        <v>0.58358453993443304</v>
      </c>
    </row>
    <row r="108" spans="2:26" x14ac:dyDescent="0.3">
      <c r="B108" s="46">
        <v>77</v>
      </c>
      <c r="C108" s="5" t="s">
        <v>65</v>
      </c>
      <c r="D108">
        <v>0.625</v>
      </c>
      <c r="E108" s="36">
        <v>4.2500000000000003E-3</v>
      </c>
      <c r="F108">
        <v>0.3</v>
      </c>
      <c r="G108">
        <v>1</v>
      </c>
      <c r="H108">
        <v>0.23749999999999999</v>
      </c>
      <c r="I108" s="35">
        <v>2.81</v>
      </c>
      <c r="J108" s="35">
        <v>2.81</v>
      </c>
      <c r="K108" s="35">
        <v>8.7171496213675095</v>
      </c>
      <c r="L108" s="28">
        <v>23.390501119256601</v>
      </c>
      <c r="M108" s="38">
        <v>30.75</v>
      </c>
      <c r="N108" s="24">
        <v>5.5147537405077296E-3</v>
      </c>
      <c r="O108" s="35">
        <v>1.25</v>
      </c>
      <c r="P108">
        <v>22.8</v>
      </c>
      <c r="Q108" s="24">
        <v>5.5147537405077296E-3</v>
      </c>
      <c r="R108" s="35">
        <v>0.296875</v>
      </c>
      <c r="S108" s="55" t="s">
        <v>8</v>
      </c>
      <c r="T108" s="58" t="s">
        <v>8</v>
      </c>
      <c r="U108">
        <v>22.8</v>
      </c>
      <c r="V108" s="24">
        <v>5.5147537405077296E-3</v>
      </c>
      <c r="W108" s="55" t="s">
        <v>8</v>
      </c>
      <c r="X108" s="55" t="s">
        <v>8</v>
      </c>
      <c r="Y108">
        <v>0.54</v>
      </c>
      <c r="Z108" s="28">
        <v>0.31157311682489602</v>
      </c>
    </row>
    <row r="109" spans="2:26" x14ac:dyDescent="0.3">
      <c r="B109" s="46">
        <v>78</v>
      </c>
      <c r="C109" s="5" t="s">
        <v>65</v>
      </c>
      <c r="D109">
        <v>0.625</v>
      </c>
      <c r="E109" s="36">
        <v>4.2500000000000003E-3</v>
      </c>
      <c r="F109">
        <v>0.3</v>
      </c>
      <c r="G109">
        <v>1</v>
      </c>
      <c r="H109">
        <v>0.23749999999999999</v>
      </c>
      <c r="I109" s="35">
        <v>2.81</v>
      </c>
      <c r="J109" s="35">
        <v>2.81</v>
      </c>
      <c r="K109" s="35">
        <v>8.7390211113084693</v>
      </c>
      <c r="L109" s="28">
        <v>23.449188320023399</v>
      </c>
      <c r="M109" s="38">
        <v>30.75</v>
      </c>
      <c r="N109" s="24">
        <v>1.1128180474441699E-2</v>
      </c>
      <c r="O109" s="35">
        <v>1.25</v>
      </c>
      <c r="P109">
        <v>24.9</v>
      </c>
      <c r="Q109" s="24">
        <v>1.1128180474441699E-2</v>
      </c>
      <c r="R109" s="35">
        <v>0.296875</v>
      </c>
      <c r="S109" s="55" t="s">
        <v>8</v>
      </c>
      <c r="T109" s="58" t="s">
        <v>8</v>
      </c>
      <c r="U109">
        <v>24.9</v>
      </c>
      <c r="V109" s="24">
        <v>1.1128180474441699E-2</v>
      </c>
      <c r="W109" s="55" t="s">
        <v>8</v>
      </c>
      <c r="X109" s="55" t="s">
        <v>8</v>
      </c>
      <c r="Y109">
        <v>0.57999999999999996</v>
      </c>
      <c r="Z109" s="28">
        <v>0.38636719285182802</v>
      </c>
    </row>
    <row r="110" spans="2:26" x14ac:dyDescent="0.3">
      <c r="B110" s="46">
        <v>79</v>
      </c>
      <c r="C110" s="5" t="s">
        <v>65</v>
      </c>
      <c r="D110">
        <v>0.75</v>
      </c>
      <c r="E110" s="36">
        <v>3.5000000000000001E-3</v>
      </c>
      <c r="F110">
        <v>0.3</v>
      </c>
      <c r="G110">
        <v>1</v>
      </c>
      <c r="H110">
        <v>0.32500000000000001</v>
      </c>
      <c r="I110" s="35">
        <v>2.81</v>
      </c>
      <c r="J110" s="35">
        <v>2.81</v>
      </c>
      <c r="K110" s="35">
        <v>10.615512221344201</v>
      </c>
      <c r="L110" s="28">
        <v>28.484328166880999</v>
      </c>
      <c r="M110" s="38">
        <v>35.5</v>
      </c>
      <c r="N110" s="24">
        <v>1.08916789845473E-2</v>
      </c>
      <c r="O110" s="35">
        <v>0.5</v>
      </c>
      <c r="P110">
        <v>20.399999999999999</v>
      </c>
      <c r="Q110" s="24">
        <v>1.08916789845473E-2</v>
      </c>
      <c r="R110" s="35">
        <v>0.16250000000000001</v>
      </c>
      <c r="S110" s="55" t="s">
        <v>8</v>
      </c>
      <c r="T110" s="58" t="s">
        <v>8</v>
      </c>
      <c r="U110">
        <v>20.399999999999999</v>
      </c>
      <c r="V110" s="24">
        <v>1.08916789845473E-2</v>
      </c>
      <c r="W110" s="55" t="s">
        <v>8</v>
      </c>
      <c r="X110" s="55" t="s">
        <v>8</v>
      </c>
      <c r="Y110">
        <v>1.1100000000000001</v>
      </c>
      <c r="Z110" s="28">
        <v>0.74679038584830004</v>
      </c>
    </row>
    <row r="111" spans="2:26" x14ac:dyDescent="0.3">
      <c r="B111" s="46">
        <v>80</v>
      </c>
      <c r="C111" s="5" t="s">
        <v>65</v>
      </c>
      <c r="D111">
        <v>0.625</v>
      </c>
      <c r="E111" s="36">
        <v>4.2500000000000003E-3</v>
      </c>
      <c r="F111">
        <v>0.3</v>
      </c>
      <c r="G111">
        <v>1</v>
      </c>
      <c r="H111">
        <v>0.23749999999999999</v>
      </c>
      <c r="I111" s="35">
        <v>2.81</v>
      </c>
      <c r="J111" s="35">
        <v>2.81</v>
      </c>
      <c r="K111" s="35">
        <v>8.9109847146118408</v>
      </c>
      <c r="L111" s="28">
        <v>23.910613789385501</v>
      </c>
      <c r="M111" s="38">
        <v>40.25</v>
      </c>
      <c r="N111" s="24">
        <v>9.3704221146265598E-3</v>
      </c>
      <c r="O111" s="35">
        <v>1.25</v>
      </c>
      <c r="P111">
        <v>29.6</v>
      </c>
      <c r="Q111" s="24">
        <v>9.3704221146265598E-3</v>
      </c>
      <c r="R111" s="35">
        <v>0.296875</v>
      </c>
      <c r="S111" s="55" t="s">
        <v>8</v>
      </c>
      <c r="T111" s="58" t="s">
        <v>8</v>
      </c>
      <c r="U111">
        <v>29.6</v>
      </c>
      <c r="V111" s="24">
        <v>9.3704221146265598E-3</v>
      </c>
      <c r="W111" s="55" t="s">
        <v>8</v>
      </c>
      <c r="X111" s="55" t="s">
        <v>8</v>
      </c>
      <c r="Y111">
        <v>0.59</v>
      </c>
      <c r="Z111" s="28">
        <v>0.39079018044324099</v>
      </c>
    </row>
    <row r="112" spans="2:26" x14ac:dyDescent="0.3">
      <c r="B112" s="46">
        <v>81</v>
      </c>
      <c r="C112" s="5" t="s">
        <v>65</v>
      </c>
      <c r="D112">
        <v>0.75</v>
      </c>
      <c r="E112" s="36">
        <v>3.5000000000000001E-3</v>
      </c>
      <c r="F112">
        <v>0.3</v>
      </c>
      <c r="G112">
        <v>1</v>
      </c>
      <c r="H112">
        <v>0.32500000000000001</v>
      </c>
      <c r="I112" s="35">
        <v>2.81</v>
      </c>
      <c r="J112" s="35">
        <v>2.81</v>
      </c>
      <c r="K112" s="35">
        <v>10.6637371462384</v>
      </c>
      <c r="L112" s="28">
        <v>28.613728855030999</v>
      </c>
      <c r="M112" s="38">
        <v>35.5</v>
      </c>
      <c r="N112" s="24">
        <v>1.08916789845473E-2</v>
      </c>
      <c r="O112" s="35">
        <v>1</v>
      </c>
      <c r="P112">
        <v>23.7</v>
      </c>
      <c r="Q112" s="24">
        <v>1.08916789845473E-2</v>
      </c>
      <c r="R112" s="35">
        <v>0.32500000000000001</v>
      </c>
      <c r="S112" s="55" t="s">
        <v>8</v>
      </c>
      <c r="T112" s="58" t="s">
        <v>8</v>
      </c>
      <c r="U112">
        <v>23.7</v>
      </c>
      <c r="V112" s="24">
        <v>1.08916789845473E-2</v>
      </c>
      <c r="W112" s="55" t="s">
        <v>8</v>
      </c>
      <c r="X112" s="55" t="s">
        <v>8</v>
      </c>
      <c r="Y112">
        <v>0.86</v>
      </c>
      <c r="Z112" s="28">
        <v>0.58358453993443304</v>
      </c>
    </row>
    <row r="113" spans="2:26" x14ac:dyDescent="0.3">
      <c r="B113" s="46">
        <v>82</v>
      </c>
      <c r="C113" s="5" t="s">
        <v>65</v>
      </c>
      <c r="D113">
        <v>0.75</v>
      </c>
      <c r="E113" s="36">
        <v>5.0000000000000001E-3</v>
      </c>
      <c r="F113">
        <v>0.3</v>
      </c>
      <c r="G113">
        <v>1</v>
      </c>
      <c r="H113">
        <v>0.32500000000000001</v>
      </c>
      <c r="I113" s="35">
        <v>2.81</v>
      </c>
      <c r="J113" s="35">
        <v>2.81</v>
      </c>
      <c r="K113" s="35">
        <v>7.4830027175244398</v>
      </c>
      <c r="L113" s="28">
        <v>20.0789467936421</v>
      </c>
      <c r="M113" s="38">
        <v>35.5</v>
      </c>
      <c r="N113" s="24">
        <v>1.08916789845473E-2</v>
      </c>
      <c r="O113" s="35">
        <v>1</v>
      </c>
      <c r="P113">
        <v>25.5</v>
      </c>
      <c r="Q113" s="24">
        <v>1.08916789845473E-2</v>
      </c>
      <c r="R113" s="35">
        <v>0.32500000000000001</v>
      </c>
      <c r="S113" s="55" t="s">
        <v>8</v>
      </c>
      <c r="T113" s="58" t="s">
        <v>8</v>
      </c>
      <c r="U113">
        <v>25.5</v>
      </c>
      <c r="V113" s="24">
        <v>1.08916789845473E-2</v>
      </c>
      <c r="W113" s="55" t="s">
        <v>8</v>
      </c>
      <c r="X113" s="55" t="s">
        <v>8</v>
      </c>
      <c r="Y113">
        <v>0.73</v>
      </c>
      <c r="Z113" s="28">
        <v>0.49456316943596002</v>
      </c>
    </row>
    <row r="114" spans="2:26" x14ac:dyDescent="0.3">
      <c r="B114" s="46">
        <v>83</v>
      </c>
      <c r="C114" s="5" t="s">
        <v>65</v>
      </c>
      <c r="D114">
        <v>0.625</v>
      </c>
      <c r="E114" s="36">
        <v>4.2500000000000003E-3</v>
      </c>
      <c r="F114">
        <v>0.3</v>
      </c>
      <c r="G114">
        <v>1</v>
      </c>
      <c r="H114">
        <v>0.41249999999999998</v>
      </c>
      <c r="I114" s="35">
        <v>2.81</v>
      </c>
      <c r="J114" s="35">
        <v>2.81</v>
      </c>
      <c r="K114" s="35">
        <v>8.7013264570434998</v>
      </c>
      <c r="L114" s="28">
        <v>23.348043233490401</v>
      </c>
      <c r="M114" s="38">
        <v>30.75</v>
      </c>
      <c r="N114" s="24">
        <v>5.5147537405077296E-3</v>
      </c>
      <c r="O114" s="35">
        <v>1.25</v>
      </c>
      <c r="P114">
        <v>21.5</v>
      </c>
      <c r="Q114" s="24">
        <v>5.5147537405077296E-3</v>
      </c>
      <c r="R114" s="35">
        <v>0.515625</v>
      </c>
      <c r="S114" s="55" t="s">
        <v>8</v>
      </c>
      <c r="T114" s="58" t="s">
        <v>8</v>
      </c>
      <c r="U114">
        <v>21.5</v>
      </c>
      <c r="V114" s="24">
        <v>5.5147537405077296E-3</v>
      </c>
      <c r="W114" s="55" t="s">
        <v>8</v>
      </c>
      <c r="X114" s="55" t="s">
        <v>8</v>
      </c>
      <c r="Y114">
        <v>0.64</v>
      </c>
      <c r="Z114" s="28">
        <v>0.36252217995349501</v>
      </c>
    </row>
    <row r="115" spans="2:26" x14ac:dyDescent="0.3">
      <c r="B115" s="46">
        <v>84</v>
      </c>
      <c r="C115" s="5" t="s">
        <v>65</v>
      </c>
      <c r="D115">
        <v>0.875</v>
      </c>
      <c r="E115" s="36">
        <v>2.7499999999999998E-3</v>
      </c>
      <c r="F115">
        <v>0.3</v>
      </c>
      <c r="G115">
        <v>1</v>
      </c>
      <c r="H115">
        <v>0.41249999999999998</v>
      </c>
      <c r="I115" s="35">
        <v>2.81</v>
      </c>
      <c r="J115" s="35">
        <v>2.81</v>
      </c>
      <c r="K115" s="35">
        <v>13.726765269239699</v>
      </c>
      <c r="L115" s="28">
        <v>36.832672644152197</v>
      </c>
      <c r="M115" s="38">
        <v>40.25</v>
      </c>
      <c r="N115" s="24">
        <v>1.90275189094509E-2</v>
      </c>
      <c r="O115" s="35">
        <v>1.25</v>
      </c>
      <c r="P115">
        <v>27.9</v>
      </c>
      <c r="Q115" s="24">
        <v>1.90275189094509E-2</v>
      </c>
      <c r="R115" s="35">
        <v>0.515625</v>
      </c>
      <c r="S115" s="55" t="s">
        <v>8</v>
      </c>
      <c r="T115" s="58" t="s">
        <v>8</v>
      </c>
      <c r="U115">
        <v>27.9</v>
      </c>
      <c r="V115" s="24">
        <v>1.90275189094509E-2</v>
      </c>
      <c r="W115" s="55" t="s">
        <v>8</v>
      </c>
      <c r="X115" s="55" t="s">
        <v>8</v>
      </c>
      <c r="Y115">
        <v>1.01</v>
      </c>
      <c r="Z115" s="28">
        <v>0.762476500466851</v>
      </c>
    </row>
    <row r="116" spans="2:26" x14ac:dyDescent="0.3">
      <c r="B116" s="46">
        <v>85</v>
      </c>
      <c r="C116" s="5" t="s">
        <v>65</v>
      </c>
      <c r="D116">
        <v>0.75</v>
      </c>
      <c r="E116" s="36">
        <v>3.5000000000000001E-3</v>
      </c>
      <c r="F116">
        <v>0.3</v>
      </c>
      <c r="G116">
        <v>1</v>
      </c>
      <c r="H116">
        <v>0.32500000000000001</v>
      </c>
      <c r="I116" s="35">
        <v>2.81</v>
      </c>
      <c r="J116" s="35">
        <v>2.81</v>
      </c>
      <c r="K116" s="35">
        <v>10.6637371462384</v>
      </c>
      <c r="L116" s="28">
        <v>28.613728855030999</v>
      </c>
      <c r="M116" s="38">
        <v>35.5</v>
      </c>
      <c r="N116" s="24">
        <v>1.08916789845473E-2</v>
      </c>
      <c r="O116" s="35">
        <v>1</v>
      </c>
      <c r="P116">
        <v>23.7</v>
      </c>
      <c r="Q116" s="24">
        <v>1.08916789845473E-2</v>
      </c>
      <c r="R116" s="35">
        <v>0.32500000000000001</v>
      </c>
      <c r="S116" s="55" t="s">
        <v>8</v>
      </c>
      <c r="T116" s="58" t="s">
        <v>8</v>
      </c>
      <c r="U116">
        <v>23.7</v>
      </c>
      <c r="V116" s="24">
        <v>1.08916789845473E-2</v>
      </c>
      <c r="W116" s="55" t="s">
        <v>8</v>
      </c>
      <c r="X116" s="55" t="s">
        <v>8</v>
      </c>
      <c r="Y116">
        <v>0.86</v>
      </c>
      <c r="Z116" s="28">
        <v>0.58358453993443304</v>
      </c>
    </row>
    <row r="117" spans="2:26" x14ac:dyDescent="0.3">
      <c r="B117" s="46">
        <v>86</v>
      </c>
      <c r="C117" s="5" t="s">
        <v>65</v>
      </c>
      <c r="D117">
        <v>0.875</v>
      </c>
      <c r="E117" s="36">
        <v>2.7499999999999998E-3</v>
      </c>
      <c r="F117">
        <v>0.3</v>
      </c>
      <c r="G117">
        <v>1</v>
      </c>
      <c r="H117">
        <v>0.41249999999999998</v>
      </c>
      <c r="I117" s="35">
        <v>2.81</v>
      </c>
      <c r="J117" s="35">
        <v>2.81</v>
      </c>
      <c r="K117" s="35">
        <v>13.5727910704605</v>
      </c>
      <c r="L117" s="28">
        <v>36.419517676609402</v>
      </c>
      <c r="M117" s="38">
        <v>40.25</v>
      </c>
      <c r="N117" s="24">
        <v>9.3704221146265598E-3</v>
      </c>
      <c r="O117" s="35">
        <v>0.75</v>
      </c>
      <c r="P117">
        <v>18.899999999999999</v>
      </c>
      <c r="Q117" s="24">
        <v>9.3704221146265598E-3</v>
      </c>
      <c r="R117" s="35">
        <v>0.30937499999999996</v>
      </c>
      <c r="S117" s="55" t="s">
        <v>8</v>
      </c>
      <c r="T117" s="58" t="s">
        <v>8</v>
      </c>
      <c r="U117">
        <v>18.899999999999999</v>
      </c>
      <c r="V117" s="24">
        <v>9.3704221146265598E-3</v>
      </c>
      <c r="W117" s="55" t="s">
        <v>8</v>
      </c>
      <c r="X117" s="55" t="s">
        <v>8</v>
      </c>
      <c r="Y117">
        <v>1.18</v>
      </c>
      <c r="Z117" s="28">
        <v>0.78341505656931398</v>
      </c>
    </row>
    <row r="118" spans="2:26" x14ac:dyDescent="0.3">
      <c r="B118" s="46">
        <v>87</v>
      </c>
      <c r="C118" s="5" t="s">
        <v>65</v>
      </c>
      <c r="D118">
        <v>0.875</v>
      </c>
      <c r="E118" s="36">
        <v>4.2500000000000003E-3</v>
      </c>
      <c r="F118">
        <v>0.3</v>
      </c>
      <c r="G118">
        <v>1</v>
      </c>
      <c r="H118">
        <v>0.23749999999999999</v>
      </c>
      <c r="I118" s="35">
        <v>2.81</v>
      </c>
      <c r="J118" s="35">
        <v>2.81</v>
      </c>
      <c r="K118" s="35">
        <v>8.7064799518339697</v>
      </c>
      <c r="L118" s="28">
        <v>23.361871472180798</v>
      </c>
      <c r="M118" s="38">
        <v>30.75</v>
      </c>
      <c r="N118" s="24">
        <v>1.1128180474441699E-2</v>
      </c>
      <c r="O118" s="35">
        <v>0.75</v>
      </c>
      <c r="P118">
        <v>22.2</v>
      </c>
      <c r="Q118" s="24">
        <v>1.1128180474441699E-2</v>
      </c>
      <c r="R118" s="35">
        <v>0.17812499999999998</v>
      </c>
      <c r="S118" s="55" t="s">
        <v>8</v>
      </c>
      <c r="T118" s="58" t="s">
        <v>8</v>
      </c>
      <c r="U118">
        <v>22.2</v>
      </c>
      <c r="V118" s="24">
        <v>1.1128180474441699E-2</v>
      </c>
      <c r="W118" s="55" t="s">
        <v>8</v>
      </c>
      <c r="X118" s="55" t="s">
        <v>8</v>
      </c>
      <c r="Y118">
        <v>0.84</v>
      </c>
      <c r="Z118" s="28">
        <v>0.56469051262959502</v>
      </c>
    </row>
    <row r="119" spans="2:26" x14ac:dyDescent="0.3">
      <c r="B119" s="46">
        <v>88</v>
      </c>
      <c r="C119" s="5" t="s">
        <v>65</v>
      </c>
      <c r="D119">
        <v>0.625</v>
      </c>
      <c r="E119" s="36">
        <v>2.7499999999999998E-3</v>
      </c>
      <c r="F119">
        <v>0.3</v>
      </c>
      <c r="G119">
        <v>1</v>
      </c>
      <c r="H119">
        <v>0.41249999999999998</v>
      </c>
      <c r="I119" s="35">
        <v>2.81</v>
      </c>
      <c r="J119" s="35">
        <v>2.81</v>
      </c>
      <c r="K119" s="35">
        <v>13.6880873693485</v>
      </c>
      <c r="L119" s="28">
        <v>36.728889240173501</v>
      </c>
      <c r="M119" s="38">
        <v>40.25</v>
      </c>
      <c r="N119" s="24">
        <v>9.3704221146265598E-3</v>
      </c>
      <c r="O119" s="35">
        <v>1.25</v>
      </c>
      <c r="P119">
        <v>25.1</v>
      </c>
      <c r="Q119" s="24">
        <v>9.3704221146265598E-3</v>
      </c>
      <c r="R119" s="35">
        <v>0.515625</v>
      </c>
      <c r="S119" s="55" t="s">
        <v>8</v>
      </c>
      <c r="T119" s="58" t="s">
        <v>8</v>
      </c>
      <c r="U119">
        <v>25.1</v>
      </c>
      <c r="V119" s="24">
        <v>9.3704221146265598E-3</v>
      </c>
      <c r="W119" s="55" t="s">
        <v>8</v>
      </c>
      <c r="X119" s="55" t="s">
        <v>8</v>
      </c>
      <c r="Y119">
        <v>0.84</v>
      </c>
      <c r="Z119" s="28">
        <v>0.55591279189813103</v>
      </c>
    </row>
    <row r="120" spans="2:26" x14ac:dyDescent="0.3">
      <c r="B120" s="46">
        <v>89</v>
      </c>
      <c r="C120" s="5" t="s">
        <v>65</v>
      </c>
      <c r="D120">
        <v>0.625</v>
      </c>
      <c r="E120" s="36">
        <v>2.7499999999999998E-3</v>
      </c>
      <c r="F120">
        <v>0.3</v>
      </c>
      <c r="G120">
        <v>1</v>
      </c>
      <c r="H120">
        <v>0.23749999999999999</v>
      </c>
      <c r="I120" s="35">
        <v>2.81</v>
      </c>
      <c r="J120" s="35">
        <v>2.81</v>
      </c>
      <c r="K120" s="35">
        <v>13.438094450627201</v>
      </c>
      <c r="L120" s="28">
        <v>36.0580897358467</v>
      </c>
      <c r="M120" s="38">
        <v>30.75</v>
      </c>
      <c r="N120" s="24">
        <v>5.5147537405077296E-3</v>
      </c>
      <c r="O120" s="35">
        <v>1.25</v>
      </c>
      <c r="P120">
        <v>21</v>
      </c>
      <c r="Q120" s="24">
        <v>5.5147537405077296E-3</v>
      </c>
      <c r="R120" s="35">
        <v>0.296875</v>
      </c>
      <c r="S120" s="55" t="s">
        <v>8</v>
      </c>
      <c r="T120" s="58" t="s">
        <v>8</v>
      </c>
      <c r="U120">
        <v>21</v>
      </c>
      <c r="V120" s="24">
        <v>5.5147537405077296E-3</v>
      </c>
      <c r="W120" s="55" t="s">
        <v>8</v>
      </c>
      <c r="X120" s="55" t="s">
        <v>8</v>
      </c>
      <c r="Y120">
        <v>0.67</v>
      </c>
      <c r="Z120" s="28">
        <v>0.382117973464495</v>
      </c>
    </row>
    <row r="121" spans="2:26" x14ac:dyDescent="0.3">
      <c r="B121" s="46">
        <v>90</v>
      </c>
      <c r="C121" s="5" t="s">
        <v>65</v>
      </c>
      <c r="D121">
        <v>0.875</v>
      </c>
      <c r="E121" s="36">
        <v>4.2500000000000003E-3</v>
      </c>
      <c r="F121">
        <v>0.3</v>
      </c>
      <c r="G121">
        <v>1</v>
      </c>
      <c r="H121">
        <v>0.41249999999999998</v>
      </c>
      <c r="I121" s="35">
        <v>2.81</v>
      </c>
      <c r="J121" s="35">
        <v>2.81</v>
      </c>
      <c r="K121" s="35">
        <v>8.6835506861805491</v>
      </c>
      <c r="L121" s="28">
        <v>23.300345969324301</v>
      </c>
      <c r="M121" s="38">
        <v>30.75</v>
      </c>
      <c r="N121" s="24">
        <v>1.1128180474441699E-2</v>
      </c>
      <c r="O121" s="35">
        <v>0.75</v>
      </c>
      <c r="P121">
        <v>20.3</v>
      </c>
      <c r="Q121" s="24">
        <v>1.1128180474441699E-2</v>
      </c>
      <c r="R121" s="35">
        <v>0.30937499999999996</v>
      </c>
      <c r="S121" s="55" t="s">
        <v>8</v>
      </c>
      <c r="T121" s="58" t="s">
        <v>8</v>
      </c>
      <c r="U121">
        <v>20.3</v>
      </c>
      <c r="V121" s="24">
        <v>1.1128180474441699E-2</v>
      </c>
      <c r="W121" s="55" t="s">
        <v>8</v>
      </c>
      <c r="X121" s="55" t="s">
        <v>8</v>
      </c>
      <c r="Y121">
        <v>1.03</v>
      </c>
      <c r="Z121" s="28">
        <v>0.69017729321394905</v>
      </c>
    </row>
    <row r="122" spans="2:26" x14ac:dyDescent="0.3">
      <c r="B122" s="46">
        <v>91</v>
      </c>
      <c r="C122" s="5" t="s">
        <v>65</v>
      </c>
      <c r="D122">
        <v>0.75</v>
      </c>
      <c r="E122" s="36">
        <v>3.5000000000000001E-3</v>
      </c>
      <c r="F122">
        <v>0.3</v>
      </c>
      <c r="G122">
        <v>1</v>
      </c>
      <c r="H122">
        <v>0.32500000000000001</v>
      </c>
      <c r="I122" s="35">
        <v>2.81</v>
      </c>
      <c r="J122" s="35">
        <v>2.81</v>
      </c>
      <c r="K122" s="35">
        <v>10.6637371462384</v>
      </c>
      <c r="L122" s="28">
        <v>28.613728855030999</v>
      </c>
      <c r="M122" s="38">
        <v>35.5</v>
      </c>
      <c r="N122" s="24">
        <v>1.08916789845473E-2</v>
      </c>
      <c r="O122" s="35">
        <v>1</v>
      </c>
      <c r="P122">
        <v>23.7</v>
      </c>
      <c r="Q122" s="24">
        <v>1.08916789845473E-2</v>
      </c>
      <c r="R122" s="35">
        <v>0.32500000000000001</v>
      </c>
      <c r="S122" s="55" t="s">
        <v>8</v>
      </c>
      <c r="T122" s="58" t="s">
        <v>8</v>
      </c>
      <c r="U122">
        <v>23.7</v>
      </c>
      <c r="V122" s="24">
        <v>1.08916789845473E-2</v>
      </c>
      <c r="W122" s="55" t="s">
        <v>8</v>
      </c>
      <c r="X122" s="55" t="s">
        <v>8</v>
      </c>
      <c r="Y122">
        <v>0.86</v>
      </c>
      <c r="Z122" s="28">
        <v>0.58358453993443304</v>
      </c>
    </row>
    <row r="123" spans="2:26" x14ac:dyDescent="0.3">
      <c r="B123" s="46">
        <v>92</v>
      </c>
      <c r="C123" s="5" t="s">
        <v>65</v>
      </c>
      <c r="D123">
        <v>0.75</v>
      </c>
      <c r="E123" s="36">
        <v>3.5000000000000001E-3</v>
      </c>
      <c r="F123">
        <v>0.3</v>
      </c>
      <c r="G123">
        <v>1</v>
      </c>
      <c r="H123">
        <v>0.32500000000000001</v>
      </c>
      <c r="I123" s="35">
        <v>2.81</v>
      </c>
      <c r="J123" s="35">
        <v>2.81</v>
      </c>
      <c r="K123" s="35">
        <v>10.6637371462384</v>
      </c>
      <c r="L123" s="28">
        <v>28.613728855030999</v>
      </c>
      <c r="M123" s="38">
        <v>35.5</v>
      </c>
      <c r="N123" s="24">
        <v>1.08916789845473E-2</v>
      </c>
      <c r="O123" s="35">
        <v>1</v>
      </c>
      <c r="P123">
        <v>23.7</v>
      </c>
      <c r="Q123" s="24">
        <v>1.08916789845473E-2</v>
      </c>
      <c r="R123" s="35">
        <v>0.32500000000000001</v>
      </c>
      <c r="S123" s="55" t="s">
        <v>8</v>
      </c>
      <c r="T123" s="58" t="s">
        <v>8</v>
      </c>
      <c r="U123">
        <v>23.7</v>
      </c>
      <c r="V123" s="24">
        <v>1.08916789845473E-2</v>
      </c>
      <c r="W123" s="55" t="s">
        <v>8</v>
      </c>
      <c r="X123" s="55" t="s">
        <v>8</v>
      </c>
      <c r="Y123">
        <v>0.86</v>
      </c>
      <c r="Z123" s="28">
        <v>0.58358453993443304</v>
      </c>
    </row>
    <row r="124" spans="2:26" x14ac:dyDescent="0.3">
      <c r="B124" s="46">
        <v>93</v>
      </c>
      <c r="C124" s="5" t="s">
        <v>65</v>
      </c>
      <c r="D124">
        <v>0.625</v>
      </c>
      <c r="E124" s="36">
        <v>2.7499999999999998E-3</v>
      </c>
      <c r="F124">
        <v>0.3</v>
      </c>
      <c r="G124">
        <v>1</v>
      </c>
      <c r="H124">
        <v>0.23749999999999999</v>
      </c>
      <c r="I124" s="35">
        <v>2.81</v>
      </c>
      <c r="J124" s="35">
        <v>2.81</v>
      </c>
      <c r="K124" s="35">
        <v>13.7796310518331</v>
      </c>
      <c r="L124" s="28">
        <v>36.974526025203403</v>
      </c>
      <c r="M124" s="38">
        <v>40.25</v>
      </c>
      <c r="N124" s="24">
        <v>1.90275189094509E-2</v>
      </c>
      <c r="O124" s="35">
        <v>1.25</v>
      </c>
      <c r="P124">
        <v>30.8</v>
      </c>
      <c r="Q124" s="24">
        <v>1.90275189094509E-2</v>
      </c>
      <c r="R124" s="35">
        <v>0.296875</v>
      </c>
      <c r="S124" s="55" t="s">
        <v>8</v>
      </c>
      <c r="T124" s="58" t="s">
        <v>8</v>
      </c>
      <c r="U124">
        <v>30.8</v>
      </c>
      <c r="V124" s="24">
        <v>1.90275189094509E-2</v>
      </c>
      <c r="W124" s="55" t="s">
        <v>8</v>
      </c>
      <c r="X124" s="55" t="s">
        <v>8</v>
      </c>
      <c r="Y124">
        <v>0.77</v>
      </c>
      <c r="Z124" s="28">
        <v>0.58343343557989802</v>
      </c>
    </row>
    <row r="125" spans="2:26" x14ac:dyDescent="0.3">
      <c r="B125" s="46">
        <v>94</v>
      </c>
      <c r="C125" s="5" t="s">
        <v>65</v>
      </c>
      <c r="D125">
        <v>0.875</v>
      </c>
      <c r="E125" s="36">
        <v>4.2500000000000003E-3</v>
      </c>
      <c r="F125">
        <v>0.3</v>
      </c>
      <c r="G125">
        <v>1</v>
      </c>
      <c r="H125">
        <v>0.23749999999999999</v>
      </c>
      <c r="I125" s="35">
        <v>2.81</v>
      </c>
      <c r="J125" s="35">
        <v>2.81</v>
      </c>
      <c r="K125" s="35">
        <v>8.8497892650490808</v>
      </c>
      <c r="L125" s="28">
        <v>23.746409629348801</v>
      </c>
      <c r="M125" s="38">
        <v>40.25</v>
      </c>
      <c r="N125" s="24">
        <v>9.3704221146265598E-3</v>
      </c>
      <c r="O125" s="35">
        <v>0.75</v>
      </c>
      <c r="P125">
        <v>24.5</v>
      </c>
      <c r="Q125" s="24">
        <v>9.3704221146265598E-3</v>
      </c>
      <c r="R125" s="35">
        <v>0.17812499999999998</v>
      </c>
      <c r="S125" s="55" t="s">
        <v>8</v>
      </c>
      <c r="T125" s="58" t="s">
        <v>8</v>
      </c>
      <c r="U125">
        <v>24.5</v>
      </c>
      <c r="V125" s="24">
        <v>9.3704221146265598E-3</v>
      </c>
      <c r="W125" s="55" t="s">
        <v>8</v>
      </c>
      <c r="X125" s="55" t="s">
        <v>8</v>
      </c>
      <c r="Y125">
        <v>0.87</v>
      </c>
      <c r="Z125" s="28">
        <v>0.57792914009211704</v>
      </c>
    </row>
    <row r="126" spans="2:26" x14ac:dyDescent="0.3">
      <c r="B126" s="46">
        <v>95</v>
      </c>
      <c r="C126" s="5" t="s">
        <v>65</v>
      </c>
      <c r="D126">
        <v>0.75</v>
      </c>
      <c r="E126" s="36">
        <v>2E-3</v>
      </c>
      <c r="F126">
        <v>0.3</v>
      </c>
      <c r="G126">
        <v>1</v>
      </c>
      <c r="H126">
        <v>0.32500000000000001</v>
      </c>
      <c r="I126" s="35">
        <v>2.81</v>
      </c>
      <c r="J126" s="35">
        <v>2.81</v>
      </c>
      <c r="K126" s="35">
        <v>18.5950612030915</v>
      </c>
      <c r="L126" s="28">
        <v>49.895644651711599</v>
      </c>
      <c r="M126" s="38">
        <v>35.5</v>
      </c>
      <c r="N126" s="24">
        <v>1.08916789845473E-2</v>
      </c>
      <c r="O126" s="35">
        <v>1</v>
      </c>
      <c r="P126">
        <v>21.1</v>
      </c>
      <c r="Q126" s="24">
        <v>1.08916789845473E-2</v>
      </c>
      <c r="R126" s="35">
        <v>0.32500000000000001</v>
      </c>
      <c r="S126" s="55" t="s">
        <v>8</v>
      </c>
      <c r="T126" s="58" t="s">
        <v>8</v>
      </c>
      <c r="U126">
        <v>21.1</v>
      </c>
      <c r="V126" s="24">
        <v>1.08916789845473E-2</v>
      </c>
      <c r="W126" s="55" t="s">
        <v>8</v>
      </c>
      <c r="X126" s="55" t="s">
        <v>8</v>
      </c>
      <c r="Y126">
        <v>1.06</v>
      </c>
      <c r="Z126" s="28">
        <v>0.71217096398778301</v>
      </c>
    </row>
    <row r="127" spans="2:26" x14ac:dyDescent="0.3">
      <c r="B127" s="46">
        <v>96</v>
      </c>
      <c r="C127" s="5" t="s">
        <v>65</v>
      </c>
      <c r="D127">
        <v>0.875</v>
      </c>
      <c r="E127" s="36">
        <v>2.7499999999999998E-3</v>
      </c>
      <c r="F127">
        <v>0.3</v>
      </c>
      <c r="G127">
        <v>1</v>
      </c>
      <c r="H127">
        <v>0.41249999999999998</v>
      </c>
      <c r="I127" s="35">
        <v>2.81</v>
      </c>
      <c r="J127" s="35">
        <v>2.81</v>
      </c>
      <c r="K127" s="35">
        <v>13.688428028891</v>
      </c>
      <c r="L127" s="28">
        <v>36.729803323074201</v>
      </c>
      <c r="M127" s="38">
        <v>40.25</v>
      </c>
      <c r="N127" s="24">
        <v>1.90275189094509E-2</v>
      </c>
      <c r="O127" s="35">
        <v>0.75</v>
      </c>
      <c r="P127">
        <v>25.8</v>
      </c>
      <c r="Q127" s="24">
        <v>1.90275189094509E-2</v>
      </c>
      <c r="R127" s="35">
        <v>0.30937499999999996</v>
      </c>
      <c r="S127" s="55" t="s">
        <v>8</v>
      </c>
      <c r="T127" s="58" t="s">
        <v>8</v>
      </c>
      <c r="U127">
        <v>25.8</v>
      </c>
      <c r="V127" s="24">
        <v>1.90275189094509E-2</v>
      </c>
      <c r="W127" s="55" t="s">
        <v>8</v>
      </c>
      <c r="X127" s="55" t="s">
        <v>8</v>
      </c>
      <c r="Y127">
        <v>1.19</v>
      </c>
      <c r="Z127" s="28">
        <v>0.89212837504016196</v>
      </c>
    </row>
    <row r="128" spans="2:26" x14ac:dyDescent="0.3">
      <c r="B128" s="46">
        <v>97</v>
      </c>
      <c r="C128" s="5" t="s">
        <v>65</v>
      </c>
      <c r="D128">
        <v>0.625</v>
      </c>
      <c r="E128" s="36">
        <v>4.2500000000000003E-3</v>
      </c>
      <c r="F128">
        <v>0.3</v>
      </c>
      <c r="G128">
        <v>1</v>
      </c>
      <c r="H128">
        <v>0.23749999999999999</v>
      </c>
      <c r="I128" s="35">
        <v>2.81</v>
      </c>
      <c r="J128" s="35">
        <v>2.81</v>
      </c>
      <c r="K128" s="35">
        <v>8.7197434775026004</v>
      </c>
      <c r="L128" s="28">
        <v>23.397461146038999</v>
      </c>
      <c r="M128" s="38">
        <v>30.75</v>
      </c>
      <c r="N128" s="24">
        <v>1.1128180474441699E-2</v>
      </c>
      <c r="O128" s="35">
        <v>0.75</v>
      </c>
      <c r="P128">
        <v>23.3</v>
      </c>
      <c r="Q128" s="24">
        <v>1.1128180474441699E-2</v>
      </c>
      <c r="R128" s="35">
        <v>0.17812499999999998</v>
      </c>
      <c r="S128" s="55" t="s">
        <v>8</v>
      </c>
      <c r="T128" s="58" t="s">
        <v>8</v>
      </c>
      <c r="U128">
        <v>23.3</v>
      </c>
      <c r="V128" s="24">
        <v>1.1128180474441699E-2</v>
      </c>
      <c r="W128" s="55" t="s">
        <v>8</v>
      </c>
      <c r="X128" s="55" t="s">
        <v>8</v>
      </c>
      <c r="Y128">
        <v>0.74</v>
      </c>
      <c r="Z128" s="28">
        <v>0.49204027123865302</v>
      </c>
    </row>
    <row r="129" spans="2:26" x14ac:dyDescent="0.3">
      <c r="B129" s="46">
        <v>98</v>
      </c>
      <c r="C129" s="5" t="s">
        <v>65</v>
      </c>
      <c r="D129">
        <v>0.75</v>
      </c>
      <c r="E129" s="36">
        <v>3.5000000000000001E-3</v>
      </c>
      <c r="F129">
        <v>0.3</v>
      </c>
      <c r="G129">
        <v>1</v>
      </c>
      <c r="H129">
        <v>0.32500000000000001</v>
      </c>
      <c r="I129" s="35">
        <v>2.81</v>
      </c>
      <c r="J129" s="35">
        <v>2.81</v>
      </c>
      <c r="K129" s="35">
        <v>10.7105669081544</v>
      </c>
      <c r="L129" s="28">
        <v>28.7393859386065</v>
      </c>
      <c r="M129" s="38">
        <v>35.5</v>
      </c>
      <c r="N129" s="24">
        <v>1.83672331393709E-2</v>
      </c>
      <c r="O129" s="35">
        <v>1</v>
      </c>
      <c r="P129">
        <v>27.4</v>
      </c>
      <c r="Q129" s="24">
        <v>1.83672331393709E-2</v>
      </c>
      <c r="R129" s="35">
        <v>0.32500000000000001</v>
      </c>
      <c r="S129" s="55" t="s">
        <v>8</v>
      </c>
      <c r="T129" s="58" t="s">
        <v>8</v>
      </c>
      <c r="U129">
        <v>27.4</v>
      </c>
      <c r="V129" s="24">
        <v>1.83672331393709E-2</v>
      </c>
      <c r="W129" s="55" t="s">
        <v>8</v>
      </c>
      <c r="X129" s="55" t="s">
        <v>8</v>
      </c>
      <c r="Y129">
        <v>0.9</v>
      </c>
      <c r="Z129" s="28">
        <v>0.67405702368626996</v>
      </c>
    </row>
    <row r="130" spans="2:26" x14ac:dyDescent="0.3">
      <c r="B130" s="46">
        <v>99</v>
      </c>
      <c r="C130" s="5" t="s">
        <v>65</v>
      </c>
      <c r="D130">
        <v>0.625</v>
      </c>
      <c r="E130" s="36">
        <v>2.7499999999999998E-3</v>
      </c>
      <c r="F130">
        <v>0.3</v>
      </c>
      <c r="G130">
        <v>1</v>
      </c>
      <c r="H130">
        <v>0.41249999999999998</v>
      </c>
      <c r="I130" s="35">
        <v>2.81</v>
      </c>
      <c r="J130" s="35">
        <v>2.81</v>
      </c>
      <c r="K130" s="35">
        <v>13.4573330161484</v>
      </c>
      <c r="L130" s="28">
        <v>36.109712078917703</v>
      </c>
      <c r="M130" s="38">
        <v>30.75</v>
      </c>
      <c r="N130" s="24">
        <v>1.1128180474441699E-2</v>
      </c>
      <c r="O130" s="35">
        <v>1.25</v>
      </c>
      <c r="P130">
        <v>22.3</v>
      </c>
      <c r="Q130" s="24">
        <v>1.1128180474441699E-2</v>
      </c>
      <c r="R130" s="35">
        <v>0.515625</v>
      </c>
      <c r="S130" s="55" t="s">
        <v>8</v>
      </c>
      <c r="T130" s="58" t="s">
        <v>8</v>
      </c>
      <c r="U130">
        <v>22.3</v>
      </c>
      <c r="V130" s="24">
        <v>1.1128180474441699E-2</v>
      </c>
      <c r="W130" s="55" t="s">
        <v>8</v>
      </c>
      <c r="X130" s="55" t="s">
        <v>8</v>
      </c>
      <c r="Y130">
        <v>0.84</v>
      </c>
      <c r="Z130" s="28">
        <v>0.55808594523041799</v>
      </c>
    </row>
    <row r="131" spans="2:26" x14ac:dyDescent="0.3">
      <c r="B131" s="46">
        <v>100</v>
      </c>
      <c r="C131" s="5" t="s">
        <v>65</v>
      </c>
      <c r="D131">
        <v>0.625</v>
      </c>
      <c r="E131" s="36">
        <v>2.7499999999999998E-3</v>
      </c>
      <c r="F131">
        <v>0.3</v>
      </c>
      <c r="G131">
        <v>1</v>
      </c>
      <c r="H131">
        <v>0.23749999999999999</v>
      </c>
      <c r="I131" s="35">
        <v>2.81</v>
      </c>
      <c r="J131" s="35">
        <v>2.81</v>
      </c>
      <c r="K131" s="35">
        <v>13.4004280031658</v>
      </c>
      <c r="L131" s="28">
        <v>35.9570203358969</v>
      </c>
      <c r="M131" s="38">
        <v>30.75</v>
      </c>
      <c r="N131" s="24">
        <v>5.5147537405077296E-3</v>
      </c>
      <c r="O131" s="35">
        <v>0.75</v>
      </c>
      <c r="P131">
        <v>19</v>
      </c>
      <c r="Q131" s="24">
        <v>5.5147537405077296E-3</v>
      </c>
      <c r="R131" s="35">
        <v>0.17812499999999998</v>
      </c>
      <c r="S131" s="55" t="s">
        <v>8</v>
      </c>
      <c r="T131" s="58" t="s">
        <v>8</v>
      </c>
      <c r="U131">
        <v>19</v>
      </c>
      <c r="V131" s="24">
        <v>5.5147537405077296E-3</v>
      </c>
      <c r="W131" s="55" t="s">
        <v>8</v>
      </c>
      <c r="X131" s="55" t="s">
        <v>8</v>
      </c>
      <c r="Y131">
        <v>0.81</v>
      </c>
      <c r="Z131" s="28">
        <v>0.46050114750849402</v>
      </c>
    </row>
    <row r="132" spans="2:26" x14ac:dyDescent="0.3">
      <c r="B132" s="46">
        <v>101</v>
      </c>
      <c r="C132" s="5" t="s">
        <v>65</v>
      </c>
      <c r="D132">
        <v>0.875</v>
      </c>
      <c r="E132" s="36">
        <v>2.7499999999999998E-3</v>
      </c>
      <c r="F132">
        <v>0.3</v>
      </c>
      <c r="G132">
        <v>1</v>
      </c>
      <c r="H132">
        <v>0.41249999999999998</v>
      </c>
      <c r="I132" s="35">
        <v>2.81</v>
      </c>
      <c r="J132" s="35">
        <v>2.81</v>
      </c>
      <c r="K132" s="35">
        <v>13.39016216896</v>
      </c>
      <c r="L132" s="28">
        <v>35.929474289664803</v>
      </c>
      <c r="M132" s="38">
        <v>30.75</v>
      </c>
      <c r="N132" s="24">
        <v>1.1128180474441699E-2</v>
      </c>
      <c r="O132" s="35">
        <v>0.75</v>
      </c>
      <c r="P132">
        <v>18.7</v>
      </c>
      <c r="Q132" s="24">
        <v>1.1128180474441699E-2</v>
      </c>
      <c r="R132" s="35">
        <v>0.30937499999999996</v>
      </c>
      <c r="S132" s="55" t="s">
        <v>8</v>
      </c>
      <c r="T132" s="58" t="s">
        <v>8</v>
      </c>
      <c r="U132">
        <v>18.7</v>
      </c>
      <c r="V132" s="24">
        <v>1.1128180474441699E-2</v>
      </c>
      <c r="W132" s="55" t="s">
        <v>8</v>
      </c>
      <c r="X132" s="55" t="s">
        <v>8</v>
      </c>
      <c r="Y132">
        <v>1.19</v>
      </c>
      <c r="Z132" s="28">
        <v>0.79585037160077399</v>
      </c>
    </row>
    <row r="133" spans="2:26" x14ac:dyDescent="0.3">
      <c r="B133" s="46">
        <v>102</v>
      </c>
      <c r="C133" s="5" t="s">
        <v>65</v>
      </c>
      <c r="D133">
        <v>0.75</v>
      </c>
      <c r="E133" s="36">
        <v>3.5000000000000001E-3</v>
      </c>
      <c r="F133">
        <v>0.3</v>
      </c>
      <c r="G133">
        <v>1</v>
      </c>
      <c r="H133">
        <v>0.15</v>
      </c>
      <c r="I133" s="35">
        <v>2.81</v>
      </c>
      <c r="J133" s="35">
        <v>2.81</v>
      </c>
      <c r="K133" s="35">
        <v>10.710415207031801</v>
      </c>
      <c r="L133" s="28">
        <v>28.7389788829251</v>
      </c>
      <c r="M133" s="38">
        <v>35.5</v>
      </c>
      <c r="N133" s="24">
        <v>1.08916789845473E-2</v>
      </c>
      <c r="O133" s="35">
        <v>1</v>
      </c>
      <c r="P133">
        <v>26.9</v>
      </c>
      <c r="Q133" s="24">
        <v>1.08916789845473E-2</v>
      </c>
      <c r="R133" s="35">
        <v>0.15</v>
      </c>
      <c r="S133" s="55" t="s">
        <v>8</v>
      </c>
      <c r="T133" s="58" t="s">
        <v>8</v>
      </c>
      <c r="U133">
        <v>26.9</v>
      </c>
      <c r="V133" s="24">
        <v>1.08916789845473E-2</v>
      </c>
      <c r="W133" s="55" t="s">
        <v>8</v>
      </c>
      <c r="X133" s="55" t="s">
        <v>8</v>
      </c>
      <c r="Y133">
        <v>0.63</v>
      </c>
      <c r="Z133" s="28">
        <v>0.42532432571492601</v>
      </c>
    </row>
    <row r="134" spans="2:26" x14ac:dyDescent="0.3">
      <c r="B134" s="46">
        <v>103</v>
      </c>
      <c r="C134" s="5" t="s">
        <v>65</v>
      </c>
      <c r="D134">
        <v>0.875</v>
      </c>
      <c r="E134" s="36">
        <v>4.2500000000000003E-3</v>
      </c>
      <c r="F134">
        <v>0.3</v>
      </c>
      <c r="G134">
        <v>1</v>
      </c>
      <c r="H134">
        <v>0.23749999999999999</v>
      </c>
      <c r="I134" s="35">
        <v>2.81</v>
      </c>
      <c r="J134" s="35">
        <v>2.81</v>
      </c>
      <c r="K134" s="35">
        <v>8.8870070883025001</v>
      </c>
      <c r="L134" s="28">
        <v>23.846275247615999</v>
      </c>
      <c r="M134" s="38">
        <v>40.25</v>
      </c>
      <c r="N134" s="24">
        <v>9.3704221146265598E-3</v>
      </c>
      <c r="O134" s="35">
        <v>1.25</v>
      </c>
      <c r="P134">
        <v>27.6</v>
      </c>
      <c r="Q134" s="24">
        <v>9.3704221146265598E-3</v>
      </c>
      <c r="R134" s="35">
        <v>0.296875</v>
      </c>
      <c r="S134" s="55" t="s">
        <v>8</v>
      </c>
      <c r="T134" s="58" t="s">
        <v>8</v>
      </c>
      <c r="U134">
        <v>27.6</v>
      </c>
      <c r="V134" s="24">
        <v>9.3704221146265598E-3</v>
      </c>
      <c r="W134" s="55" t="s">
        <v>8</v>
      </c>
      <c r="X134" s="55" t="s">
        <v>8</v>
      </c>
      <c r="Y134">
        <v>0.7</v>
      </c>
      <c r="Z134" s="28">
        <v>0.46417800775652501</v>
      </c>
    </row>
    <row r="135" spans="2:26" x14ac:dyDescent="0.3">
      <c r="B135" s="46">
        <v>104</v>
      </c>
      <c r="C135" s="5" t="s">
        <v>65</v>
      </c>
      <c r="D135">
        <v>0.875</v>
      </c>
      <c r="E135" s="36">
        <v>4.2500000000000003E-3</v>
      </c>
      <c r="F135">
        <v>0.3</v>
      </c>
      <c r="G135">
        <v>1</v>
      </c>
      <c r="H135">
        <v>0.23749999999999999</v>
      </c>
      <c r="I135" s="35">
        <v>2.81</v>
      </c>
      <c r="J135" s="35">
        <v>2.81</v>
      </c>
      <c r="K135" s="35">
        <v>8.91976728993866</v>
      </c>
      <c r="L135" s="28">
        <v>23.9341798456005</v>
      </c>
      <c r="M135" s="38">
        <v>40.25</v>
      </c>
      <c r="N135" s="24">
        <v>1.90275189094509E-2</v>
      </c>
      <c r="O135" s="35">
        <v>1.25</v>
      </c>
      <c r="P135">
        <v>31.1</v>
      </c>
      <c r="Q135" s="24">
        <v>1.90275189094509E-2</v>
      </c>
      <c r="R135" s="35">
        <v>0.296875</v>
      </c>
      <c r="S135" s="55" t="s">
        <v>8</v>
      </c>
      <c r="T135" s="58" t="s">
        <v>8</v>
      </c>
      <c r="U135">
        <v>31.1</v>
      </c>
      <c r="V135" s="24">
        <v>1.90275189094509E-2</v>
      </c>
      <c r="W135" s="55" t="s">
        <v>8</v>
      </c>
      <c r="X135" s="55" t="s">
        <v>8</v>
      </c>
      <c r="Y135">
        <v>0.75</v>
      </c>
      <c r="Z135" s="28">
        <v>0.56491173921228199</v>
      </c>
    </row>
    <row r="136" spans="2:26" ht="15" thickBot="1" x14ac:dyDescent="0.35">
      <c r="B136" s="16">
        <v>105</v>
      </c>
      <c r="C136" s="7" t="s">
        <v>65</v>
      </c>
      <c r="D136" s="8">
        <v>0.875</v>
      </c>
      <c r="E136" s="44">
        <v>2.7499999999999998E-3</v>
      </c>
      <c r="F136" s="8">
        <v>0.3</v>
      </c>
      <c r="G136">
        <v>1</v>
      </c>
      <c r="H136" s="8">
        <v>0.41249999999999998</v>
      </c>
      <c r="I136" s="18">
        <v>2.81</v>
      </c>
      <c r="J136" s="18">
        <v>2.81</v>
      </c>
      <c r="K136" s="18">
        <v>13.6397857914166</v>
      </c>
      <c r="L136" s="29">
        <v>36.5992828709186</v>
      </c>
      <c r="M136" s="45">
        <v>40.25</v>
      </c>
      <c r="N136" s="25">
        <v>9.3704221146265598E-3</v>
      </c>
      <c r="O136" s="18">
        <v>1.25</v>
      </c>
      <c r="P136" s="8">
        <v>22.5</v>
      </c>
      <c r="Q136" s="25">
        <v>9.3704221146265598E-3</v>
      </c>
      <c r="R136" s="18">
        <v>0.515625</v>
      </c>
      <c r="S136" s="56" t="s">
        <v>8</v>
      </c>
      <c r="T136" s="59" t="s">
        <v>8</v>
      </c>
      <c r="U136" s="8">
        <v>22.5</v>
      </c>
      <c r="V136" s="25">
        <v>9.3704221146265598E-3</v>
      </c>
      <c r="W136" s="56" t="s">
        <v>8</v>
      </c>
      <c r="X136" s="56" t="s">
        <v>8</v>
      </c>
      <c r="Y136" s="8">
        <v>0.99</v>
      </c>
      <c r="Z136" s="29">
        <v>0.65131696740540101</v>
      </c>
    </row>
  </sheetData>
  <mergeCells count="7">
    <mergeCell ref="C7:N7"/>
    <mergeCell ref="E14:F14"/>
    <mergeCell ref="G14:H14"/>
    <mergeCell ref="I14:J14"/>
    <mergeCell ref="E11:F11"/>
    <mergeCell ref="G11:H11"/>
    <mergeCell ref="I11:J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2.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E9B0F2-0F1F-4FE4-8066-C13DC92A4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Liu2019</vt:lpstr>
      <vt:lpstr>Pakari2019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2025-08-12T08:57:42Z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