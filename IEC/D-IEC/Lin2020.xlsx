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AZ\alaniszeo_git\EC-generic-model\Database_for_model_validation\D-IEC\"/>
    </mc:Choice>
  </mc:AlternateContent>
  <xr:revisionPtr revIDLastSave="0" documentId="13_ncr:1_{4AECA3C9-1B6F-4BFE-87FA-7CCF1DA477EE}" xr6:coauthVersionLast="47" xr6:coauthVersionMax="47" xr10:uidLastSave="{00000000-0000-0000-0000-000000000000}"/>
  <bookViews>
    <workbookView xWindow="-108" yWindow="-108" windowWidth="30936" windowHeight="16776" xr2:uid="{1306219A-737B-4B5D-BCFD-98C34D3C77CC}"/>
  </bookViews>
  <sheets>
    <sheet name="Lin2020" sheetId="1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1" i="11" l="1"/>
  <c r="D40" i="11"/>
  <c r="D39" i="11"/>
  <c r="D38" i="11"/>
  <c r="D37" i="11"/>
  <c r="D36" i="11"/>
  <c r="D35" i="11"/>
  <c r="D34" i="11"/>
  <c r="D33" i="11"/>
  <c r="D32" i="11"/>
  <c r="C20" i="11" l="1"/>
  <c r="C21" i="11"/>
  <c r="E41" i="11" l="1"/>
  <c r="E33" i="11"/>
  <c r="E37" i="11"/>
  <c r="E40" i="11"/>
  <c r="E32" i="11"/>
  <c r="E39" i="11"/>
  <c r="E38" i="11"/>
  <c r="E34" i="11"/>
  <c r="E36" i="11"/>
  <c r="E35" i="11"/>
  <c r="C19" i="11"/>
</calcChain>
</file>

<file path=xl/sharedStrings.xml><?xml version="1.0" encoding="utf-8"?>
<sst xmlns="http://schemas.openxmlformats.org/spreadsheetml/2006/main" count="132" uniqueCount="89">
  <si>
    <t>C</t>
  </si>
  <si>
    <t>counterflow</t>
  </si>
  <si>
    <t>epsilon_wb</t>
  </si>
  <si>
    <t>-</t>
  </si>
  <si>
    <t>epsilon_dp</t>
  </si>
  <si>
    <t>L</t>
  </si>
  <si>
    <t>parallel</t>
  </si>
  <si>
    <t>m</t>
  </si>
  <si>
    <t>W</t>
  </si>
  <si>
    <t>NA</t>
  </si>
  <si>
    <t>h_ch</t>
  </si>
  <si>
    <t>Channel height</t>
  </si>
  <si>
    <t>Water injection type</t>
  </si>
  <si>
    <t>Number of channels</t>
  </si>
  <si>
    <t>wf</t>
  </si>
  <si>
    <t>Temperature</t>
  </si>
  <si>
    <t>Wall thickness</t>
  </si>
  <si>
    <t>m/s</t>
  </si>
  <si>
    <t>kg/kg</t>
  </si>
  <si>
    <t>Paper information</t>
  </si>
  <si>
    <t>Authors</t>
  </si>
  <si>
    <t>Title</t>
  </si>
  <si>
    <t>Year</t>
  </si>
  <si>
    <t>Data type</t>
  </si>
  <si>
    <t>HEX characteristics</t>
  </si>
  <si>
    <t>HEX type</t>
  </si>
  <si>
    <t>Water recirculation</t>
  </si>
  <si>
    <t>Wall material</t>
  </si>
  <si>
    <t>Configuration</t>
  </si>
  <si>
    <t>Geometry</t>
  </si>
  <si>
    <t>Measurement uncertainties</t>
  </si>
  <si>
    <t>Length</t>
  </si>
  <si>
    <t>K</t>
  </si>
  <si>
    <t>Width</t>
  </si>
  <si>
    <t>Humidity</t>
  </si>
  <si>
    <t>%</t>
  </si>
  <si>
    <t>Height</t>
  </si>
  <si>
    <t>Air flow</t>
  </si>
  <si>
    <t>Operating conditions</t>
  </si>
  <si>
    <t>Primary fluid velocity</t>
  </si>
  <si>
    <t>Secondary fluid velocity</t>
  </si>
  <si>
    <t>Secondary-to-Primary flow rate ratio</t>
  </si>
  <si>
    <t>Water supplied</t>
  </si>
  <si>
    <t>kg/s</t>
  </si>
  <si>
    <t>Testing conditions</t>
  </si>
  <si>
    <t>Inlet conditions</t>
  </si>
  <si>
    <t>Outlet conditions</t>
  </si>
  <si>
    <t>Run</t>
  </si>
  <si>
    <t>Experimental data, extracted from graphs</t>
  </si>
  <si>
    <t>Wet surface theory</t>
  </si>
  <si>
    <t>No</t>
  </si>
  <si>
    <t>PCC</t>
  </si>
  <si>
    <t>Towards a thermodynamically favorable dew point evaporative cooler via optimization</t>
  </si>
  <si>
    <t>K_wb</t>
  </si>
  <si>
    <t>Test</t>
  </si>
  <si>
    <t>pd</t>
  </si>
  <si>
    <t>sw</t>
  </si>
  <si>
    <t>A</t>
  </si>
  <si>
    <t>B</t>
  </si>
  <si>
    <t>Tests</t>
  </si>
  <si>
    <t>D-IEC</t>
  </si>
  <si>
    <t>PET sheet</t>
  </si>
  <si>
    <t>Varying T_pd_i</t>
  </si>
  <si>
    <t>Varying v_pd_i</t>
  </si>
  <si>
    <t>Varying S/P</t>
  </si>
  <si>
    <t>Lin et al.</t>
  </si>
  <si>
    <t>SPR</t>
  </si>
  <si>
    <t>m_dot_wf</t>
  </si>
  <si>
    <t>T_pdi</t>
  </si>
  <si>
    <t>w_pdi</t>
  </si>
  <si>
    <t>v_pdi</t>
  </si>
  <si>
    <t>T_swi</t>
  </si>
  <si>
    <t>w_swi</t>
  </si>
  <si>
    <t>v_swi</t>
  </si>
  <si>
    <t>T_wfi</t>
  </si>
  <si>
    <t>T_pdo</t>
  </si>
  <si>
    <t>w_pdo</t>
  </si>
  <si>
    <t>T_swo</t>
  </si>
  <si>
    <t>w_swo</t>
  </si>
  <si>
    <t>1.11-2</t>
  </si>
  <si>
    <t>0.37-1.59</t>
  </si>
  <si>
    <t>0.22-0.9</t>
  </si>
  <si>
    <t>Nu</t>
  </si>
  <si>
    <t>Re</t>
  </si>
  <si>
    <t>WWR</t>
  </si>
  <si>
    <t>h_T_pd</t>
  </si>
  <si>
    <t>h_T_sw</t>
  </si>
  <si>
    <t>Description</t>
  </si>
  <si>
    <t>Horizontal 20-channel counterflow D-IEC with a Polyethylene Terephthalate (PET) sheet between dry and wet channels. Thin sheet of absorbent material on the wet channel surface to circulate water through capillary action. Evaluation of the impact of the primary air temperature and velocity at the heat exchanger inlet and the recirculation ratio on the primary and secondary air outlet temperature. Outlet specific humidity of the secondary air computed by performing an energy balance on the evaporative cooler.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</si>
</sst>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7">
    <xf numFmtId="0" fontId="0" fillId="0" borderId="0" xfId="0"/>
    <xf numFmtId="0" fontId="1" fillId="0" borderId="0" xfId="0" applyFont="1"/>
    <xf numFmtId="0" fontId="1" fillId="0" borderId="1" xfId="0"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1" fillId="0" borderId="9" xfId="0" applyFont="1" applyBorder="1"/>
    <xf numFmtId="0" fontId="1" fillId="0" borderId="10" xfId="0" applyFont="1" applyBorder="1"/>
    <xf numFmtId="0" fontId="1" fillId="0" borderId="11" xfId="0" applyFont="1" applyBorder="1"/>
    <xf numFmtId="0" fontId="0" fillId="0" borderId="1" xfId="0" applyBorder="1"/>
    <xf numFmtId="0" fontId="1" fillId="0" borderId="6" xfId="0" applyFont="1" applyBorder="1"/>
    <xf numFmtId="0" fontId="1" fillId="0" borderId="7" xfId="0" applyFont="1" applyBorder="1"/>
    <xf numFmtId="0" fontId="1" fillId="0" borderId="14" xfId="0" applyFont="1" applyBorder="1"/>
    <xf numFmtId="2" fontId="0" fillId="0" borderId="7" xfId="0" applyNumberFormat="1" applyBorder="1"/>
    <xf numFmtId="0" fontId="0" fillId="0" borderId="10" xfId="0" applyBorder="1"/>
    <xf numFmtId="0" fontId="0" fillId="0" borderId="11" xfId="0" applyBorder="1"/>
    <xf numFmtId="0" fontId="1" fillId="0" borderId="4" xfId="0" applyFont="1" applyBorder="1"/>
    <xf numFmtId="0" fontId="1" fillId="0" borderId="12" xfId="0" applyFont="1" applyBorder="1"/>
    <xf numFmtId="0" fontId="1" fillId="0" borderId="13" xfId="0" applyFont="1" applyBorder="1"/>
    <xf numFmtId="164" fontId="0" fillId="0" borderId="0" xfId="0" applyNumberFormat="1"/>
    <xf numFmtId="0" fontId="1" fillId="0" borderId="8" xfId="0" applyFont="1" applyBorder="1"/>
    <xf numFmtId="2" fontId="0" fillId="0" borderId="3" xfId="0" applyNumberFormat="1" applyBorder="1"/>
    <xf numFmtId="2" fontId="0" fillId="0" borderId="5" xfId="0" applyNumberFormat="1" applyBorder="1"/>
    <xf numFmtId="2" fontId="0" fillId="0" borderId="8" xfId="0" applyNumberFormat="1" applyBorder="1"/>
    <xf numFmtId="2" fontId="0" fillId="0" borderId="2" xfId="0" applyNumberFormat="1" applyBorder="1"/>
    <xf numFmtId="0" fontId="0" fillId="0" borderId="0" xfId="0" quotePrefix="1"/>
    <xf numFmtId="0" fontId="1" fillId="0" borderId="4" xfId="0" applyFont="1" applyBorder="1" applyAlignment="1">
      <alignment wrapText="1"/>
    </xf>
    <xf numFmtId="0" fontId="0" fillId="0" borderId="5" xfId="0" applyBorder="1" applyAlignment="1">
      <alignment vertical="center"/>
    </xf>
    <xf numFmtId="2" fontId="0" fillId="0" borderId="0" xfId="0" applyNumberFormat="1"/>
    <xf numFmtId="165" fontId="0" fillId="0" borderId="0" xfId="0" applyNumberFormat="1"/>
    <xf numFmtId="166" fontId="0" fillId="0" borderId="2" xfId="0" applyNumberFormat="1" applyBorder="1"/>
    <xf numFmtId="166" fontId="0" fillId="0" borderId="0" xfId="0" applyNumberFormat="1"/>
    <xf numFmtId="166" fontId="0" fillId="0" borderId="4" xfId="0" applyNumberFormat="1" applyBorder="1"/>
    <xf numFmtId="166" fontId="0" fillId="0" borderId="1" xfId="0" applyNumberFormat="1" applyBorder="1"/>
    <xf numFmtId="165" fontId="0" fillId="0" borderId="2" xfId="0" applyNumberFormat="1" applyBorder="1"/>
    <xf numFmtId="166" fontId="0" fillId="0" borderId="7" xfId="0" applyNumberFormat="1" applyBorder="1"/>
    <xf numFmtId="1" fontId="0" fillId="0" borderId="0" xfId="0" applyNumberFormat="1"/>
    <xf numFmtId="165" fontId="0" fillId="0" borderId="7" xfId="0" applyNumberFormat="1" applyBorder="1"/>
    <xf numFmtId="166" fontId="0" fillId="0" borderId="6" xfId="0" applyNumberFormat="1" applyBorder="1"/>
    <xf numFmtId="1" fontId="0" fillId="0" borderId="2" xfId="0" applyNumberFormat="1" applyBorder="1"/>
    <xf numFmtId="1" fontId="0" fillId="0" borderId="7" xfId="0" applyNumberFormat="1" applyBorder="1"/>
    <xf numFmtId="0" fontId="0" fillId="0" borderId="1" xfId="0" applyBorder="1" applyAlignment="1">
      <alignment horizontal="right"/>
    </xf>
    <xf numFmtId="0" fontId="0" fillId="0" borderId="4" xfId="0" applyBorder="1" applyAlignment="1">
      <alignment horizontal="right"/>
    </xf>
    <xf numFmtId="164" fontId="0" fillId="0" borderId="2" xfId="0" applyNumberFormat="1" applyBorder="1" applyAlignment="1">
      <alignment horizontal="right"/>
    </xf>
    <xf numFmtId="164" fontId="0" fillId="0" borderId="0" xfId="0" applyNumberFormat="1" applyAlignment="1">
      <alignment horizontal="right"/>
    </xf>
    <xf numFmtId="164" fontId="0" fillId="0" borderId="7" xfId="0" applyNumberFormat="1" applyBorder="1" applyAlignment="1">
      <alignment horizontal="right"/>
    </xf>
    <xf numFmtId="0" fontId="0" fillId="0" borderId="4" xfId="0" applyBorder="1" applyAlignment="1">
      <alignment horizontal="right" vertical="center"/>
    </xf>
    <xf numFmtId="0" fontId="0" fillId="0" borderId="4" xfId="0" applyBorder="1" applyAlignment="1">
      <alignment horizontal="left"/>
    </xf>
    <xf numFmtId="0" fontId="0" fillId="0" borderId="9" xfId="0" applyBorder="1" applyAlignment="1">
      <alignment horizontal="center"/>
    </xf>
    <xf numFmtId="0" fontId="0" fillId="0" borderId="11" xfId="0" applyBorder="1" applyAlignment="1">
      <alignment horizontal="center"/>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14</xdr:col>
      <xdr:colOff>182881</xdr:colOff>
      <xdr:row>3</xdr:row>
      <xdr:rowOff>76200</xdr:rowOff>
    </xdr:from>
    <xdr:to>
      <xdr:col>22</xdr:col>
      <xdr:colOff>306817</xdr:colOff>
      <xdr:row>24</xdr:row>
      <xdr:rowOff>174316</xdr:rowOff>
    </xdr:to>
    <xdr:pic>
      <xdr:nvPicPr>
        <xdr:cNvPr id="3" name="Picture 2">
          <a:extLst>
            <a:ext uri="{FF2B5EF4-FFF2-40B4-BE49-F238E27FC236}">
              <a16:creationId xmlns:a16="http://schemas.microsoft.com/office/drawing/2014/main" id="{E402082E-828F-9EDB-1FC4-86D589EADFDF}"/>
            </a:ext>
          </a:extLst>
        </xdr:cNvPr>
        <xdr:cNvPicPr>
          <a:picLocks noChangeAspect="1"/>
        </xdr:cNvPicPr>
      </xdr:nvPicPr>
      <xdr:blipFill>
        <a:blip xmlns:r="http://schemas.openxmlformats.org/officeDocument/2006/relationships" r:embed="rId1"/>
        <a:stretch>
          <a:fillRect/>
        </a:stretch>
      </xdr:blipFill>
      <xdr:spPr>
        <a:xfrm>
          <a:off x="11300461" y="640080"/>
          <a:ext cx="5267436" cy="4593916"/>
        </a:xfrm>
        <a:prstGeom prst="rect">
          <a:avLst/>
        </a:prstGeom>
      </xdr:spPr>
    </xdr:pic>
    <xdr:clientData/>
  </xdr:twoCellAnchor>
</xdr:wsDr>
</file>

<file path=xl/theme/theme1.xml><?xml version="1.0" encoding="utf-8"?>
<a:theme xmlns:a="http://schemas.openxmlformats.org/drawingml/2006/main" name="Office Theme">
  <a:themeElements>
    <a:clrScheme name="NiceColors">
      <a:dk1>
        <a:sysClr val="windowText" lastClr="000000"/>
      </a:dk1>
      <a:lt1>
        <a:sysClr val="window" lastClr="FFFFFF"/>
      </a:lt1>
      <a:dk2>
        <a:srgbClr val="455B69"/>
      </a:dk2>
      <a:lt2>
        <a:srgbClr val="E7E6E6"/>
      </a:lt2>
      <a:accent1>
        <a:srgbClr val="F59E00"/>
      </a:accent1>
      <a:accent2>
        <a:srgbClr val="A6B727"/>
      </a:accent2>
      <a:accent3>
        <a:srgbClr val="2E96A4"/>
      </a:accent3>
      <a:accent4>
        <a:srgbClr val="FEC306"/>
      </a:accent4>
      <a:accent5>
        <a:srgbClr val="997A9E"/>
      </a:accent5>
      <a:accent6>
        <a:srgbClr val="F4A6C9"/>
      </a:accent6>
      <a:hlink>
        <a:srgbClr val="000000"/>
      </a:hlink>
      <a:folHlink>
        <a:srgbClr val="F59E0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0CC72-EBA3-4719-A48A-A46E6F4B8FB8}">
  <dimension ref="B1:AE48"/>
  <sheetViews>
    <sheetView tabSelected="1" zoomScaleNormal="100" workbookViewId="0">
      <selection activeCell="X10" sqref="X10"/>
    </sheetView>
  </sheetViews>
  <sheetFormatPr defaultColWidth="8.88671875" defaultRowHeight="14.4" x14ac:dyDescent="0.3"/>
  <cols>
    <col min="1" max="1" width="2.6640625" customWidth="1"/>
    <col min="2" max="2" width="22.33203125" bestFit="1" customWidth="1"/>
    <col min="3" max="3" width="17.77734375" customWidth="1"/>
    <col min="6" max="6" width="12.44140625" customWidth="1"/>
    <col min="7" max="13" width="9.33203125" customWidth="1"/>
    <col min="14" max="14" width="9.21875" customWidth="1"/>
    <col min="15" max="15" width="10.5546875" customWidth="1"/>
    <col min="16" max="16" width="9.21875" customWidth="1"/>
    <col min="17" max="19" width="9.109375" customWidth="1"/>
    <col min="20" max="20" width="9.6640625" bestFit="1" customWidth="1"/>
    <col min="21" max="24" width="9.109375" customWidth="1"/>
    <col min="25" max="25" width="10.5546875" bestFit="1" customWidth="1"/>
    <col min="26" max="26" width="10.21875" bestFit="1" customWidth="1"/>
  </cols>
  <sheetData>
    <row r="1" spans="2:14" ht="15" thickBot="1" x14ac:dyDescent="0.35"/>
    <row r="2" spans="2:14" ht="15" thickBot="1" x14ac:dyDescent="0.35">
      <c r="B2" s="10" t="s">
        <v>19</v>
      </c>
      <c r="C2" s="11"/>
      <c r="D2" s="11"/>
      <c r="E2" s="11"/>
      <c r="F2" s="11"/>
      <c r="G2" s="11"/>
      <c r="H2" s="11"/>
      <c r="I2" s="11"/>
      <c r="J2" s="11"/>
      <c r="K2" s="11"/>
      <c r="L2" s="11"/>
      <c r="M2" s="11"/>
      <c r="N2" s="12"/>
    </row>
    <row r="3" spans="2:14" x14ac:dyDescent="0.3">
      <c r="B3" s="21" t="s">
        <v>20</v>
      </c>
      <c r="C3" s="13" t="s">
        <v>65</v>
      </c>
      <c r="D3" s="3"/>
      <c r="E3" s="3"/>
      <c r="F3" s="3"/>
      <c r="G3" s="3"/>
      <c r="H3" s="3"/>
      <c r="I3" s="3"/>
      <c r="J3" s="3"/>
      <c r="K3" s="3"/>
      <c r="L3" s="3"/>
      <c r="M3" s="3"/>
      <c r="N3" s="4"/>
    </row>
    <row r="4" spans="2:14" x14ac:dyDescent="0.3">
      <c r="B4" s="22" t="s">
        <v>21</v>
      </c>
      <c r="C4" s="5" t="s">
        <v>52</v>
      </c>
      <c r="N4" s="6"/>
    </row>
    <row r="5" spans="2:14" x14ac:dyDescent="0.3">
      <c r="B5" s="22" t="s">
        <v>22</v>
      </c>
      <c r="C5" s="51">
        <v>2020</v>
      </c>
      <c r="N5" s="6"/>
    </row>
    <row r="6" spans="2:14" x14ac:dyDescent="0.3">
      <c r="B6" s="22" t="s">
        <v>23</v>
      </c>
      <c r="C6" s="5" t="s">
        <v>48</v>
      </c>
      <c r="N6" s="6"/>
    </row>
    <row r="7" spans="2:14" ht="59.4" customHeight="1" thickBot="1" x14ac:dyDescent="0.35">
      <c r="B7" s="16" t="s">
        <v>87</v>
      </c>
      <c r="C7" s="54" t="s">
        <v>88</v>
      </c>
      <c r="D7" s="55"/>
      <c r="E7" s="55"/>
      <c r="F7" s="55"/>
      <c r="G7" s="55"/>
      <c r="H7" s="55"/>
      <c r="I7" s="55"/>
      <c r="J7" s="55"/>
      <c r="K7" s="55"/>
      <c r="L7" s="55"/>
      <c r="M7" s="55"/>
      <c r="N7" s="56"/>
    </row>
    <row r="8" spans="2:14" ht="15" thickBot="1" x14ac:dyDescent="0.35"/>
    <row r="9" spans="2:14" ht="15" thickBot="1" x14ac:dyDescent="0.35">
      <c r="B9" s="10" t="s">
        <v>24</v>
      </c>
      <c r="C9" s="19"/>
      <c r="E9" s="10" t="s">
        <v>28</v>
      </c>
      <c r="F9" s="18"/>
      <c r="G9" s="18"/>
      <c r="H9" s="18"/>
      <c r="I9" s="18"/>
      <c r="J9" s="19"/>
    </row>
    <row r="10" spans="2:14" ht="15" thickBot="1" x14ac:dyDescent="0.35">
      <c r="B10" s="21" t="s">
        <v>25</v>
      </c>
      <c r="C10" s="6" t="s">
        <v>60</v>
      </c>
      <c r="E10" s="10" t="s">
        <v>55</v>
      </c>
      <c r="F10" s="11" t="s">
        <v>14</v>
      </c>
      <c r="G10" s="10" t="s">
        <v>55</v>
      </c>
      <c r="H10" s="12" t="s">
        <v>56</v>
      </c>
      <c r="I10" s="11" t="s">
        <v>56</v>
      </c>
      <c r="J10" s="12" t="s">
        <v>14</v>
      </c>
    </row>
    <row r="11" spans="2:14" ht="15" thickBot="1" x14ac:dyDescent="0.35">
      <c r="B11" s="22" t="s">
        <v>12</v>
      </c>
      <c r="C11" s="6" t="s">
        <v>49</v>
      </c>
      <c r="E11" s="52" t="s">
        <v>1</v>
      </c>
      <c r="F11" s="53"/>
      <c r="G11" s="52" t="s">
        <v>1</v>
      </c>
      <c r="H11" s="53"/>
      <c r="I11" s="52" t="s">
        <v>6</v>
      </c>
      <c r="J11" s="53"/>
    </row>
    <row r="12" spans="2:14" x14ac:dyDescent="0.3">
      <c r="B12" s="22" t="s">
        <v>26</v>
      </c>
      <c r="C12" s="6" t="s">
        <v>50</v>
      </c>
    </row>
    <row r="13" spans="2:14" x14ac:dyDescent="0.3">
      <c r="B13" s="22" t="s">
        <v>27</v>
      </c>
      <c r="C13" s="6" t="s">
        <v>61</v>
      </c>
    </row>
    <row r="14" spans="2:14" ht="15" thickBot="1" x14ac:dyDescent="0.35">
      <c r="B14" s="16" t="s">
        <v>28</v>
      </c>
      <c r="C14" s="9" t="s">
        <v>51</v>
      </c>
    </row>
    <row r="15" spans="2:14" ht="15" thickBot="1" x14ac:dyDescent="0.35">
      <c r="B15" s="1"/>
    </row>
    <row r="16" spans="2:14" ht="15" thickBot="1" x14ac:dyDescent="0.35">
      <c r="B16" s="10" t="s">
        <v>29</v>
      </c>
      <c r="C16" s="18"/>
      <c r="D16" s="19"/>
      <c r="F16" s="10" t="s">
        <v>30</v>
      </c>
      <c r="G16" s="18"/>
      <c r="H16" s="19"/>
    </row>
    <row r="17" spans="2:31" x14ac:dyDescent="0.3">
      <c r="B17" s="21" t="s">
        <v>31</v>
      </c>
      <c r="C17" s="3">
        <v>0.6</v>
      </c>
      <c r="D17" s="4" t="s">
        <v>7</v>
      </c>
      <c r="F17" s="21" t="s">
        <v>15</v>
      </c>
      <c r="G17" s="29">
        <v>0.03</v>
      </c>
      <c r="H17" s="6" t="s">
        <v>32</v>
      </c>
    </row>
    <row r="18" spans="2:31" x14ac:dyDescent="0.3">
      <c r="B18" s="22" t="s">
        <v>33</v>
      </c>
      <c r="C18">
        <v>0.15</v>
      </c>
      <c r="D18" s="6" t="s">
        <v>7</v>
      </c>
      <c r="F18" s="22" t="s">
        <v>34</v>
      </c>
      <c r="G18">
        <v>0.03</v>
      </c>
      <c r="H18" s="6" t="s">
        <v>53</v>
      </c>
    </row>
    <row r="19" spans="2:31" ht="15" thickBot="1" x14ac:dyDescent="0.35">
      <c r="B19" s="22" t="s">
        <v>36</v>
      </c>
      <c r="C19" s="33">
        <f>C22*C20+(C22+1)*C21</f>
        <v>6.8400000000000002E-2</v>
      </c>
      <c r="D19" s="6" t="s">
        <v>7</v>
      </c>
      <c r="F19" s="16" t="s">
        <v>37</v>
      </c>
      <c r="G19" s="8">
        <v>2</v>
      </c>
      <c r="H19" s="9" t="s">
        <v>35</v>
      </c>
    </row>
    <row r="20" spans="2:31" x14ac:dyDescent="0.3">
      <c r="B20" s="22" t="s">
        <v>11</v>
      </c>
      <c r="C20">
        <f>3*0.001</f>
        <v>3.0000000000000001E-3</v>
      </c>
      <c r="D20" s="6" t="s">
        <v>7</v>
      </c>
    </row>
    <row r="21" spans="2:31" x14ac:dyDescent="0.3">
      <c r="B21" s="22" t="s">
        <v>16</v>
      </c>
      <c r="C21">
        <f>(200+200)*0.000001</f>
        <v>3.9999999999999996E-4</v>
      </c>
      <c r="D21" s="6" t="s">
        <v>7</v>
      </c>
    </row>
    <row r="22" spans="2:31" ht="15" thickBot="1" x14ac:dyDescent="0.35">
      <c r="B22" s="16" t="s">
        <v>13</v>
      </c>
      <c r="C22" s="8">
        <v>20</v>
      </c>
      <c r="D22" s="9" t="s">
        <v>3</v>
      </c>
    </row>
    <row r="23" spans="2:31" ht="15" thickBot="1" x14ac:dyDescent="0.35">
      <c r="B23" s="1"/>
    </row>
    <row r="24" spans="2:31" ht="15" thickBot="1" x14ac:dyDescent="0.35">
      <c r="B24" s="2" t="s">
        <v>38</v>
      </c>
      <c r="C24" s="3"/>
      <c r="D24" s="4"/>
      <c r="F24" s="10" t="s">
        <v>59</v>
      </c>
      <c r="G24" s="18"/>
      <c r="H24" s="19"/>
    </row>
    <row r="25" spans="2:31" x14ac:dyDescent="0.3">
      <c r="B25" s="2" t="s">
        <v>39</v>
      </c>
      <c r="C25" s="45" t="s">
        <v>79</v>
      </c>
      <c r="D25" s="4" t="s">
        <v>17</v>
      </c>
      <c r="F25" s="21" t="s">
        <v>57</v>
      </c>
      <c r="G25" s="3" t="s">
        <v>62</v>
      </c>
      <c r="H25" s="4"/>
    </row>
    <row r="26" spans="2:31" x14ac:dyDescent="0.3">
      <c r="B26" s="20" t="s">
        <v>40</v>
      </c>
      <c r="C26" s="46" t="s">
        <v>80</v>
      </c>
      <c r="D26" s="6" t="s">
        <v>17</v>
      </c>
      <c r="F26" s="22" t="s">
        <v>58</v>
      </c>
      <c r="G26" t="s">
        <v>63</v>
      </c>
      <c r="H26" s="6"/>
    </row>
    <row r="27" spans="2:31" ht="29.4" thickBot="1" x14ac:dyDescent="0.35">
      <c r="B27" s="30" t="s">
        <v>41</v>
      </c>
      <c r="C27" s="50" t="s">
        <v>81</v>
      </c>
      <c r="D27" s="31" t="s">
        <v>18</v>
      </c>
      <c r="F27" s="16" t="s">
        <v>0</v>
      </c>
      <c r="G27" s="8" t="s">
        <v>64</v>
      </c>
      <c r="H27" s="9"/>
    </row>
    <row r="28" spans="2:31" ht="15" thickBot="1" x14ac:dyDescent="0.35">
      <c r="B28" s="14" t="s">
        <v>42</v>
      </c>
      <c r="C28" s="7">
        <v>0</v>
      </c>
      <c r="D28" s="9" t="s">
        <v>43</v>
      </c>
      <c r="F28" s="1"/>
      <c r="I28" s="32"/>
      <c r="J28" s="32"/>
      <c r="K28" s="32"/>
      <c r="L28" s="32"/>
    </row>
    <row r="29" spans="2:31" ht="15" thickBot="1" x14ac:dyDescent="0.35"/>
    <row r="30" spans="2:31" ht="15" thickBot="1" x14ac:dyDescent="0.35">
      <c r="B30" s="2"/>
      <c r="C30" s="10" t="s">
        <v>44</v>
      </c>
      <c r="D30" s="11"/>
      <c r="E30" s="11"/>
      <c r="F30" s="11"/>
      <c r="G30" s="11"/>
      <c r="H30" s="11"/>
      <c r="I30" s="11"/>
      <c r="J30" s="11"/>
      <c r="K30" s="11"/>
      <c r="L30" s="12"/>
      <c r="M30" s="10" t="s">
        <v>45</v>
      </c>
      <c r="N30" s="11"/>
      <c r="O30" s="11"/>
      <c r="P30" s="11"/>
      <c r="Q30" s="11"/>
      <c r="R30" s="11"/>
      <c r="S30" s="11"/>
      <c r="T30" s="12"/>
      <c r="U30" s="12" t="s">
        <v>46</v>
      </c>
      <c r="V30" s="3"/>
      <c r="W30" s="3"/>
      <c r="X30" s="18"/>
      <c r="Y30" s="3"/>
      <c r="Z30" s="4"/>
    </row>
    <row r="31" spans="2:31" ht="15" thickBot="1" x14ac:dyDescent="0.35">
      <c r="B31" s="14" t="s">
        <v>47</v>
      </c>
      <c r="C31" s="10" t="s">
        <v>54</v>
      </c>
      <c r="D31" s="15" t="s">
        <v>5</v>
      </c>
      <c r="E31" s="15" t="s">
        <v>10</v>
      </c>
      <c r="F31" s="15" t="s">
        <v>8</v>
      </c>
      <c r="G31" s="15" t="s">
        <v>84</v>
      </c>
      <c r="H31" s="15" t="s">
        <v>66</v>
      </c>
      <c r="I31" s="15" t="s">
        <v>83</v>
      </c>
      <c r="J31" s="15" t="s">
        <v>82</v>
      </c>
      <c r="K31" s="15" t="s">
        <v>85</v>
      </c>
      <c r="L31" s="24" t="s">
        <v>86</v>
      </c>
      <c r="M31" s="10" t="s">
        <v>68</v>
      </c>
      <c r="N31" s="11" t="s">
        <v>69</v>
      </c>
      <c r="O31" s="11" t="s">
        <v>70</v>
      </c>
      <c r="P31" s="11" t="s">
        <v>71</v>
      </c>
      <c r="Q31" s="11" t="s">
        <v>72</v>
      </c>
      <c r="R31" s="15" t="s">
        <v>73</v>
      </c>
      <c r="S31" s="15" t="s">
        <v>74</v>
      </c>
      <c r="T31" s="24" t="s">
        <v>67</v>
      </c>
      <c r="U31" s="11" t="s">
        <v>75</v>
      </c>
      <c r="V31" s="11" t="s">
        <v>76</v>
      </c>
      <c r="W31" s="11" t="s">
        <v>77</v>
      </c>
      <c r="X31" s="11" t="s">
        <v>78</v>
      </c>
      <c r="Y31" s="11" t="s">
        <v>2</v>
      </c>
      <c r="Z31" s="12" t="s">
        <v>4</v>
      </c>
      <c r="AA31" s="1"/>
      <c r="AB31" s="1"/>
      <c r="AC31" s="1"/>
      <c r="AD31" s="1"/>
      <c r="AE31" s="1"/>
    </row>
    <row r="32" spans="2:31" x14ac:dyDescent="0.3">
      <c r="B32" s="13">
        <v>1</v>
      </c>
      <c r="C32" s="13" t="s">
        <v>57</v>
      </c>
      <c r="D32" s="3">
        <f>$C$17</f>
        <v>0.6</v>
      </c>
      <c r="E32" s="3">
        <f>$C$20</f>
        <v>3.0000000000000001E-3</v>
      </c>
      <c r="F32" s="3">
        <v>0.5</v>
      </c>
      <c r="G32" s="3">
        <v>1</v>
      </c>
      <c r="H32" s="3">
        <v>0.33</v>
      </c>
      <c r="I32" s="43">
        <v>763.36696197243202</v>
      </c>
      <c r="J32" s="3">
        <v>7.54</v>
      </c>
      <c r="K32" s="28">
        <v>32.914929218101001</v>
      </c>
      <c r="L32" s="25">
        <v>32.914929218101001</v>
      </c>
      <c r="M32" s="37">
        <v>30</v>
      </c>
      <c r="N32" s="38">
        <v>1.0999999999999999E-2</v>
      </c>
      <c r="O32" s="3">
        <v>2</v>
      </c>
      <c r="P32" s="34">
        <v>19</v>
      </c>
      <c r="Q32" s="38">
        <v>1.0999999999999999E-2</v>
      </c>
      <c r="R32" s="28">
        <v>0.66</v>
      </c>
      <c r="S32" s="47" t="s">
        <v>9</v>
      </c>
      <c r="T32" s="3">
        <v>0</v>
      </c>
      <c r="U32" s="37">
        <v>19</v>
      </c>
      <c r="V32" s="38">
        <v>1.0999999999999999E-2</v>
      </c>
      <c r="W32" s="34">
        <v>27.3</v>
      </c>
      <c r="X32" s="47">
        <v>2.1060302743500254E-2</v>
      </c>
      <c r="Y32" s="28">
        <v>1.13579066827933</v>
      </c>
      <c r="Z32" s="25">
        <v>0.75505531137483095</v>
      </c>
      <c r="AA32" s="40"/>
      <c r="AB32" s="40"/>
      <c r="AC32" s="40"/>
      <c r="AD32" s="35"/>
      <c r="AE32" s="23"/>
    </row>
    <row r="33" spans="2:31" x14ac:dyDescent="0.3">
      <c r="B33" s="5">
        <v>2</v>
      </c>
      <c r="C33" s="5" t="s">
        <v>57</v>
      </c>
      <c r="D33">
        <f>$C$17</f>
        <v>0.6</v>
      </c>
      <c r="E33">
        <f>$C$20</f>
        <v>3.0000000000000001E-3</v>
      </c>
      <c r="F33">
        <v>0.5</v>
      </c>
      <c r="G33">
        <v>1</v>
      </c>
      <c r="H33">
        <v>0.33</v>
      </c>
      <c r="I33" s="40">
        <v>756.437815775437</v>
      </c>
      <c r="J33">
        <v>7.54</v>
      </c>
      <c r="K33" s="32">
        <v>33.055958575794399</v>
      </c>
      <c r="L33" s="26">
        <v>33.055958575794399</v>
      </c>
      <c r="M33" s="36">
        <v>32.471064133204798</v>
      </c>
      <c r="N33" s="33">
        <v>1.0999999999999999E-2</v>
      </c>
      <c r="O33">
        <v>2</v>
      </c>
      <c r="P33" s="35">
        <v>19.600000000000001</v>
      </c>
      <c r="Q33" s="33">
        <v>1.0999999999999999E-2</v>
      </c>
      <c r="R33" s="32">
        <v>0.66</v>
      </c>
      <c r="S33" s="48" t="s">
        <v>9</v>
      </c>
      <c r="T33">
        <v>0</v>
      </c>
      <c r="U33" s="36">
        <v>19.600000000000001</v>
      </c>
      <c r="V33" s="33">
        <v>1.0999999999999999E-2</v>
      </c>
      <c r="W33" s="35">
        <v>29</v>
      </c>
      <c r="X33" s="48">
        <v>2.2882419616678647E-2</v>
      </c>
      <c r="Y33" s="32">
        <v>1.12858141779693</v>
      </c>
      <c r="Z33" s="26">
        <v>0.75577955450783696</v>
      </c>
      <c r="AA33" s="40"/>
      <c r="AB33" s="40"/>
      <c r="AC33" s="40"/>
      <c r="AD33" s="35"/>
      <c r="AE33" s="23"/>
    </row>
    <row r="34" spans="2:31" x14ac:dyDescent="0.3">
      <c r="B34" s="5">
        <v>3</v>
      </c>
      <c r="C34" s="5" t="s">
        <v>57</v>
      </c>
      <c r="D34">
        <f t="shared" ref="D34:D41" si="0">$C$17</f>
        <v>0.6</v>
      </c>
      <c r="E34">
        <f t="shared" ref="E34:E41" si="1">$C$20</f>
        <v>3.0000000000000001E-3</v>
      </c>
      <c r="F34">
        <v>0.5</v>
      </c>
      <c r="G34">
        <v>1</v>
      </c>
      <c r="H34">
        <v>0.33</v>
      </c>
      <c r="I34" s="40">
        <v>749.48211524870703</v>
      </c>
      <c r="J34">
        <v>7.54</v>
      </c>
      <c r="K34" s="32">
        <v>33.199392538200897</v>
      </c>
      <c r="L34" s="26">
        <v>33.199392538200897</v>
      </c>
      <c r="M34" s="36">
        <v>35</v>
      </c>
      <c r="N34" s="33">
        <v>1.0999999999999999E-2</v>
      </c>
      <c r="O34">
        <v>2</v>
      </c>
      <c r="P34" s="35">
        <v>20.2</v>
      </c>
      <c r="Q34" s="33">
        <v>1.0999999999999999E-2</v>
      </c>
      <c r="R34" s="32">
        <v>0.66</v>
      </c>
      <c r="S34" s="48" t="s">
        <v>9</v>
      </c>
      <c r="T34">
        <v>0</v>
      </c>
      <c r="U34" s="36">
        <v>20.2</v>
      </c>
      <c r="V34" s="33">
        <v>1.0999999999999999E-2</v>
      </c>
      <c r="W34" s="35">
        <v>31.8</v>
      </c>
      <c r="X34" s="48">
        <v>2.4319009534009201E-2</v>
      </c>
      <c r="Y34" s="32">
        <v>1.12146019131417</v>
      </c>
      <c r="Z34" s="26">
        <v>0.75631874404059396</v>
      </c>
      <c r="AA34" s="40"/>
      <c r="AB34" s="40"/>
      <c r="AC34" s="40"/>
      <c r="AD34" s="35"/>
      <c r="AE34" s="23"/>
    </row>
    <row r="35" spans="2:31" x14ac:dyDescent="0.3">
      <c r="B35" s="5">
        <v>4</v>
      </c>
      <c r="C35" s="5" t="s">
        <v>57</v>
      </c>
      <c r="D35">
        <f t="shared" si="0"/>
        <v>0.6</v>
      </c>
      <c r="E35">
        <f t="shared" si="1"/>
        <v>3.0000000000000001E-3</v>
      </c>
      <c r="F35">
        <v>0.5</v>
      </c>
      <c r="G35">
        <v>1</v>
      </c>
      <c r="H35">
        <v>0.33</v>
      </c>
      <c r="I35" s="40">
        <v>743.11941299992702</v>
      </c>
      <c r="J35">
        <v>7.54</v>
      </c>
      <c r="K35" s="32">
        <v>33.332269676830002</v>
      </c>
      <c r="L35" s="26">
        <v>33.332269676830002</v>
      </c>
      <c r="M35" s="36">
        <v>37.503599487673803</v>
      </c>
      <c r="N35" s="33">
        <v>1.0999999999999999E-2</v>
      </c>
      <c r="O35">
        <v>2</v>
      </c>
      <c r="P35" s="35">
        <v>20.6</v>
      </c>
      <c r="Q35" s="33">
        <v>1.0999999999999999E-2</v>
      </c>
      <c r="R35" s="32">
        <v>0.66</v>
      </c>
      <c r="S35" s="48" t="s">
        <v>9</v>
      </c>
      <c r="T35">
        <v>0</v>
      </c>
      <c r="U35" s="36">
        <v>20.6</v>
      </c>
      <c r="V35" s="33">
        <v>1.0999999999999999E-2</v>
      </c>
      <c r="W35" s="35">
        <v>33.700000000000003</v>
      </c>
      <c r="X35" s="48">
        <v>2.6251092183565132E-2</v>
      </c>
      <c r="Y35" s="32">
        <v>1.1278491473960901</v>
      </c>
      <c r="Z35" s="26">
        <v>0.76579847453780103</v>
      </c>
      <c r="AA35" s="40"/>
      <c r="AB35" s="40"/>
      <c r="AC35" s="40"/>
      <c r="AD35" s="35"/>
      <c r="AE35" s="23"/>
    </row>
    <row r="36" spans="2:31" x14ac:dyDescent="0.3">
      <c r="B36" s="5">
        <v>5</v>
      </c>
      <c r="C36" s="5" t="s">
        <v>57</v>
      </c>
      <c r="D36">
        <f t="shared" si="0"/>
        <v>0.6</v>
      </c>
      <c r="E36">
        <f t="shared" si="1"/>
        <v>3.0000000000000001E-3</v>
      </c>
      <c r="F36">
        <v>0.5</v>
      </c>
      <c r="G36">
        <v>1</v>
      </c>
      <c r="H36">
        <v>0.33</v>
      </c>
      <c r="I36" s="40">
        <v>737.073806497085</v>
      </c>
      <c r="J36">
        <v>7.54</v>
      </c>
      <c r="K36" s="32">
        <v>33.4600354893239</v>
      </c>
      <c r="L36" s="26">
        <v>33.4600354893239</v>
      </c>
      <c r="M36" s="36">
        <v>40</v>
      </c>
      <c r="N36" s="33">
        <v>1.0999999999999999E-2</v>
      </c>
      <c r="O36">
        <v>2</v>
      </c>
      <c r="P36" s="35">
        <v>20.9</v>
      </c>
      <c r="Q36" s="33">
        <v>1.0999999999999999E-2</v>
      </c>
      <c r="R36" s="32">
        <v>0.66</v>
      </c>
      <c r="S36" s="48" t="s">
        <v>9</v>
      </c>
      <c r="T36">
        <v>0</v>
      </c>
      <c r="U36" s="36">
        <v>20.9</v>
      </c>
      <c r="V36" s="33">
        <v>1.0999999999999999E-2</v>
      </c>
      <c r="W36" s="35">
        <v>35.700000000000003</v>
      </c>
      <c r="X36" s="48">
        <v>2.8209192326480229E-2</v>
      </c>
      <c r="Y36" s="32">
        <v>1.1375206379045</v>
      </c>
      <c r="Z36" s="26">
        <v>0.777419215417953</v>
      </c>
      <c r="AA36" s="40"/>
      <c r="AB36" s="40"/>
      <c r="AC36" s="40"/>
      <c r="AD36" s="35"/>
      <c r="AE36" s="23"/>
    </row>
    <row r="37" spans="2:31" x14ac:dyDescent="0.3">
      <c r="B37" s="5">
        <v>6</v>
      </c>
      <c r="C37" s="5" t="s">
        <v>58</v>
      </c>
      <c r="D37">
        <f t="shared" si="0"/>
        <v>0.6</v>
      </c>
      <c r="E37">
        <f t="shared" si="1"/>
        <v>3.0000000000000001E-3</v>
      </c>
      <c r="F37">
        <v>0.5</v>
      </c>
      <c r="G37">
        <v>1</v>
      </c>
      <c r="H37">
        <v>0.33</v>
      </c>
      <c r="I37" s="40">
        <v>418.00533730104002</v>
      </c>
      <c r="J37">
        <v>7.54</v>
      </c>
      <c r="K37" s="32">
        <v>33.121494204384803</v>
      </c>
      <c r="L37" s="26">
        <v>33.121494204384803</v>
      </c>
      <c r="M37" s="5">
        <v>35</v>
      </c>
      <c r="N37" s="33">
        <v>1.0999999999999999E-2</v>
      </c>
      <c r="O37" s="32">
        <v>1.10987387387387</v>
      </c>
      <c r="P37" s="35">
        <v>18.5</v>
      </c>
      <c r="Q37" s="33">
        <v>1.0999999999999999E-2</v>
      </c>
      <c r="R37" s="32">
        <v>0.36625837837837716</v>
      </c>
      <c r="S37" s="48" t="s">
        <v>9</v>
      </c>
      <c r="T37">
        <v>0</v>
      </c>
      <c r="U37" s="36">
        <v>18.5</v>
      </c>
      <c r="V37" s="33">
        <v>1.0999999999999999E-2</v>
      </c>
      <c r="W37" s="35">
        <v>32.1</v>
      </c>
      <c r="X37" s="48">
        <v>2.5578364113620713E-2</v>
      </c>
      <c r="Y37" s="32">
        <v>1.2502765646408001</v>
      </c>
      <c r="Z37" s="26">
        <v>0.84319319436958096</v>
      </c>
      <c r="AA37" s="40"/>
      <c r="AB37" s="40"/>
      <c r="AC37" s="40"/>
      <c r="AD37" s="35"/>
      <c r="AE37" s="23"/>
    </row>
    <row r="38" spans="2:31" x14ac:dyDescent="0.3">
      <c r="B38" s="5">
        <v>7</v>
      </c>
      <c r="C38" s="5" t="s">
        <v>58</v>
      </c>
      <c r="D38">
        <f>$C$17</f>
        <v>0.6</v>
      </c>
      <c r="E38">
        <f>$C$20</f>
        <v>3.0000000000000001E-3</v>
      </c>
      <c r="F38">
        <v>0.5</v>
      </c>
      <c r="G38">
        <v>1</v>
      </c>
      <c r="H38">
        <v>0.33</v>
      </c>
      <c r="I38" s="40">
        <v>498.18502790174898</v>
      </c>
      <c r="J38">
        <v>7.54</v>
      </c>
      <c r="K38" s="32">
        <v>33.135246425337002</v>
      </c>
      <c r="L38" s="26">
        <v>33.135246425337002</v>
      </c>
      <c r="M38" s="5">
        <v>35</v>
      </c>
      <c r="N38" s="33">
        <v>1.0999999999999999E-2</v>
      </c>
      <c r="O38" s="32">
        <v>1.32393640699523</v>
      </c>
      <c r="P38" s="35">
        <v>18.8</v>
      </c>
      <c r="Q38" s="33">
        <v>1.0999999999999999E-2</v>
      </c>
      <c r="R38" s="32">
        <v>0.43689901430842593</v>
      </c>
      <c r="S38" s="48" t="s">
        <v>9</v>
      </c>
      <c r="T38">
        <v>0</v>
      </c>
      <c r="U38" s="36">
        <v>18.8</v>
      </c>
      <c r="V38" s="33">
        <v>1.0999999999999999E-2</v>
      </c>
      <c r="W38" s="35">
        <v>32.299999999999997</v>
      </c>
      <c r="X38" s="48">
        <v>2.525229252195919E-2</v>
      </c>
      <c r="Y38" s="32">
        <v>1.22754426346551</v>
      </c>
      <c r="Z38" s="26">
        <v>0.82786240901740704</v>
      </c>
      <c r="AA38" s="40"/>
      <c r="AB38" s="40"/>
      <c r="AC38" s="40"/>
      <c r="AD38" s="35"/>
      <c r="AE38" s="23"/>
    </row>
    <row r="39" spans="2:31" x14ac:dyDescent="0.3">
      <c r="B39" s="5">
        <v>8</v>
      </c>
      <c r="C39" s="5" t="s">
        <v>58</v>
      </c>
      <c r="D39">
        <f t="shared" si="0"/>
        <v>0.6</v>
      </c>
      <c r="E39">
        <f t="shared" si="1"/>
        <v>3.0000000000000001E-3</v>
      </c>
      <c r="F39">
        <v>0.5</v>
      </c>
      <c r="G39">
        <v>1</v>
      </c>
      <c r="H39">
        <v>0.33</v>
      </c>
      <c r="I39" s="40">
        <v>578.05274426378105</v>
      </c>
      <c r="J39">
        <v>7.54</v>
      </c>
      <c r="K39" s="32">
        <v>33.153579080270099</v>
      </c>
      <c r="L39" s="26">
        <v>33.153579080270099</v>
      </c>
      <c r="M39" s="5">
        <v>35</v>
      </c>
      <c r="N39" s="33">
        <v>1.0999999999999999E-2</v>
      </c>
      <c r="O39" s="32">
        <v>1.5380004542357399</v>
      </c>
      <c r="P39" s="35">
        <v>19.2</v>
      </c>
      <c r="Q39" s="33">
        <v>1.0999999999999999E-2</v>
      </c>
      <c r="R39" s="32">
        <v>0.50754014989779417</v>
      </c>
      <c r="S39" s="48" t="s">
        <v>9</v>
      </c>
      <c r="T39">
        <v>0</v>
      </c>
      <c r="U39" s="36">
        <v>19.2</v>
      </c>
      <c r="V39" s="33">
        <v>1.0999999999999999E-2</v>
      </c>
      <c r="W39" s="35">
        <v>32.1</v>
      </c>
      <c r="X39" s="48">
        <v>2.5009162251375616E-2</v>
      </c>
      <c r="Y39" s="32">
        <v>1.19723452856513</v>
      </c>
      <c r="Z39" s="26">
        <v>0.80742136188117497</v>
      </c>
      <c r="AA39" s="40"/>
      <c r="AB39" s="40"/>
      <c r="AC39" s="40"/>
      <c r="AD39" s="35"/>
      <c r="AE39" s="23"/>
    </row>
    <row r="40" spans="2:31" x14ac:dyDescent="0.3">
      <c r="B40" s="5">
        <v>9</v>
      </c>
      <c r="C40" s="5" t="s">
        <v>58</v>
      </c>
      <c r="D40">
        <f t="shared" si="0"/>
        <v>0.6</v>
      </c>
      <c r="E40">
        <f t="shared" si="1"/>
        <v>3.0000000000000001E-3</v>
      </c>
      <c r="F40">
        <v>0.5</v>
      </c>
      <c r="G40">
        <v>1</v>
      </c>
      <c r="H40">
        <v>0.33</v>
      </c>
      <c r="I40" s="40">
        <v>651.66722588286802</v>
      </c>
      <c r="J40">
        <v>7.54</v>
      </c>
      <c r="K40" s="32">
        <v>33.181070269588403</v>
      </c>
      <c r="L40" s="26">
        <v>33.181070269588403</v>
      </c>
      <c r="M40" s="5">
        <v>35</v>
      </c>
      <c r="N40" s="33">
        <v>1.0999999999999999E-2</v>
      </c>
      <c r="O40" s="32">
        <v>1.7369326974032799</v>
      </c>
      <c r="P40" s="35">
        <v>19.8</v>
      </c>
      <c r="Q40" s="33">
        <v>1.0999999999999999E-2</v>
      </c>
      <c r="R40" s="32">
        <v>0.57318779014308241</v>
      </c>
      <c r="S40" s="48" t="s">
        <v>9</v>
      </c>
      <c r="T40">
        <v>0</v>
      </c>
      <c r="U40" s="36">
        <v>19.8</v>
      </c>
      <c r="V40" s="33">
        <v>1.0999999999999999E-2</v>
      </c>
      <c r="W40" s="35">
        <v>32.1</v>
      </c>
      <c r="X40" s="48">
        <v>2.4521274940879821E-2</v>
      </c>
      <c r="Y40" s="32">
        <v>1.15176992621456</v>
      </c>
      <c r="Z40" s="26">
        <v>0.77675979117682603</v>
      </c>
      <c r="AA40" s="40"/>
      <c r="AB40" s="40"/>
      <c r="AC40" s="40"/>
      <c r="AD40" s="35"/>
      <c r="AE40" s="23"/>
    </row>
    <row r="41" spans="2:31" x14ac:dyDescent="0.3">
      <c r="B41" s="5">
        <v>10</v>
      </c>
      <c r="C41" s="5" t="s">
        <v>58</v>
      </c>
      <c r="D41">
        <f t="shared" si="0"/>
        <v>0.6</v>
      </c>
      <c r="E41">
        <f t="shared" si="1"/>
        <v>3.0000000000000001E-3</v>
      </c>
      <c r="F41">
        <v>0.5</v>
      </c>
      <c r="G41">
        <v>1</v>
      </c>
      <c r="H41">
        <v>0.33</v>
      </c>
      <c r="I41" s="40">
        <v>733.33399821357204</v>
      </c>
      <c r="J41">
        <v>7.54</v>
      </c>
      <c r="K41" s="32">
        <v>33.203972456924603</v>
      </c>
      <c r="L41" s="26">
        <v>33.203972456924603</v>
      </c>
      <c r="M41" s="5">
        <v>35</v>
      </c>
      <c r="N41" s="33">
        <v>1.0999999999999999E-2</v>
      </c>
      <c r="O41" s="32">
        <v>1.9574847452494499</v>
      </c>
      <c r="P41" s="35">
        <v>20.3</v>
      </c>
      <c r="Q41" s="33">
        <v>1.0999999999999999E-2</v>
      </c>
      <c r="R41" s="32">
        <v>0.64596996593231848</v>
      </c>
      <c r="S41" s="48" t="s">
        <v>9</v>
      </c>
      <c r="T41">
        <v>0</v>
      </c>
      <c r="U41" s="36">
        <v>20.3</v>
      </c>
      <c r="V41" s="33">
        <v>1.0999999999999999E-2</v>
      </c>
      <c r="W41" s="35">
        <v>31.9</v>
      </c>
      <c r="X41" s="48">
        <v>2.4196679983876961E-2</v>
      </c>
      <c r="Y41" s="32">
        <v>1.11388275758908</v>
      </c>
      <c r="Z41" s="26">
        <v>0.75120848225653603</v>
      </c>
      <c r="AA41" s="40"/>
      <c r="AB41" s="40"/>
      <c r="AC41" s="40"/>
      <c r="AD41" s="35"/>
      <c r="AE41" s="23"/>
    </row>
    <row r="42" spans="2:31" x14ac:dyDescent="0.3">
      <c r="B42" s="5">
        <v>11</v>
      </c>
      <c r="C42" s="5" t="s">
        <v>0</v>
      </c>
      <c r="D42">
        <v>0.6</v>
      </c>
      <c r="E42">
        <v>3.0000000000000001E-3</v>
      </c>
      <c r="F42">
        <v>0.5</v>
      </c>
      <c r="G42">
        <v>1</v>
      </c>
      <c r="H42">
        <v>0.22</v>
      </c>
      <c r="I42" s="40">
        <v>742.47482317224603</v>
      </c>
      <c r="J42">
        <v>7.54</v>
      </c>
      <c r="K42" s="32">
        <v>33.3458215720486</v>
      </c>
      <c r="L42" s="26">
        <v>33.3458215720486</v>
      </c>
      <c r="M42" s="5">
        <v>35</v>
      </c>
      <c r="N42" s="33">
        <v>1.0999999999999999E-2</v>
      </c>
      <c r="O42">
        <v>2</v>
      </c>
      <c r="P42" s="35">
        <v>23.4</v>
      </c>
      <c r="Q42" s="33">
        <v>1.0999999999999999E-2</v>
      </c>
      <c r="R42" s="32">
        <v>0.44786119855527001</v>
      </c>
      <c r="S42" s="48" t="s">
        <v>9</v>
      </c>
      <c r="T42">
        <v>0</v>
      </c>
      <c r="U42" s="36">
        <v>23.4</v>
      </c>
      <c r="V42" s="33">
        <v>1.0999999999999999E-2</v>
      </c>
      <c r="W42" s="35">
        <v>33.799999999999997</v>
      </c>
      <c r="X42" s="48">
        <v>2.7931794482593413E-2</v>
      </c>
      <c r="Y42" s="32">
        <v>0.878982312111108</v>
      </c>
      <c r="Z42" s="26">
        <v>0.59279036695073595</v>
      </c>
      <c r="AA42" s="40"/>
      <c r="AB42" s="40"/>
      <c r="AC42" s="40"/>
      <c r="AD42" s="35"/>
      <c r="AE42" s="23"/>
    </row>
    <row r="43" spans="2:31" x14ac:dyDescent="0.3">
      <c r="B43" s="5">
        <v>12</v>
      </c>
      <c r="C43" s="5" t="s">
        <v>0</v>
      </c>
      <c r="D43">
        <v>0.6</v>
      </c>
      <c r="E43">
        <v>3.0000000000000001E-3</v>
      </c>
      <c r="F43">
        <v>0.5</v>
      </c>
      <c r="G43">
        <v>1</v>
      </c>
      <c r="H43">
        <v>0.33</v>
      </c>
      <c r="I43" s="40">
        <v>749.923620183455</v>
      </c>
      <c r="J43">
        <v>7.54</v>
      </c>
      <c r="K43" s="32">
        <v>33.190231922733602</v>
      </c>
      <c r="L43" s="26">
        <v>33.190231922733602</v>
      </c>
      <c r="M43" s="5">
        <v>35</v>
      </c>
      <c r="N43" s="33">
        <v>1.0999999999999999E-2</v>
      </c>
      <c r="O43">
        <v>2</v>
      </c>
      <c r="P43" s="35">
        <v>20</v>
      </c>
      <c r="Q43" s="33">
        <v>1.0999999999999999E-2</v>
      </c>
      <c r="R43" s="32">
        <v>0.65328143344880596</v>
      </c>
      <c r="S43" s="48" t="s">
        <v>9</v>
      </c>
      <c r="T43">
        <v>0</v>
      </c>
      <c r="U43" s="36">
        <v>20</v>
      </c>
      <c r="V43" s="33">
        <v>1.0999999999999999E-2</v>
      </c>
      <c r="W43" s="35">
        <v>32.200000000000003</v>
      </c>
      <c r="X43" s="48">
        <v>2.4317648334137461E-2</v>
      </c>
      <c r="Y43" s="32">
        <v>1.13661505876436</v>
      </c>
      <c r="Z43" s="26">
        <v>0.76653926760871005</v>
      </c>
      <c r="AA43" s="40"/>
      <c r="AB43" s="40"/>
      <c r="AC43" s="40"/>
      <c r="AD43" s="35"/>
      <c r="AE43" s="23"/>
    </row>
    <row r="44" spans="2:31" x14ac:dyDescent="0.3">
      <c r="B44" s="5">
        <v>13</v>
      </c>
      <c r="C44" s="5" t="s">
        <v>0</v>
      </c>
      <c r="D44">
        <v>0.6</v>
      </c>
      <c r="E44">
        <v>3.0000000000000001E-3</v>
      </c>
      <c r="F44">
        <v>0.5</v>
      </c>
      <c r="G44">
        <v>1</v>
      </c>
      <c r="H44">
        <v>0.4</v>
      </c>
      <c r="I44" s="40">
        <v>752.58150658824502</v>
      </c>
      <c r="J44">
        <v>7.54</v>
      </c>
      <c r="K44" s="32">
        <v>33.135246425337002</v>
      </c>
      <c r="L44" s="26">
        <v>33.135246425337002</v>
      </c>
      <c r="M44" s="5">
        <v>35</v>
      </c>
      <c r="N44" s="33">
        <v>1.0999999999999999E-2</v>
      </c>
      <c r="O44">
        <v>2</v>
      </c>
      <c r="P44" s="35">
        <v>18.8</v>
      </c>
      <c r="Q44" s="33">
        <v>1.0999999999999999E-2</v>
      </c>
      <c r="R44" s="32">
        <v>0.80278767737914203</v>
      </c>
      <c r="S44" s="48" t="s">
        <v>9</v>
      </c>
      <c r="T44">
        <v>0</v>
      </c>
      <c r="U44" s="36">
        <v>18.8</v>
      </c>
      <c r="V44" s="33">
        <v>1.0999999999999999E-2</v>
      </c>
      <c r="W44" s="35">
        <v>30.5</v>
      </c>
      <c r="X44" s="48">
        <v>2.254766880117039E-2</v>
      </c>
      <c r="Y44" s="32">
        <v>1.22754426346551</v>
      </c>
      <c r="Z44" s="26">
        <v>0.82786240901740704</v>
      </c>
      <c r="AA44" s="40"/>
      <c r="AB44" s="40"/>
      <c r="AC44" s="40"/>
      <c r="AD44" s="35"/>
      <c r="AE44" s="23"/>
    </row>
    <row r="45" spans="2:31" x14ac:dyDescent="0.3">
      <c r="B45" s="5">
        <v>14</v>
      </c>
      <c r="C45" s="5" t="s">
        <v>0</v>
      </c>
      <c r="D45">
        <v>0.6</v>
      </c>
      <c r="E45">
        <v>3.0000000000000001E-3</v>
      </c>
      <c r="F45">
        <v>0.5</v>
      </c>
      <c r="G45">
        <v>1</v>
      </c>
      <c r="H45">
        <v>0.5</v>
      </c>
      <c r="I45" s="40">
        <v>755.47811863158995</v>
      </c>
      <c r="J45">
        <v>7.54</v>
      </c>
      <c r="K45" s="32">
        <v>33.075636551789401</v>
      </c>
      <c r="L45" s="26">
        <v>33.075636551789401</v>
      </c>
      <c r="M45" s="5">
        <v>35</v>
      </c>
      <c r="N45" s="33">
        <v>1.0999999999999999E-2</v>
      </c>
      <c r="O45">
        <v>2</v>
      </c>
      <c r="P45" s="35">
        <v>17.5</v>
      </c>
      <c r="Q45" s="33">
        <v>1.0999999999999999E-2</v>
      </c>
      <c r="R45" s="32">
        <v>1.000907633051652</v>
      </c>
      <c r="S45" s="48" t="s">
        <v>9</v>
      </c>
      <c r="T45">
        <v>0</v>
      </c>
      <c r="U45" s="36">
        <v>17.5</v>
      </c>
      <c r="V45" s="33">
        <v>1.0999999999999999E-2</v>
      </c>
      <c r="W45" s="35">
        <v>28.4</v>
      </c>
      <c r="X45" s="48">
        <v>2.0677622083939907E-2</v>
      </c>
      <c r="Y45" s="32">
        <v>1.3260509018917599</v>
      </c>
      <c r="Z45" s="26">
        <v>0.89429581221016197</v>
      </c>
      <c r="AA45" s="40"/>
      <c r="AB45" s="40"/>
      <c r="AC45" s="40"/>
      <c r="AD45" s="35"/>
      <c r="AE45" s="23"/>
    </row>
    <row r="46" spans="2:31" x14ac:dyDescent="0.3">
      <c r="B46" s="5">
        <v>15</v>
      </c>
      <c r="C46" s="5" t="s">
        <v>0</v>
      </c>
      <c r="D46">
        <v>0.6</v>
      </c>
      <c r="E46">
        <v>3.0000000000000001E-3</v>
      </c>
      <c r="F46">
        <v>0.5</v>
      </c>
      <c r="G46">
        <v>1</v>
      </c>
      <c r="H46">
        <v>0.6</v>
      </c>
      <c r="I46" s="40">
        <v>757.49404398081504</v>
      </c>
      <c r="J46">
        <v>7.54</v>
      </c>
      <c r="K46" s="32">
        <v>33.034342383247498</v>
      </c>
      <c r="L46" s="26">
        <v>33.034342383247498</v>
      </c>
      <c r="M46" s="5">
        <v>35</v>
      </c>
      <c r="N46" s="33">
        <v>1.0999999999999999E-2</v>
      </c>
      <c r="O46">
        <v>2</v>
      </c>
      <c r="P46" s="35">
        <v>16.600000000000001</v>
      </c>
      <c r="Q46" s="33">
        <v>1.0999999999999999E-2</v>
      </c>
      <c r="R46" s="32">
        <v>1.1931441025593721</v>
      </c>
      <c r="S46" s="48" t="s">
        <v>9</v>
      </c>
      <c r="T46">
        <v>0</v>
      </c>
      <c r="U46" s="36">
        <v>16.600000000000001</v>
      </c>
      <c r="V46" s="33">
        <v>1.0999999999999999E-2</v>
      </c>
      <c r="W46" s="35">
        <v>26</v>
      </c>
      <c r="X46" s="48">
        <v>1.9554504189852783E-2</v>
      </c>
      <c r="Y46" s="32">
        <v>1.3942478054176199</v>
      </c>
      <c r="Z46" s="26">
        <v>0.94028816826668504</v>
      </c>
      <c r="AA46" s="40"/>
      <c r="AB46" s="40"/>
      <c r="AC46" s="40"/>
      <c r="AD46" s="35"/>
      <c r="AE46" s="23"/>
    </row>
    <row r="47" spans="2:31" x14ac:dyDescent="0.3">
      <c r="B47" s="5">
        <v>16</v>
      </c>
      <c r="C47" s="5" t="s">
        <v>0</v>
      </c>
      <c r="D47">
        <v>0.6</v>
      </c>
      <c r="E47">
        <v>3.0000000000000001E-3</v>
      </c>
      <c r="F47">
        <v>0.5</v>
      </c>
      <c r="G47">
        <v>1</v>
      </c>
      <c r="H47">
        <v>0.7</v>
      </c>
      <c r="I47" s="40">
        <v>758.39280487680196</v>
      </c>
      <c r="J47">
        <v>7.54</v>
      </c>
      <c r="K47" s="32">
        <v>33.015982634313502</v>
      </c>
      <c r="L47" s="26">
        <v>33.015982634313502</v>
      </c>
      <c r="M47" s="5">
        <v>35</v>
      </c>
      <c r="N47" s="33">
        <v>1.0999999999999999E-2</v>
      </c>
      <c r="O47">
        <v>2</v>
      </c>
      <c r="P47" s="35">
        <v>16.2</v>
      </c>
      <c r="Q47" s="33">
        <v>1.0999999999999999E-2</v>
      </c>
      <c r="R47" s="32">
        <v>1.395708403116628</v>
      </c>
      <c r="S47" s="48" t="s">
        <v>9</v>
      </c>
      <c r="T47">
        <v>0</v>
      </c>
      <c r="U47" s="36">
        <v>16.2</v>
      </c>
      <c r="V47" s="33">
        <v>1.0999999999999999E-2</v>
      </c>
      <c r="W47" s="35">
        <v>24.1</v>
      </c>
      <c r="X47" s="48">
        <v>1.863586165284949E-2</v>
      </c>
      <c r="Y47" s="32">
        <v>1.424557540318</v>
      </c>
      <c r="Z47" s="26">
        <v>0.960729215402917</v>
      </c>
      <c r="AA47" s="40"/>
      <c r="AB47" s="40"/>
      <c r="AC47" s="40"/>
      <c r="AD47" s="35"/>
      <c r="AE47" s="23"/>
    </row>
    <row r="48" spans="2:31" ht="15" thickBot="1" x14ac:dyDescent="0.35">
      <c r="B48" s="7">
        <v>17</v>
      </c>
      <c r="C48" s="7" t="s">
        <v>0</v>
      </c>
      <c r="D48" s="8">
        <v>0.6</v>
      </c>
      <c r="E48" s="8">
        <v>3.0000000000000001E-3</v>
      </c>
      <c r="F48" s="8">
        <v>0.5</v>
      </c>
      <c r="G48" s="8">
        <v>1</v>
      </c>
      <c r="H48" s="8">
        <v>0.9</v>
      </c>
      <c r="I48" s="44">
        <v>759.06800789258796</v>
      </c>
      <c r="J48" s="8">
        <v>7.54</v>
      </c>
      <c r="K48" s="17">
        <v>33.002210079769597</v>
      </c>
      <c r="L48" s="27">
        <v>33.002210079769597</v>
      </c>
      <c r="M48" s="7">
        <v>35</v>
      </c>
      <c r="N48" s="41">
        <v>1.0999999999999999E-2</v>
      </c>
      <c r="O48" s="8">
        <v>2</v>
      </c>
      <c r="P48" s="39">
        <v>15.9</v>
      </c>
      <c r="Q48" s="41">
        <v>1.0999999999999999E-2</v>
      </c>
      <c r="R48" s="17">
        <v>1.589437986973198</v>
      </c>
      <c r="S48" s="49" t="s">
        <v>9</v>
      </c>
      <c r="T48" s="8">
        <v>0</v>
      </c>
      <c r="U48" s="42">
        <v>15.9</v>
      </c>
      <c r="V48" s="41">
        <v>1.0999999999999999E-2</v>
      </c>
      <c r="W48" s="39">
        <v>23.6</v>
      </c>
      <c r="X48" s="49">
        <v>1.6448645684663345E-2</v>
      </c>
      <c r="Y48" s="17">
        <v>1.44728984149329</v>
      </c>
      <c r="Z48" s="27">
        <v>0.97606000075509103</v>
      </c>
      <c r="AA48" s="40"/>
      <c r="AB48" s="40"/>
      <c r="AC48" s="40"/>
      <c r="AD48" s="35"/>
      <c r="AE48" s="23"/>
    </row>
  </sheetData>
  <mergeCells count="4">
    <mergeCell ref="E11:F11"/>
    <mergeCell ref="G11:H11"/>
    <mergeCell ref="I11:J11"/>
    <mergeCell ref="C7:N7"/>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0A631236513B9418E5AF68A800ACA79" ma:contentTypeVersion="6" ma:contentTypeDescription="Crée un document." ma:contentTypeScope="" ma:versionID="ad3ecf216e08acb36b19aa337e871f12">
  <xsd:schema xmlns:xsd="http://www.w3.org/2001/XMLSchema" xmlns:xs="http://www.w3.org/2001/XMLSchema" xmlns:p="http://schemas.microsoft.com/office/2006/metadata/properties" xmlns:ns2="fbd837e5-054a-49eb-b52b-3e79ba6bda81" xmlns:ns3="16cc8f85-dc4c-4d27-a03f-db68d60dd571" targetNamespace="http://schemas.microsoft.com/office/2006/metadata/properties" ma:root="true" ma:fieldsID="d7cb4eca1a466029dd2fc18150b16dd5" ns2:_="" ns3:_="">
    <xsd:import namespace="fbd837e5-054a-49eb-b52b-3e79ba6bda81"/>
    <xsd:import namespace="16cc8f85-dc4c-4d27-a03f-db68d60dd57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d837e5-054a-49eb-b52b-3e79ba6bda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c8f85-dc4c-4d27-a03f-db68d60dd571" elementFormDefault="qualified">
    <xsd:import namespace="http://schemas.microsoft.com/office/2006/documentManagement/types"/>
    <xsd:import namespace="http://schemas.microsoft.com/office/infopath/2007/PartnerControls"/>
    <xsd:element name="SharedWithUsers" ma:index="1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BF5B01B-DE67-44CC-B4C3-E4CCF84B6011}">
  <ds:schemaRefs>
    <ds:schemaRef ds:uri="http://schemas.microsoft.com/office/2006/metadata/properties"/>
    <ds:schemaRef ds:uri="http://schemas.microsoft.com/office/infopath/2007/PartnerControls"/>
    <ds:schemaRef ds:uri="http://purl.org/dc/dcmitype/"/>
    <ds:schemaRef ds:uri="http://purl.org/dc/terms/"/>
    <ds:schemaRef ds:uri="http://purl.org/dc/elements/1.1/"/>
    <ds:schemaRef ds:uri="http://schemas.openxmlformats.org/package/2006/metadata/core-properties"/>
    <ds:schemaRef ds:uri="http://schemas.microsoft.com/office/2006/documentManagement/types"/>
    <ds:schemaRef ds:uri="16cc8f85-dc4c-4d27-a03f-db68d60dd571"/>
    <ds:schemaRef ds:uri="fbd837e5-054a-49eb-b52b-3e79ba6bda81"/>
    <ds:schemaRef ds:uri="http://www.w3.org/XML/1998/namespace"/>
  </ds:schemaRefs>
</ds:datastoreItem>
</file>

<file path=customXml/itemProps2.xml><?xml version="1.0" encoding="utf-8"?>
<ds:datastoreItem xmlns:ds="http://schemas.openxmlformats.org/officeDocument/2006/customXml" ds:itemID="{E2E9B0F2-0F1F-4FE4-8066-C13DC92A4B39}">
  <ds:schemaRefs>
    <ds:schemaRef ds:uri="http://schemas.microsoft.com/sharepoint/v3/contenttype/forms"/>
  </ds:schemaRefs>
</ds:datastoreItem>
</file>

<file path=customXml/itemProps3.xml><?xml version="1.0" encoding="utf-8"?>
<ds:datastoreItem xmlns:ds="http://schemas.openxmlformats.org/officeDocument/2006/customXml" ds:itemID="{C912D4EC-DADE-4A96-BF02-5A15107DDA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bd837e5-054a-49eb-b52b-3e79ba6bda81"/>
    <ds:schemaRef ds:uri="16cc8f85-dc4c-4d27-a03f-db68d60dd57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Lin2020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Zeoli Alanis</dc:creator>
  <cp:keywords/>
  <dc:description/>
  <cp:lastModifiedBy>Zeoli Alanis</cp:lastModifiedBy>
  <cp:revision/>
  <dcterms:created xsi:type="dcterms:W3CDTF">2023-10-02T08:13:39Z</dcterms:created>
  <dcterms:modified xsi:type="dcterms:W3CDTF">2025-08-12T08:57:11Z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0x010100D0A631236513B9418E5AF68A800ACA79</vt:lpwstr>
  </property>
</Properties>
</file>