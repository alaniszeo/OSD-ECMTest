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AZ\alaniszeo_git\EC-generic-model\Database_for_model_validation\D-IEC\"/>
    </mc:Choice>
  </mc:AlternateContent>
  <xr:revisionPtr revIDLastSave="0" documentId="13_ncr:1_{2069B706-B4C7-4310-8CBF-ACBD32BC4D63}" xr6:coauthVersionLast="47" xr6:coauthVersionMax="47" xr10:uidLastSave="{00000000-0000-0000-0000-000000000000}"/>
  <bookViews>
    <workbookView xWindow="-108" yWindow="-108" windowWidth="30936" windowHeight="16776" xr2:uid="{1306219A-737B-4B5D-BCFD-98C34D3C77CC}"/>
  </bookViews>
  <sheets>
    <sheet name="Riangvilaikul2010" sheetId="7"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9" i="7" l="1"/>
</calcChain>
</file>

<file path=xl/sharedStrings.xml><?xml version="1.0" encoding="utf-8"?>
<sst xmlns="http://schemas.openxmlformats.org/spreadsheetml/2006/main" count="216" uniqueCount="85">
  <si>
    <t>counterflow</t>
  </si>
  <si>
    <t>epsilon_wb</t>
  </si>
  <si>
    <t>-</t>
  </si>
  <si>
    <t>epsilon_dp</t>
  </si>
  <si>
    <t>L</t>
  </si>
  <si>
    <t>parallel</t>
  </si>
  <si>
    <t>m</t>
  </si>
  <si>
    <t>W</t>
  </si>
  <si>
    <t>NA</t>
  </si>
  <si>
    <t>h_ch</t>
  </si>
  <si>
    <t>Channel height</t>
  </si>
  <si>
    <t>Water injection type</t>
  </si>
  <si>
    <t>Number of channels</t>
  </si>
  <si>
    <t>wf</t>
  </si>
  <si>
    <t>Temperature</t>
  </si>
  <si>
    <t>Wall thickness</t>
  </si>
  <si>
    <t>m/s</t>
  </si>
  <si>
    <t>kg/kg</t>
  </si>
  <si>
    <t>Paper information</t>
  </si>
  <si>
    <t>Authors</t>
  </si>
  <si>
    <t>Title</t>
  </si>
  <si>
    <t>Year</t>
  </si>
  <si>
    <t>Data type</t>
  </si>
  <si>
    <t>HEX characteristics</t>
  </si>
  <si>
    <t>HEX type</t>
  </si>
  <si>
    <t>Water recirculation</t>
  </si>
  <si>
    <t>Wall material</t>
  </si>
  <si>
    <t>Configuration</t>
  </si>
  <si>
    <t>Geometry</t>
  </si>
  <si>
    <t>Measurement uncertainties</t>
  </si>
  <si>
    <t>Length</t>
  </si>
  <si>
    <t>K</t>
  </si>
  <si>
    <t>Width</t>
  </si>
  <si>
    <t>Humidity</t>
  </si>
  <si>
    <t>%</t>
  </si>
  <si>
    <t>Height</t>
  </si>
  <si>
    <t>Air flow</t>
  </si>
  <si>
    <t>Operating conditions</t>
  </si>
  <si>
    <t>Primary fluid velocity</t>
  </si>
  <si>
    <t>Secondary fluid velocity</t>
  </si>
  <si>
    <t>Secondary-to-Primary flow rate ratio</t>
  </si>
  <si>
    <t>Water supplied</t>
  </si>
  <si>
    <t>Testing conditions</t>
  </si>
  <si>
    <t>Inlet conditions</t>
  </si>
  <si>
    <t>Outlet conditions</t>
  </si>
  <si>
    <t>Run</t>
  </si>
  <si>
    <t>Riangvilaikul and Kumar</t>
  </si>
  <si>
    <t>Wet surface theory</t>
  </si>
  <si>
    <t>Yes</t>
  </si>
  <si>
    <t>Cotton sheet coated with polyurethane</t>
  </si>
  <si>
    <t>PPC</t>
  </si>
  <si>
    <t>g/h</t>
  </si>
  <si>
    <t>Test</t>
  </si>
  <si>
    <t>pd</t>
  </si>
  <si>
    <t>sw</t>
  </si>
  <si>
    <t>An experimental study of a novel dew point evaporative cooling system</t>
  </si>
  <si>
    <t>A</t>
  </si>
  <si>
    <t>B</t>
  </si>
  <si>
    <t>Tests</t>
  </si>
  <si>
    <t>Constant velocity &amp; Varying inlet conditions</t>
  </si>
  <si>
    <t>Constant inlet conditions &amp; Varying inlet velocity</t>
  </si>
  <si>
    <t>D-IEC</t>
  </si>
  <si>
    <t>SPR</t>
  </si>
  <si>
    <t>m_dot_wf</t>
  </si>
  <si>
    <t>T_pdi</t>
  </si>
  <si>
    <t>w_pdi</t>
  </si>
  <si>
    <t>v_pdi</t>
  </si>
  <si>
    <t>T_swi</t>
  </si>
  <si>
    <t>w_swi</t>
  </si>
  <si>
    <t>v_swi</t>
  </si>
  <si>
    <t>T_wfi</t>
  </si>
  <si>
    <t>T_pdo</t>
  </si>
  <si>
    <t>w_pdo</t>
  </si>
  <si>
    <t>T_swo</t>
  </si>
  <si>
    <t>w_swo</t>
  </si>
  <si>
    <t>0.48-1.98</t>
  </si>
  <si>
    <t>1.45-6</t>
  </si>
  <si>
    <t>Nu</t>
  </si>
  <si>
    <t>Re</t>
  </si>
  <si>
    <t>WWR</t>
  </si>
  <si>
    <t>h_T_pd</t>
  </si>
  <si>
    <t>h_T_sw</t>
  </si>
  <si>
    <t>Experimental, extracted from graphs</t>
  </si>
  <si>
    <t>Description</t>
  </si>
  <si>
    <t>Counterflow D-IEC made of vertical thin-film cotton sheets coated with polyurethane material. Water is sprayed on top of the wet channel, and the water distribution on the wet channel surface is ensured through gravitational effect. Advantages of the dataset provided:
1. Independent testing of the impact of primary inlet air conditions and velocity on the primary outlet temperature.
2. The tested inlet air conditions cover a large area of the psychrometric diagram.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</si>
</sst>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5">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cellStyleXfs>
  <cellXfs count="58">
    <xf numFmtId="0" fontId="0" fillId="0" borderId="0" xfId="0"/>
    <xf numFmtId="0" fontId="1" fillId="0" borderId="0" xfId="0" applyFont="1"/>
    <xf numFmtId="0" fontId="1" fillId="0" borderId="1" xfId="0" applyFont="1"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1" fillId="0" borderId="9" xfId="0" applyFont="1" applyBorder="1"/>
    <xf numFmtId="0" fontId="1" fillId="0" borderId="10" xfId="0" applyFont="1" applyBorder="1"/>
    <xf numFmtId="0" fontId="1" fillId="0" borderId="11" xfId="0" applyFont="1" applyBorder="1"/>
    <xf numFmtId="0" fontId="0" fillId="0" borderId="1" xfId="0" applyBorder="1"/>
    <xf numFmtId="0" fontId="1" fillId="0" borderId="6" xfId="0" applyFont="1" applyBorder="1"/>
    <xf numFmtId="0" fontId="1" fillId="0" borderId="7" xfId="0" applyFont="1" applyBorder="1"/>
    <xf numFmtId="0" fontId="1" fillId="0" borderId="14" xfId="0" applyFont="1" applyBorder="1"/>
    <xf numFmtId="2" fontId="0" fillId="0" borderId="7" xfId="0" applyNumberFormat="1" applyBorder="1"/>
    <xf numFmtId="0" fontId="0" fillId="0" borderId="10" xfId="0" applyBorder="1"/>
    <xf numFmtId="0" fontId="0" fillId="0" borderId="11" xfId="0" applyBorder="1"/>
    <xf numFmtId="0" fontId="1" fillId="0" borderId="4" xfId="0" applyFont="1" applyBorder="1"/>
    <xf numFmtId="0" fontId="1" fillId="0" borderId="12" xfId="0" applyFont="1" applyBorder="1"/>
    <xf numFmtId="0" fontId="1" fillId="0" borderId="13" xfId="0" applyFont="1" applyBorder="1"/>
    <xf numFmtId="164" fontId="0" fillId="0" borderId="0" xfId="0" applyNumberFormat="1"/>
    <xf numFmtId="164" fontId="0" fillId="0" borderId="7" xfId="0" applyNumberFormat="1" applyBorder="1"/>
    <xf numFmtId="0" fontId="1" fillId="0" borderId="8" xfId="0" applyFont="1" applyBorder="1"/>
    <xf numFmtId="2" fontId="0" fillId="0" borderId="3" xfId="0" applyNumberFormat="1" applyBorder="1"/>
    <xf numFmtId="2" fontId="0" fillId="0" borderId="5" xfId="0" applyNumberFormat="1" applyBorder="1"/>
    <xf numFmtId="2" fontId="0" fillId="0" borderId="8" xfId="0" applyNumberFormat="1" applyBorder="1"/>
    <xf numFmtId="164" fontId="0" fillId="0" borderId="2" xfId="0" applyNumberFormat="1" applyBorder="1"/>
    <xf numFmtId="2" fontId="0" fillId="0" borderId="2" xfId="0" applyNumberFormat="1" applyBorder="1"/>
    <xf numFmtId="0" fontId="0" fillId="0" borderId="0" xfId="0" quotePrefix="1"/>
    <xf numFmtId="0" fontId="0" fillId="0" borderId="5" xfId="0" applyBorder="1" applyAlignment="1">
      <alignment wrapText="1"/>
    </xf>
    <xf numFmtId="0" fontId="1" fillId="0" borderId="4" xfId="0" applyFont="1" applyBorder="1" applyAlignment="1">
      <alignment wrapText="1"/>
    </xf>
    <xf numFmtId="0" fontId="0" fillId="0" borderId="4" xfId="0" applyBorder="1" applyAlignment="1">
      <alignment vertical="center"/>
    </xf>
    <xf numFmtId="0" fontId="0" fillId="0" borderId="5" xfId="0" applyBorder="1" applyAlignment="1">
      <alignment vertical="center"/>
    </xf>
    <xf numFmtId="2" fontId="0" fillId="0" borderId="0" xfId="0" applyNumberFormat="1"/>
    <xf numFmtId="165" fontId="0" fillId="0" borderId="2" xfId="0" applyNumberFormat="1" applyBorder="1"/>
    <xf numFmtId="165" fontId="0" fillId="0" borderId="0" xfId="0" applyNumberFormat="1"/>
    <xf numFmtId="165" fontId="0" fillId="0" borderId="4" xfId="0" applyNumberFormat="1" applyBorder="1"/>
    <xf numFmtId="165" fontId="0" fillId="0" borderId="1" xfId="0" applyNumberFormat="1" applyBorder="1"/>
    <xf numFmtId="165" fontId="0" fillId="0" borderId="7" xfId="0" applyNumberFormat="1" applyBorder="1"/>
    <xf numFmtId="1" fontId="0" fillId="0" borderId="0" xfId="0" applyNumberFormat="1"/>
    <xf numFmtId="165" fontId="0" fillId="0" borderId="6" xfId="0" applyNumberFormat="1" applyBorder="1"/>
    <xf numFmtId="1" fontId="0" fillId="0" borderId="2" xfId="0" applyNumberFormat="1" applyBorder="1"/>
    <xf numFmtId="1" fontId="0" fillId="0" borderId="7" xfId="0" applyNumberFormat="1" applyBorder="1"/>
    <xf numFmtId="0" fontId="0" fillId="0" borderId="1" xfId="0" applyBorder="1" applyAlignment="1">
      <alignment horizontal="right"/>
    </xf>
    <xf numFmtId="0" fontId="0" fillId="0" borderId="4" xfId="0" applyBorder="1" applyAlignment="1">
      <alignment horizontal="right"/>
    </xf>
    <xf numFmtId="164" fontId="0" fillId="0" borderId="2" xfId="0" applyNumberFormat="1" applyBorder="1" applyAlignment="1">
      <alignment horizontal="right"/>
    </xf>
    <xf numFmtId="164" fontId="0" fillId="0" borderId="0" xfId="0" applyNumberFormat="1" applyAlignment="1">
      <alignment horizontal="right"/>
    </xf>
    <xf numFmtId="164" fontId="0" fillId="0" borderId="7" xfId="0" applyNumberFormat="1" applyBorder="1" applyAlignment="1">
      <alignment horizontal="right"/>
    </xf>
    <xf numFmtId="0" fontId="1" fillId="0" borderId="14" xfId="0" applyFont="1" applyBorder="1" applyAlignment="1">
      <alignment vertical="top"/>
    </xf>
    <xf numFmtId="0" fontId="0" fillId="0" borderId="9" xfId="0" applyBorder="1" applyAlignment="1">
      <alignment horizontal="center"/>
    </xf>
    <xf numFmtId="0" fontId="0" fillId="0" borderId="11" xfId="0" applyBorder="1" applyAlignment="1">
      <alignment horizontal="center"/>
    </xf>
    <xf numFmtId="0" fontId="0" fillId="0" borderId="6" xfId="0" applyBorder="1" applyAlignment="1">
      <alignment horizontal="left" vertical="top" wrapText="1"/>
    </xf>
    <xf numFmtId="0" fontId="0" fillId="0" borderId="7" xfId="0" applyBorder="1" applyAlignment="1">
      <alignment horizontal="left" vertical="top"/>
    </xf>
    <xf numFmtId="0" fontId="0" fillId="0" borderId="8" xfId="0" applyBorder="1" applyAlignment="1">
      <alignment horizontal="left" vertical="top"/>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11</xdr:col>
      <xdr:colOff>228601</xdr:colOff>
      <xdr:row>9</xdr:row>
      <xdr:rowOff>99060</xdr:rowOff>
    </xdr:from>
    <xdr:to>
      <xdr:col>19</xdr:col>
      <xdr:colOff>34717</xdr:colOff>
      <xdr:row>22</xdr:row>
      <xdr:rowOff>44324</xdr:rowOff>
    </xdr:to>
    <xdr:pic>
      <xdr:nvPicPr>
        <xdr:cNvPr id="2" name="Picture 1">
          <a:extLst>
            <a:ext uri="{FF2B5EF4-FFF2-40B4-BE49-F238E27FC236}">
              <a16:creationId xmlns:a16="http://schemas.microsoft.com/office/drawing/2014/main" id="{1E79F607-CBB7-2B95-D8B5-25009B390AF1}"/>
            </a:ext>
          </a:extLst>
        </xdr:cNvPr>
        <xdr:cNvPicPr>
          <a:picLocks noChangeAspect="1"/>
        </xdr:cNvPicPr>
      </xdr:nvPicPr>
      <xdr:blipFill>
        <a:blip xmlns:r="http://schemas.openxmlformats.org/officeDocument/2006/relationships" r:embed="rId1"/>
        <a:stretch>
          <a:fillRect/>
        </a:stretch>
      </xdr:blipFill>
      <xdr:spPr>
        <a:xfrm>
          <a:off x="8435341" y="1600200"/>
          <a:ext cx="4934376" cy="2581784"/>
        </a:xfrm>
        <a:prstGeom prst="rect">
          <a:avLst/>
        </a:prstGeom>
      </xdr:spPr>
    </xdr:pic>
    <xdr:clientData/>
  </xdr:twoCellAnchor>
</xdr:wsDr>
</file>

<file path=xl/theme/theme1.xml><?xml version="1.0" encoding="utf-8"?>
<a:theme xmlns:a="http://schemas.openxmlformats.org/drawingml/2006/main" name="Office Theme">
  <a:themeElements>
    <a:clrScheme name="NiceColors">
      <a:dk1>
        <a:sysClr val="windowText" lastClr="000000"/>
      </a:dk1>
      <a:lt1>
        <a:sysClr val="window" lastClr="FFFFFF"/>
      </a:lt1>
      <a:dk2>
        <a:srgbClr val="455B69"/>
      </a:dk2>
      <a:lt2>
        <a:srgbClr val="E7E6E6"/>
      </a:lt2>
      <a:accent1>
        <a:srgbClr val="F59E00"/>
      </a:accent1>
      <a:accent2>
        <a:srgbClr val="A6B727"/>
      </a:accent2>
      <a:accent3>
        <a:srgbClr val="2E96A4"/>
      </a:accent3>
      <a:accent4>
        <a:srgbClr val="FEC306"/>
      </a:accent4>
      <a:accent5>
        <a:srgbClr val="997A9E"/>
      </a:accent5>
      <a:accent6>
        <a:srgbClr val="F4A6C9"/>
      </a:accent6>
      <a:hlink>
        <a:srgbClr val="000000"/>
      </a:hlink>
      <a:folHlink>
        <a:srgbClr val="F59E0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79424-F343-4DA5-93E2-0C40161FD845}">
  <dimension ref="B1:AA61"/>
  <sheetViews>
    <sheetView tabSelected="1" zoomScaleNormal="100" workbookViewId="0">
      <selection activeCell="C5" sqref="C5"/>
    </sheetView>
  </sheetViews>
  <sheetFormatPr defaultColWidth="8.88671875" defaultRowHeight="14.4" x14ac:dyDescent="0.3"/>
  <cols>
    <col min="1" max="1" width="2.6640625" customWidth="1"/>
    <col min="2" max="2" width="22.33203125" bestFit="1" customWidth="1"/>
    <col min="3" max="3" width="17.6640625" customWidth="1"/>
    <col min="6" max="6" width="12.5546875" customWidth="1"/>
    <col min="7" max="13" width="9.33203125" customWidth="1"/>
    <col min="14" max="14" width="9.21875" customWidth="1"/>
    <col min="15" max="15" width="10.21875" customWidth="1"/>
    <col min="16" max="18" width="9.21875" customWidth="1"/>
    <col min="19" max="19" width="9" customWidth="1"/>
    <col min="20" max="21" width="10.44140625" customWidth="1"/>
  </cols>
  <sheetData>
    <row r="1" spans="2:14" ht="15" thickBot="1" x14ac:dyDescent="0.35"/>
    <row r="2" spans="2:14" ht="15" thickBot="1" x14ac:dyDescent="0.35">
      <c r="B2" s="10" t="s">
        <v>18</v>
      </c>
      <c r="C2" s="11"/>
      <c r="D2" s="11"/>
      <c r="E2" s="11"/>
      <c r="F2" s="11"/>
      <c r="G2" s="11"/>
      <c r="H2" s="11"/>
      <c r="I2" s="11"/>
      <c r="J2" s="11"/>
      <c r="K2" s="11"/>
      <c r="L2" s="11"/>
      <c r="M2" s="11"/>
      <c r="N2" s="12"/>
    </row>
    <row r="3" spans="2:14" x14ac:dyDescent="0.3">
      <c r="B3" s="21" t="s">
        <v>19</v>
      </c>
      <c r="C3" s="3" t="s">
        <v>46</v>
      </c>
      <c r="D3" s="3"/>
      <c r="E3" s="3"/>
      <c r="F3" s="3"/>
      <c r="G3" s="3"/>
      <c r="H3" s="3"/>
      <c r="I3" s="3"/>
      <c r="J3" s="3"/>
      <c r="K3" s="3"/>
      <c r="L3" s="3"/>
      <c r="M3" s="3"/>
      <c r="N3" s="4"/>
    </row>
    <row r="4" spans="2:14" x14ac:dyDescent="0.3">
      <c r="B4" s="22" t="s">
        <v>20</v>
      </c>
      <c r="C4" t="s">
        <v>55</v>
      </c>
      <c r="N4" s="6"/>
    </row>
    <row r="5" spans="2:14" x14ac:dyDescent="0.3">
      <c r="B5" s="22" t="s">
        <v>21</v>
      </c>
      <c r="C5" s="57">
        <v>2010</v>
      </c>
      <c r="N5" s="6"/>
    </row>
    <row r="6" spans="2:14" x14ac:dyDescent="0.3">
      <c r="B6" s="22" t="s">
        <v>22</v>
      </c>
      <c r="C6" t="s">
        <v>82</v>
      </c>
      <c r="N6" s="6"/>
    </row>
    <row r="7" spans="2:14" ht="59.4" customHeight="1" thickBot="1" x14ac:dyDescent="0.35">
      <c r="B7" s="51" t="s">
        <v>83</v>
      </c>
      <c r="C7" s="54" t="s">
        <v>84</v>
      </c>
      <c r="D7" s="55"/>
      <c r="E7" s="55"/>
      <c r="F7" s="55"/>
      <c r="G7" s="55"/>
      <c r="H7" s="55"/>
      <c r="I7" s="55"/>
      <c r="J7" s="55"/>
      <c r="K7" s="55"/>
      <c r="L7" s="55"/>
      <c r="M7" s="55"/>
      <c r="N7" s="56"/>
    </row>
    <row r="8" spans="2:14" ht="15" thickBot="1" x14ac:dyDescent="0.35"/>
    <row r="9" spans="2:14" ht="15" thickBot="1" x14ac:dyDescent="0.35">
      <c r="B9" s="10" t="s">
        <v>23</v>
      </c>
      <c r="C9" s="19"/>
      <c r="E9" s="10" t="s">
        <v>27</v>
      </c>
      <c r="F9" s="18"/>
      <c r="G9" s="18"/>
      <c r="H9" s="18"/>
      <c r="I9" s="18"/>
      <c r="J9" s="19"/>
    </row>
    <row r="10" spans="2:14" ht="15" thickBot="1" x14ac:dyDescent="0.35">
      <c r="B10" s="21" t="s">
        <v>24</v>
      </c>
      <c r="C10" s="6" t="s">
        <v>61</v>
      </c>
      <c r="E10" s="10" t="s">
        <v>53</v>
      </c>
      <c r="F10" s="11" t="s">
        <v>54</v>
      </c>
      <c r="G10" s="10" t="s">
        <v>53</v>
      </c>
      <c r="H10" s="12" t="s">
        <v>54</v>
      </c>
      <c r="I10" s="11" t="s">
        <v>54</v>
      </c>
      <c r="J10" s="12" t="s">
        <v>13</v>
      </c>
    </row>
    <row r="11" spans="2:14" ht="15" thickBot="1" x14ac:dyDescent="0.35">
      <c r="B11" s="22" t="s">
        <v>11</v>
      </c>
      <c r="C11" s="6" t="s">
        <v>47</v>
      </c>
      <c r="E11" s="52" t="s">
        <v>5</v>
      </c>
      <c r="F11" s="53"/>
      <c r="G11" s="52" t="s">
        <v>0</v>
      </c>
      <c r="H11" s="53"/>
      <c r="I11" s="52" t="s">
        <v>0</v>
      </c>
      <c r="J11" s="53"/>
    </row>
    <row r="12" spans="2:14" x14ac:dyDescent="0.3">
      <c r="B12" s="22" t="s">
        <v>25</v>
      </c>
      <c r="C12" s="6" t="s">
        <v>48</v>
      </c>
    </row>
    <row r="13" spans="2:14" ht="30.6" customHeight="1" x14ac:dyDescent="0.3">
      <c r="B13" s="22" t="s">
        <v>26</v>
      </c>
      <c r="C13" s="32" t="s">
        <v>49</v>
      </c>
    </row>
    <row r="14" spans="2:14" ht="15" thickBot="1" x14ac:dyDescent="0.35">
      <c r="B14" s="16" t="s">
        <v>27</v>
      </c>
      <c r="C14" s="9" t="s">
        <v>50</v>
      </c>
    </row>
    <row r="15" spans="2:14" ht="15" thickBot="1" x14ac:dyDescent="0.35">
      <c r="B15" s="1"/>
      <c r="F15" s="1"/>
    </row>
    <row r="16" spans="2:14" ht="15" thickBot="1" x14ac:dyDescent="0.35">
      <c r="B16" s="10" t="s">
        <v>28</v>
      </c>
      <c r="C16" s="18"/>
      <c r="D16" s="19"/>
      <c r="F16" s="10" t="s">
        <v>29</v>
      </c>
      <c r="G16" s="18"/>
      <c r="H16" s="19"/>
    </row>
    <row r="17" spans="2:27" x14ac:dyDescent="0.3">
      <c r="B17" s="21" t="s">
        <v>30</v>
      </c>
      <c r="C17" s="3">
        <v>1.2</v>
      </c>
      <c r="D17" s="4" t="s">
        <v>6</v>
      </c>
      <c r="F17" s="21" t="s">
        <v>14</v>
      </c>
      <c r="G17" s="31">
        <v>2</v>
      </c>
      <c r="H17" s="6" t="s">
        <v>31</v>
      </c>
    </row>
    <row r="18" spans="2:27" x14ac:dyDescent="0.3">
      <c r="B18" s="22" t="s">
        <v>32</v>
      </c>
      <c r="C18">
        <v>0.08</v>
      </c>
      <c r="D18" s="6" t="s">
        <v>6</v>
      </c>
      <c r="F18" s="22" t="s">
        <v>33</v>
      </c>
      <c r="G18" t="s">
        <v>8</v>
      </c>
      <c r="H18" s="6" t="s">
        <v>34</v>
      </c>
    </row>
    <row r="19" spans="2:27" ht="15" thickBot="1" x14ac:dyDescent="0.35">
      <c r="B19" s="22" t="s">
        <v>35</v>
      </c>
      <c r="C19">
        <f>9*C20+10*C21</f>
        <v>4.9999999999999996E-2</v>
      </c>
      <c r="D19" s="6" t="s">
        <v>6</v>
      </c>
      <c r="F19" s="16" t="s">
        <v>36</v>
      </c>
      <c r="G19" s="8">
        <v>5</v>
      </c>
      <c r="H19" s="9" t="s">
        <v>34</v>
      </c>
    </row>
    <row r="20" spans="2:27" x14ac:dyDescent="0.3">
      <c r="B20" s="22" t="s">
        <v>10</v>
      </c>
      <c r="C20">
        <v>5.0000000000000001E-3</v>
      </c>
      <c r="D20" s="6" t="s">
        <v>6</v>
      </c>
    </row>
    <row r="21" spans="2:27" x14ac:dyDescent="0.3">
      <c r="B21" s="22" t="s">
        <v>15</v>
      </c>
      <c r="C21">
        <v>5.0000000000000001E-4</v>
      </c>
      <c r="D21" s="6" t="s">
        <v>6</v>
      </c>
    </row>
    <row r="22" spans="2:27" ht="15" thickBot="1" x14ac:dyDescent="0.35">
      <c r="B22" s="16" t="s">
        <v>12</v>
      </c>
      <c r="C22" s="8">
        <v>9</v>
      </c>
      <c r="D22" s="9" t="s">
        <v>2</v>
      </c>
    </row>
    <row r="23" spans="2:27" ht="15" thickBot="1" x14ac:dyDescent="0.35">
      <c r="B23" s="1"/>
    </row>
    <row r="24" spans="2:27" ht="15" thickBot="1" x14ac:dyDescent="0.35">
      <c r="B24" s="2" t="s">
        <v>37</v>
      </c>
      <c r="C24" s="3"/>
      <c r="D24" s="4"/>
      <c r="F24" s="10" t="s">
        <v>58</v>
      </c>
      <c r="G24" s="18"/>
      <c r="H24" s="18"/>
      <c r="I24" s="18"/>
      <c r="J24" s="18"/>
      <c r="K24" s="19"/>
    </row>
    <row r="25" spans="2:27" x14ac:dyDescent="0.3">
      <c r="B25" s="2" t="s">
        <v>38</v>
      </c>
      <c r="C25" s="46" t="s">
        <v>76</v>
      </c>
      <c r="D25" s="4" t="s">
        <v>16</v>
      </c>
      <c r="F25" s="22" t="s">
        <v>56</v>
      </c>
      <c r="G25" t="s">
        <v>59</v>
      </c>
      <c r="K25" s="6"/>
    </row>
    <row r="26" spans="2:27" ht="15" thickBot="1" x14ac:dyDescent="0.35">
      <c r="B26" s="20" t="s">
        <v>39</v>
      </c>
      <c r="C26" s="47" t="s">
        <v>75</v>
      </c>
      <c r="D26" s="6" t="s">
        <v>16</v>
      </c>
      <c r="F26" s="16" t="s">
        <v>57</v>
      </c>
      <c r="G26" s="8" t="s">
        <v>60</v>
      </c>
      <c r="H26" s="8"/>
      <c r="I26" s="8"/>
      <c r="J26" s="8"/>
      <c r="K26" s="9"/>
    </row>
    <row r="27" spans="2:27" ht="28.8" x14ac:dyDescent="0.3">
      <c r="B27" s="33" t="s">
        <v>40</v>
      </c>
      <c r="C27" s="34">
        <v>0.33</v>
      </c>
      <c r="D27" s="35" t="s">
        <v>17</v>
      </c>
    </row>
    <row r="28" spans="2:27" ht="15" thickBot="1" x14ac:dyDescent="0.35">
      <c r="B28" s="14" t="s">
        <v>41</v>
      </c>
      <c r="C28" s="7">
        <v>60</v>
      </c>
      <c r="D28" s="9" t="s">
        <v>51</v>
      </c>
      <c r="I28" s="36"/>
      <c r="J28" s="36"/>
      <c r="K28" s="36"/>
      <c r="L28" s="36"/>
    </row>
    <row r="29" spans="2:27" ht="15" thickBot="1" x14ac:dyDescent="0.35"/>
    <row r="30" spans="2:27" ht="15" thickBot="1" x14ac:dyDescent="0.35">
      <c r="B30" s="2"/>
      <c r="C30" s="10" t="s">
        <v>42</v>
      </c>
      <c r="D30" s="11"/>
      <c r="E30" s="11"/>
      <c r="F30" s="11"/>
      <c r="G30" s="11"/>
      <c r="H30" s="11"/>
      <c r="I30" s="11"/>
      <c r="J30" s="11"/>
      <c r="K30" s="11"/>
      <c r="L30" s="12"/>
      <c r="M30" s="10" t="s">
        <v>43</v>
      </c>
      <c r="N30" s="11"/>
      <c r="O30" s="11"/>
      <c r="P30" s="11"/>
      <c r="Q30" s="11"/>
      <c r="R30" s="11"/>
      <c r="S30" s="11"/>
      <c r="T30" s="12"/>
      <c r="U30" s="12" t="s">
        <v>44</v>
      </c>
      <c r="V30" s="3"/>
      <c r="W30" s="3"/>
      <c r="X30" s="18"/>
      <c r="Y30" s="3"/>
      <c r="Z30" s="4"/>
    </row>
    <row r="31" spans="2:27" ht="15" thickBot="1" x14ac:dyDescent="0.35">
      <c r="B31" s="14" t="s">
        <v>45</v>
      </c>
      <c r="C31" s="10" t="s">
        <v>52</v>
      </c>
      <c r="D31" s="15" t="s">
        <v>4</v>
      </c>
      <c r="E31" s="15" t="s">
        <v>9</v>
      </c>
      <c r="F31" s="15" t="s">
        <v>7</v>
      </c>
      <c r="G31" s="15" t="s">
        <v>79</v>
      </c>
      <c r="H31" s="15" t="s">
        <v>62</v>
      </c>
      <c r="I31" s="15" t="s">
        <v>78</v>
      </c>
      <c r="J31" s="15" t="s">
        <v>77</v>
      </c>
      <c r="K31" s="15" t="s">
        <v>80</v>
      </c>
      <c r="L31" s="25" t="s">
        <v>81</v>
      </c>
      <c r="M31" s="10" t="s">
        <v>64</v>
      </c>
      <c r="N31" s="11" t="s">
        <v>65</v>
      </c>
      <c r="O31" s="11" t="s">
        <v>66</v>
      </c>
      <c r="P31" s="11" t="s">
        <v>67</v>
      </c>
      <c r="Q31" s="11" t="s">
        <v>68</v>
      </c>
      <c r="R31" s="15" t="s">
        <v>69</v>
      </c>
      <c r="S31" s="15" t="s">
        <v>70</v>
      </c>
      <c r="T31" s="25" t="s">
        <v>63</v>
      </c>
      <c r="U31" s="11" t="s">
        <v>71</v>
      </c>
      <c r="V31" s="11" t="s">
        <v>72</v>
      </c>
      <c r="W31" s="11" t="s">
        <v>73</v>
      </c>
      <c r="X31" s="11" t="s">
        <v>74</v>
      </c>
      <c r="Y31" s="11" t="s">
        <v>1</v>
      </c>
      <c r="Z31" s="12" t="s">
        <v>3</v>
      </c>
    </row>
    <row r="32" spans="2:27" x14ac:dyDescent="0.3">
      <c r="B32" s="13">
        <v>1</v>
      </c>
      <c r="C32" s="13" t="s">
        <v>56</v>
      </c>
      <c r="D32" s="3">
        <v>1.2</v>
      </c>
      <c r="E32" s="3">
        <v>5.0000000000000001E-3</v>
      </c>
      <c r="F32" s="3">
        <v>0.08</v>
      </c>
      <c r="G32" s="3">
        <v>1</v>
      </c>
      <c r="H32" s="3">
        <v>0.33</v>
      </c>
      <c r="I32" s="44">
        <v>1572.6850795077301</v>
      </c>
      <c r="J32" s="3">
        <v>8.23</v>
      </c>
      <c r="K32" s="30">
        <v>21.307603510506699</v>
      </c>
      <c r="L32" s="26">
        <v>21.307603510506699</v>
      </c>
      <c r="M32" s="40">
        <v>25</v>
      </c>
      <c r="N32" s="29">
        <v>6.9000000000000008E-3</v>
      </c>
      <c r="O32" s="30">
        <v>2.4</v>
      </c>
      <c r="P32" s="37">
        <v>15.6382978723404</v>
      </c>
      <c r="Q32" s="29">
        <v>6.9000000000000008E-3</v>
      </c>
      <c r="R32" s="30">
        <v>0.79200000000000004</v>
      </c>
      <c r="S32" s="48" t="s">
        <v>8</v>
      </c>
      <c r="T32" s="4">
        <v>3.3333333333333333E-6</v>
      </c>
      <c r="U32" s="40">
        <v>15.6382978723404</v>
      </c>
      <c r="V32" s="29">
        <v>6.9000000000000008E-3</v>
      </c>
      <c r="W32" s="48" t="s">
        <v>8</v>
      </c>
      <c r="X32" s="48" t="s">
        <v>8</v>
      </c>
      <c r="Y32" s="30">
        <v>0.96561673167819395</v>
      </c>
      <c r="Z32" s="26">
        <v>0.566004831698811</v>
      </c>
      <c r="AA32" s="36"/>
    </row>
    <row r="33" spans="2:26" x14ac:dyDescent="0.3">
      <c r="B33" s="5">
        <v>2</v>
      </c>
      <c r="C33" s="5" t="s">
        <v>56</v>
      </c>
      <c r="D33">
        <v>1.2</v>
      </c>
      <c r="E33">
        <v>5.0000000000000001E-3</v>
      </c>
      <c r="F33">
        <v>0.08</v>
      </c>
      <c r="G33">
        <v>1</v>
      </c>
      <c r="H33">
        <v>0.33</v>
      </c>
      <c r="I33" s="42">
        <v>1544.59692874641</v>
      </c>
      <c r="J33">
        <v>8.23</v>
      </c>
      <c r="K33" s="36">
        <v>21.489305666470599</v>
      </c>
      <c r="L33" s="27">
        <v>21.489305666470599</v>
      </c>
      <c r="M33" s="39">
        <v>30.021321961620401</v>
      </c>
      <c r="N33" s="23">
        <v>6.9000000000000008E-3</v>
      </c>
      <c r="O33" s="36">
        <v>2.4</v>
      </c>
      <c r="P33" s="38">
        <v>16.595744680850999</v>
      </c>
      <c r="Q33" s="23">
        <v>6.9000000000000008E-3</v>
      </c>
      <c r="R33" s="36">
        <v>0.79200000000000004</v>
      </c>
      <c r="S33" s="49" t="s">
        <v>8</v>
      </c>
      <c r="T33" s="6">
        <v>3.3333333333333333E-6</v>
      </c>
      <c r="U33" s="39">
        <v>16.595744680850999</v>
      </c>
      <c r="V33" s="23">
        <v>6.9000000000000008E-3</v>
      </c>
      <c r="W33" s="49" t="s">
        <v>8</v>
      </c>
      <c r="X33" s="49" t="s">
        <v>8</v>
      </c>
      <c r="Y33" s="36">
        <v>1.0384250790201199</v>
      </c>
      <c r="Z33" s="27">
        <v>0.62253672075563704</v>
      </c>
    </row>
    <row r="34" spans="2:26" x14ac:dyDescent="0.3">
      <c r="B34" s="5">
        <v>3</v>
      </c>
      <c r="C34" s="5" t="s">
        <v>56</v>
      </c>
      <c r="D34">
        <v>1.2</v>
      </c>
      <c r="E34">
        <v>5.0000000000000001E-3</v>
      </c>
      <c r="F34">
        <v>0.08</v>
      </c>
      <c r="G34">
        <v>1</v>
      </c>
      <c r="H34">
        <v>0.33</v>
      </c>
      <c r="I34" s="42">
        <v>1518.5317037336299</v>
      </c>
      <c r="J34">
        <v>8.23</v>
      </c>
      <c r="K34" s="36">
        <v>21.6621922731916</v>
      </c>
      <c r="L34" s="27">
        <v>21.6621922731916</v>
      </c>
      <c r="M34" s="39">
        <v>35.010660980810201</v>
      </c>
      <c r="N34" s="23">
        <v>6.9000000000000008E-3</v>
      </c>
      <c r="O34" s="36">
        <v>2.4</v>
      </c>
      <c r="P34" s="38">
        <v>17.313829787233999</v>
      </c>
      <c r="Q34" s="23">
        <v>6.9000000000000008E-3</v>
      </c>
      <c r="R34" s="36">
        <v>0.79200000000000004</v>
      </c>
      <c r="S34" s="49" t="s">
        <v>8</v>
      </c>
      <c r="T34" s="6">
        <v>3.3333333333333333E-6</v>
      </c>
      <c r="U34" s="39">
        <v>17.313829787233999</v>
      </c>
      <c r="V34" s="23">
        <v>6.9000000000000008E-3</v>
      </c>
      <c r="W34" s="49" t="s">
        <v>8</v>
      </c>
      <c r="X34" s="49" t="s">
        <v>8</v>
      </c>
      <c r="Y34" s="36">
        <v>1.0896159963132599</v>
      </c>
      <c r="Z34" s="27">
        <v>0.66674297660411996</v>
      </c>
    </row>
    <row r="35" spans="2:26" x14ac:dyDescent="0.3">
      <c r="B35" s="5">
        <v>4</v>
      </c>
      <c r="C35" s="5" t="s">
        <v>56</v>
      </c>
      <c r="D35">
        <v>1.2</v>
      </c>
      <c r="E35">
        <v>5.0000000000000001E-3</v>
      </c>
      <c r="F35">
        <v>0.08</v>
      </c>
      <c r="G35">
        <v>1</v>
      </c>
      <c r="H35">
        <v>0.33</v>
      </c>
      <c r="I35" s="42">
        <v>1493.5904615284401</v>
      </c>
      <c r="J35">
        <v>8.23</v>
      </c>
      <c r="K35" s="36">
        <v>21.8316362236271</v>
      </c>
      <c r="L35" s="27">
        <v>21.8316362236271</v>
      </c>
      <c r="M35" s="39">
        <v>39.904051172707803</v>
      </c>
      <c r="N35" s="23">
        <v>6.9000000000000008E-3</v>
      </c>
      <c r="O35" s="36">
        <v>2.4</v>
      </c>
      <c r="P35" s="38">
        <v>18.031914893617</v>
      </c>
      <c r="Q35" s="23">
        <v>6.9000000000000008E-3</v>
      </c>
      <c r="R35" s="36">
        <v>0.79200000000000004</v>
      </c>
      <c r="S35" s="49" t="s">
        <v>8</v>
      </c>
      <c r="T35" s="6">
        <v>3.3333333333333333E-6</v>
      </c>
      <c r="U35" s="39">
        <v>18.031914893617</v>
      </c>
      <c r="V35" s="23">
        <v>6.9000000000000008E-3</v>
      </c>
      <c r="W35" s="49" t="s">
        <v>8</v>
      </c>
      <c r="X35" s="49" t="s">
        <v>8</v>
      </c>
      <c r="Y35" s="36">
        <v>1.11612132132678</v>
      </c>
      <c r="Z35" s="27">
        <v>0.69567792472436896</v>
      </c>
    </row>
    <row r="36" spans="2:26" x14ac:dyDescent="0.3">
      <c r="B36" s="5">
        <v>5</v>
      </c>
      <c r="C36" s="5" t="s">
        <v>56</v>
      </c>
      <c r="D36">
        <v>1.2</v>
      </c>
      <c r="E36">
        <v>5.0000000000000001E-3</v>
      </c>
      <c r="F36">
        <v>0.08</v>
      </c>
      <c r="G36">
        <v>1</v>
      </c>
      <c r="H36">
        <v>0.33</v>
      </c>
      <c r="I36" s="42">
        <v>1468.68932962544</v>
      </c>
      <c r="J36">
        <v>8.23</v>
      </c>
      <c r="K36" s="36">
        <v>22.004884583135599</v>
      </c>
      <c r="L36" s="27">
        <v>22.004884583135599</v>
      </c>
      <c r="M36" s="39">
        <v>45.021321961620401</v>
      </c>
      <c r="N36" s="23">
        <v>6.9000000000000008E-3</v>
      </c>
      <c r="O36" s="36">
        <v>2.4</v>
      </c>
      <c r="P36" s="38">
        <v>18.670212765957402</v>
      </c>
      <c r="Q36" s="23">
        <v>6.9000000000000008E-3</v>
      </c>
      <c r="R36" s="36">
        <v>0.79200000000000004</v>
      </c>
      <c r="S36" s="49" t="s">
        <v>8</v>
      </c>
      <c r="T36" s="6">
        <v>3.3333333333333333E-6</v>
      </c>
      <c r="U36" s="39">
        <v>18.670212765957402</v>
      </c>
      <c r="V36" s="23">
        <v>6.9000000000000008E-3</v>
      </c>
      <c r="W36" s="49" t="s">
        <v>8</v>
      </c>
      <c r="X36" s="49" t="s">
        <v>8</v>
      </c>
      <c r="Y36" s="36">
        <v>1.13602996856882</v>
      </c>
      <c r="Z36" s="27">
        <v>0.72079295049913406</v>
      </c>
    </row>
    <row r="37" spans="2:26" x14ac:dyDescent="0.3">
      <c r="B37" s="5">
        <v>6</v>
      </c>
      <c r="C37" s="5" t="s">
        <v>56</v>
      </c>
      <c r="D37">
        <v>1.2</v>
      </c>
      <c r="E37">
        <v>5.0000000000000001E-3</v>
      </c>
      <c r="F37">
        <v>0.08</v>
      </c>
      <c r="G37">
        <v>1</v>
      </c>
      <c r="H37">
        <v>0.33</v>
      </c>
      <c r="I37" s="42">
        <v>1548.4841967826301</v>
      </c>
      <c r="J37">
        <v>8.23</v>
      </c>
      <c r="K37" s="36">
        <v>21.4112177979537</v>
      </c>
      <c r="L37" s="27">
        <v>21.4112177979537</v>
      </c>
      <c r="M37" s="39">
        <v>24.808102345415701</v>
      </c>
      <c r="N37" s="23">
        <v>1.12E-2</v>
      </c>
      <c r="O37" s="36">
        <v>2.4</v>
      </c>
      <c r="P37" s="38">
        <v>19.388297872340399</v>
      </c>
      <c r="Q37" s="23">
        <v>1.12E-2</v>
      </c>
      <c r="R37" s="36">
        <v>0.79200000000000004</v>
      </c>
      <c r="S37" s="49" t="s">
        <v>8</v>
      </c>
      <c r="T37" s="6">
        <v>3.3333333333333333E-6</v>
      </c>
      <c r="U37" s="39">
        <v>19.388297872340399</v>
      </c>
      <c r="V37" s="23">
        <v>1.12E-2</v>
      </c>
      <c r="W37" s="49" t="s">
        <v>8</v>
      </c>
      <c r="X37" s="49" t="s">
        <v>8</v>
      </c>
      <c r="Y37" s="36">
        <v>0.90658453405081896</v>
      </c>
      <c r="Z37" s="27">
        <v>0.59544588822201305</v>
      </c>
    </row>
    <row r="38" spans="2:26" x14ac:dyDescent="0.3">
      <c r="B38" s="5">
        <v>7</v>
      </c>
      <c r="C38" s="5" t="s">
        <v>56</v>
      </c>
      <c r="D38">
        <v>1.2</v>
      </c>
      <c r="E38">
        <v>5.0000000000000001E-3</v>
      </c>
      <c r="F38">
        <v>0.08</v>
      </c>
      <c r="G38">
        <v>1</v>
      </c>
      <c r="H38">
        <v>0.33</v>
      </c>
      <c r="I38" s="42">
        <v>1519.5586007715201</v>
      </c>
      <c r="J38">
        <v>8.23</v>
      </c>
      <c r="K38" s="36">
        <v>21.601406464617199</v>
      </c>
      <c r="L38" s="27">
        <v>21.601406464617199</v>
      </c>
      <c r="M38" s="39">
        <v>30.085287846481801</v>
      </c>
      <c r="N38" s="23">
        <v>1.12E-2</v>
      </c>
      <c r="O38" s="36">
        <v>2.4</v>
      </c>
      <c r="P38" s="38">
        <v>20.4255319148936</v>
      </c>
      <c r="Q38" s="23">
        <v>1.12E-2</v>
      </c>
      <c r="R38" s="36">
        <v>0.79200000000000004</v>
      </c>
      <c r="S38" s="49" t="s">
        <v>8</v>
      </c>
      <c r="T38" s="6">
        <v>3.3333333333333333E-6</v>
      </c>
      <c r="U38" s="39">
        <v>20.4255319148936</v>
      </c>
      <c r="V38" s="23">
        <v>1.12E-2</v>
      </c>
      <c r="W38" s="49" t="s">
        <v>8</v>
      </c>
      <c r="X38" s="49" t="s">
        <v>8</v>
      </c>
      <c r="Y38" s="36">
        <v>1.0061802744836199</v>
      </c>
      <c r="Z38" s="27">
        <v>0.671653197293135</v>
      </c>
    </row>
    <row r="39" spans="2:26" x14ac:dyDescent="0.3">
      <c r="B39" s="5">
        <v>8</v>
      </c>
      <c r="C39" s="5" t="s">
        <v>56</v>
      </c>
      <c r="D39">
        <v>1.2</v>
      </c>
      <c r="E39">
        <v>5.0000000000000001E-3</v>
      </c>
      <c r="F39">
        <v>0.08</v>
      </c>
      <c r="G39">
        <v>1</v>
      </c>
      <c r="H39">
        <v>0.33</v>
      </c>
      <c r="I39" s="42">
        <v>1494.43874748492</v>
      </c>
      <c r="J39">
        <v>8.23</v>
      </c>
      <c r="K39" s="36">
        <v>21.770807382622799</v>
      </c>
      <c r="L39" s="27">
        <v>21.770807382622799</v>
      </c>
      <c r="M39" s="39">
        <v>35.010660980810201</v>
      </c>
      <c r="N39" s="23">
        <v>1.12E-2</v>
      </c>
      <c r="O39" s="36">
        <v>2.4</v>
      </c>
      <c r="P39" s="38">
        <v>21.143617021276501</v>
      </c>
      <c r="Q39" s="23">
        <v>1.12E-2</v>
      </c>
      <c r="R39" s="36">
        <v>0.79200000000000004</v>
      </c>
      <c r="S39" s="49" t="s">
        <v>8</v>
      </c>
      <c r="T39" s="6">
        <v>3.3333333333333333E-6</v>
      </c>
      <c r="U39" s="39">
        <v>21.143617021276501</v>
      </c>
      <c r="V39" s="23">
        <v>1.12E-2</v>
      </c>
      <c r="W39" s="49" t="s">
        <v>8</v>
      </c>
      <c r="X39" s="49" t="s">
        <v>8</v>
      </c>
      <c r="Y39" s="36">
        <v>1.0615807561725901</v>
      </c>
      <c r="Z39" s="27">
        <v>0.71856266025277005</v>
      </c>
    </row>
    <row r="40" spans="2:26" x14ac:dyDescent="0.3">
      <c r="B40" s="5">
        <v>9</v>
      </c>
      <c r="C40" s="5" t="s">
        <v>56</v>
      </c>
      <c r="D40">
        <v>1.2</v>
      </c>
      <c r="E40">
        <v>5.0000000000000001E-3</v>
      </c>
      <c r="F40">
        <v>0.08</v>
      </c>
      <c r="G40">
        <v>1</v>
      </c>
      <c r="H40">
        <v>0.33</v>
      </c>
      <c r="I40" s="42">
        <v>1466.7091154908601</v>
      </c>
      <c r="J40">
        <v>8.23</v>
      </c>
      <c r="K40" s="36">
        <v>21.9625839240861</v>
      </c>
      <c r="L40" s="27">
        <v>21.9625839240861</v>
      </c>
      <c r="M40" s="39">
        <v>40.5437100213219</v>
      </c>
      <c r="N40" s="23">
        <v>1.12E-2</v>
      </c>
      <c r="O40" s="36">
        <v>2.4</v>
      </c>
      <c r="P40" s="38">
        <v>22.021276595744599</v>
      </c>
      <c r="Q40" s="23">
        <v>1.12E-2</v>
      </c>
      <c r="R40" s="36">
        <v>0.79200000000000004</v>
      </c>
      <c r="S40" s="49" t="s">
        <v>8</v>
      </c>
      <c r="T40" s="6">
        <v>3.3333333333333333E-6</v>
      </c>
      <c r="U40" s="39">
        <v>22.021276595744599</v>
      </c>
      <c r="V40" s="23">
        <v>1.12E-2</v>
      </c>
      <c r="W40" s="49" t="s">
        <v>8</v>
      </c>
      <c r="X40" s="49" t="s">
        <v>8</v>
      </c>
      <c r="Y40" s="36">
        <v>1.086035358615</v>
      </c>
      <c r="Z40" s="27">
        <v>0.74579916893859799</v>
      </c>
    </row>
    <row r="41" spans="2:26" x14ac:dyDescent="0.3">
      <c r="B41" s="5">
        <v>10</v>
      </c>
      <c r="C41" s="5" t="s">
        <v>56</v>
      </c>
      <c r="D41">
        <v>1.2</v>
      </c>
      <c r="E41">
        <v>5.0000000000000001E-3</v>
      </c>
      <c r="F41">
        <v>0.08</v>
      </c>
      <c r="G41">
        <v>1</v>
      </c>
      <c r="H41">
        <v>0.33</v>
      </c>
      <c r="I41" s="42">
        <v>1444.3758379620699</v>
      </c>
      <c r="J41">
        <v>8.23</v>
      </c>
      <c r="K41" s="36">
        <v>22.1208352897055</v>
      </c>
      <c r="L41" s="27">
        <v>22.1208352897055</v>
      </c>
      <c r="M41" s="39">
        <v>45.053304904051103</v>
      </c>
      <c r="N41" s="23">
        <v>1.12E-2</v>
      </c>
      <c r="O41" s="36">
        <v>2.4</v>
      </c>
      <c r="P41" s="38">
        <v>22.819148936170201</v>
      </c>
      <c r="Q41" s="23">
        <v>1.12E-2</v>
      </c>
      <c r="R41" s="36">
        <v>0.79200000000000004</v>
      </c>
      <c r="S41" s="49" t="s">
        <v>8</v>
      </c>
      <c r="T41" s="6">
        <v>3.3333333333333333E-6</v>
      </c>
      <c r="U41" s="39">
        <v>22.819148936170201</v>
      </c>
      <c r="V41" s="23">
        <v>1.12E-2</v>
      </c>
      <c r="W41" s="49" t="s">
        <v>8</v>
      </c>
      <c r="X41" s="49" t="s">
        <v>8</v>
      </c>
      <c r="Y41" s="36">
        <v>1.09124832536783</v>
      </c>
      <c r="Z41" s="27">
        <v>0.75760616098528299</v>
      </c>
    </row>
    <row r="42" spans="2:26" x14ac:dyDescent="0.3">
      <c r="B42" s="5">
        <v>11</v>
      </c>
      <c r="C42" s="5" t="s">
        <v>56</v>
      </c>
      <c r="D42">
        <v>1.2</v>
      </c>
      <c r="E42">
        <v>5.0000000000000001E-3</v>
      </c>
      <c r="F42">
        <v>0.08</v>
      </c>
      <c r="G42">
        <v>1</v>
      </c>
      <c r="H42">
        <v>0.33</v>
      </c>
      <c r="I42" s="42">
        <v>1479.8403618351799</v>
      </c>
      <c r="J42">
        <v>8.23</v>
      </c>
      <c r="K42" s="36">
        <v>21.7599228284774</v>
      </c>
      <c r="L42" s="27">
        <v>21.7599228284774</v>
      </c>
      <c r="M42" s="39">
        <v>30.021321961620401</v>
      </c>
      <c r="N42" s="23">
        <v>0.02</v>
      </c>
      <c r="O42" s="36">
        <v>2.4</v>
      </c>
      <c r="P42" s="38">
        <v>26.25</v>
      </c>
      <c r="Q42" s="23">
        <v>0.02</v>
      </c>
      <c r="R42" s="36">
        <v>0.79200000000000004</v>
      </c>
      <c r="S42" s="49" t="s">
        <v>8</v>
      </c>
      <c r="T42" s="6">
        <v>3.3333333333333333E-6</v>
      </c>
      <c r="U42" s="39">
        <v>26.25</v>
      </c>
      <c r="V42" s="23">
        <v>0.02</v>
      </c>
      <c r="W42" s="49" t="s">
        <v>8</v>
      </c>
      <c r="X42" s="49" t="s">
        <v>8</v>
      </c>
      <c r="Y42" s="36">
        <v>0.97557892374489097</v>
      </c>
      <c r="Z42" s="27">
        <v>0.73059585241675795</v>
      </c>
    </row>
    <row r="43" spans="2:26" x14ac:dyDescent="0.3">
      <c r="B43" s="5">
        <v>12</v>
      </c>
      <c r="C43" s="5" t="s">
        <v>56</v>
      </c>
      <c r="D43">
        <v>1.2</v>
      </c>
      <c r="E43">
        <v>5.0000000000000001E-3</v>
      </c>
      <c r="F43">
        <v>0.08</v>
      </c>
      <c r="G43">
        <v>1</v>
      </c>
      <c r="H43">
        <v>0.33</v>
      </c>
      <c r="I43" s="42">
        <v>1456.14952240649</v>
      </c>
      <c r="J43">
        <v>8.23</v>
      </c>
      <c r="K43" s="36">
        <v>21.9235795473131</v>
      </c>
      <c r="L43" s="27">
        <v>21.9235795473131</v>
      </c>
      <c r="M43" s="39">
        <v>35.010660980810201</v>
      </c>
      <c r="N43" s="23">
        <v>0.02</v>
      </c>
      <c r="O43" s="36">
        <v>2.4</v>
      </c>
      <c r="P43" s="38">
        <v>26.8085106382978</v>
      </c>
      <c r="Q43" s="23">
        <v>0.02</v>
      </c>
      <c r="R43" s="36">
        <v>0.79200000000000004</v>
      </c>
      <c r="S43" s="49" t="s">
        <v>8</v>
      </c>
      <c r="T43" s="6">
        <v>3.3333333333333333E-6</v>
      </c>
      <c r="U43" s="39">
        <v>26.8085106382978</v>
      </c>
      <c r="V43" s="23">
        <v>0.02</v>
      </c>
      <c r="W43" s="49" t="s">
        <v>8</v>
      </c>
      <c r="X43" s="49" t="s">
        <v>8</v>
      </c>
      <c r="Y43" s="36">
        <v>1.0700917823213001</v>
      </c>
      <c r="Z43" s="27">
        <v>0.80786811184652796</v>
      </c>
    </row>
    <row r="44" spans="2:26" x14ac:dyDescent="0.3">
      <c r="B44" s="5">
        <v>13</v>
      </c>
      <c r="C44" s="5" t="s">
        <v>56</v>
      </c>
      <c r="D44">
        <v>1.2</v>
      </c>
      <c r="E44">
        <v>5.0000000000000001E-3</v>
      </c>
      <c r="F44">
        <v>0.08</v>
      </c>
      <c r="G44">
        <v>1</v>
      </c>
      <c r="H44">
        <v>0.33</v>
      </c>
      <c r="I44" s="42">
        <v>1431.7580196229001</v>
      </c>
      <c r="J44">
        <v>8.23</v>
      </c>
      <c r="K44" s="36">
        <v>22.096076334327901</v>
      </c>
      <c r="L44" s="27">
        <v>22.096076334327901</v>
      </c>
      <c r="M44" s="39">
        <v>40</v>
      </c>
      <c r="N44" s="23">
        <v>0.02</v>
      </c>
      <c r="O44" s="36">
        <v>2.4</v>
      </c>
      <c r="P44" s="38">
        <v>27.686170212765902</v>
      </c>
      <c r="Q44" s="23">
        <v>0.02</v>
      </c>
      <c r="R44" s="36">
        <v>0.79200000000000004</v>
      </c>
      <c r="S44" s="49" t="s">
        <v>8</v>
      </c>
      <c r="T44" s="6">
        <v>3.3333333333333333E-6</v>
      </c>
      <c r="U44" s="39">
        <v>27.686170212765902</v>
      </c>
      <c r="V44" s="23">
        <v>0.02</v>
      </c>
      <c r="W44" s="49" t="s">
        <v>8</v>
      </c>
      <c r="X44" s="49" t="s">
        <v>8</v>
      </c>
      <c r="Y44" s="36">
        <v>1.0688619492973399</v>
      </c>
      <c r="Z44" s="27">
        <v>0.81306872143956299</v>
      </c>
    </row>
    <row r="45" spans="2:26" x14ac:dyDescent="0.3">
      <c r="B45" s="5">
        <v>14</v>
      </c>
      <c r="C45" s="5" t="s">
        <v>56</v>
      </c>
      <c r="D45">
        <v>1.2</v>
      </c>
      <c r="E45">
        <v>5.0000000000000001E-3</v>
      </c>
      <c r="F45">
        <v>0.08</v>
      </c>
      <c r="G45">
        <v>1</v>
      </c>
      <c r="H45">
        <v>0.33</v>
      </c>
      <c r="I45" s="42">
        <v>1408.2132999493299</v>
      </c>
      <c r="J45">
        <v>8.23</v>
      </c>
      <c r="K45" s="36">
        <v>22.2665904039903</v>
      </c>
      <c r="L45" s="27">
        <v>22.2665904039903</v>
      </c>
      <c r="M45" s="39">
        <v>45.021321961620401</v>
      </c>
      <c r="N45" s="23">
        <v>0.02</v>
      </c>
      <c r="O45" s="36">
        <v>2.4</v>
      </c>
      <c r="P45" s="38">
        <v>28.484042553191401</v>
      </c>
      <c r="Q45" s="23">
        <v>0.02</v>
      </c>
      <c r="R45" s="36">
        <v>0.79200000000000004</v>
      </c>
      <c r="S45" s="49" t="s">
        <v>8</v>
      </c>
      <c r="T45" s="6">
        <v>3.3333333333333333E-6</v>
      </c>
      <c r="U45" s="39">
        <v>28.484042553191401</v>
      </c>
      <c r="V45" s="23">
        <v>0.02</v>
      </c>
      <c r="W45" s="49" t="s">
        <v>8</v>
      </c>
      <c r="X45" s="49" t="s">
        <v>8</v>
      </c>
      <c r="Y45" s="36">
        <v>1.0708527957633101</v>
      </c>
      <c r="Z45" s="27">
        <v>0.82042952277610703</v>
      </c>
    </row>
    <row r="46" spans="2:26" x14ac:dyDescent="0.3">
      <c r="B46" s="5">
        <v>15</v>
      </c>
      <c r="C46" s="5" t="s">
        <v>56</v>
      </c>
      <c r="D46">
        <v>1.2</v>
      </c>
      <c r="E46">
        <v>5.0000000000000001E-3</v>
      </c>
      <c r="F46">
        <v>0.08</v>
      </c>
      <c r="G46">
        <v>1</v>
      </c>
      <c r="H46">
        <v>0.33</v>
      </c>
      <c r="I46" s="42">
        <v>1444.2332785249901</v>
      </c>
      <c r="J46">
        <v>8.23</v>
      </c>
      <c r="K46" s="36">
        <v>21.9263046653233</v>
      </c>
      <c r="L46" s="27">
        <v>21.9263046653233</v>
      </c>
      <c r="M46" s="39">
        <v>32.324093816631098</v>
      </c>
      <c r="N46" s="23">
        <v>2.64E-2</v>
      </c>
      <c r="O46" s="36">
        <v>2.4</v>
      </c>
      <c r="P46" s="38">
        <v>30</v>
      </c>
      <c r="Q46" s="23">
        <v>2.64E-2</v>
      </c>
      <c r="R46" s="36">
        <v>0.79200000000000004</v>
      </c>
      <c r="S46" s="49" t="s">
        <v>8</v>
      </c>
      <c r="T46" s="6">
        <v>3.3333333333333333E-6</v>
      </c>
      <c r="U46" s="39">
        <v>30</v>
      </c>
      <c r="V46" s="23">
        <v>2.64E-2</v>
      </c>
      <c r="W46" s="49" t="s">
        <v>8</v>
      </c>
      <c r="X46" s="49" t="s">
        <v>8</v>
      </c>
      <c r="Y46" s="36">
        <v>1.0162874554306001</v>
      </c>
      <c r="Z46" s="27">
        <v>0.80046409458302203</v>
      </c>
    </row>
    <row r="47" spans="2:26" x14ac:dyDescent="0.3">
      <c r="B47" s="5">
        <v>16</v>
      </c>
      <c r="C47" s="5" t="s">
        <v>56</v>
      </c>
      <c r="D47">
        <v>1.2</v>
      </c>
      <c r="E47">
        <v>5.0000000000000001E-3</v>
      </c>
      <c r="F47">
        <v>0.08</v>
      </c>
      <c r="G47">
        <v>1</v>
      </c>
      <c r="H47">
        <v>0.33</v>
      </c>
      <c r="I47" s="42">
        <v>1429.2573727254601</v>
      </c>
      <c r="J47">
        <v>8.23</v>
      </c>
      <c r="K47" s="36">
        <v>22.0319457356767</v>
      </c>
      <c r="L47" s="27">
        <v>22.0319457356767</v>
      </c>
      <c r="M47" s="39">
        <v>35.394456289978599</v>
      </c>
      <c r="N47" s="23">
        <v>2.64E-2</v>
      </c>
      <c r="O47" s="36">
        <v>2.4</v>
      </c>
      <c r="P47" s="38">
        <v>30.5585106382978</v>
      </c>
      <c r="Q47" s="23">
        <v>2.64E-2</v>
      </c>
      <c r="R47" s="36">
        <v>0.79200000000000004</v>
      </c>
      <c r="S47" s="49" t="s">
        <v>8</v>
      </c>
      <c r="T47" s="6">
        <v>3.3333333333333333E-6</v>
      </c>
      <c r="U47" s="39">
        <v>30.5585106382978</v>
      </c>
      <c r="V47" s="23">
        <v>2.64E-2</v>
      </c>
      <c r="W47" s="49" t="s">
        <v>8</v>
      </c>
      <c r="X47" s="49" t="s">
        <v>8</v>
      </c>
      <c r="Y47" s="36">
        <v>1.02380080245065</v>
      </c>
      <c r="Z47" s="27">
        <v>0.80927314665734995</v>
      </c>
    </row>
    <row r="48" spans="2:26" x14ac:dyDescent="0.3">
      <c r="B48" s="5">
        <v>17</v>
      </c>
      <c r="C48" s="5" t="s">
        <v>56</v>
      </c>
      <c r="D48">
        <v>1.2</v>
      </c>
      <c r="E48">
        <v>5.0000000000000001E-3</v>
      </c>
      <c r="F48">
        <v>0.08</v>
      </c>
      <c r="G48">
        <v>1</v>
      </c>
      <c r="H48">
        <v>0.33</v>
      </c>
      <c r="I48" s="42">
        <v>1405.9550773926501</v>
      </c>
      <c r="J48">
        <v>8.23</v>
      </c>
      <c r="K48" s="36">
        <v>22.199480156290299</v>
      </c>
      <c r="L48" s="27">
        <v>22.199480156290299</v>
      </c>
      <c r="M48" s="39">
        <v>40.287846481876301</v>
      </c>
      <c r="N48" s="23">
        <v>2.64E-2</v>
      </c>
      <c r="O48" s="36">
        <v>2.4</v>
      </c>
      <c r="P48" s="38">
        <v>31.436170212765902</v>
      </c>
      <c r="Q48" s="23">
        <v>2.64E-2</v>
      </c>
      <c r="R48" s="36">
        <v>0.79200000000000004</v>
      </c>
      <c r="S48" s="49" t="s">
        <v>8</v>
      </c>
      <c r="T48" s="6">
        <v>3.3333333333333333E-6</v>
      </c>
      <c r="U48" s="39">
        <v>31.436170212765902</v>
      </c>
      <c r="V48" s="23">
        <v>2.64E-2</v>
      </c>
      <c r="W48" s="49" t="s">
        <v>8</v>
      </c>
      <c r="X48" s="49" t="s">
        <v>8</v>
      </c>
      <c r="Y48" s="36">
        <v>1.02454454578496</v>
      </c>
      <c r="Z48" s="27">
        <v>0.81429338789463601</v>
      </c>
    </row>
    <row r="49" spans="2:26" x14ac:dyDescent="0.3">
      <c r="B49" s="5">
        <v>18</v>
      </c>
      <c r="C49" s="5" t="s">
        <v>56</v>
      </c>
      <c r="D49">
        <v>1.2</v>
      </c>
      <c r="E49">
        <v>5.0000000000000001E-3</v>
      </c>
      <c r="F49">
        <v>0.08</v>
      </c>
      <c r="G49">
        <v>1</v>
      </c>
      <c r="H49">
        <v>0.33</v>
      </c>
      <c r="I49" s="42">
        <v>1384.9390688727101</v>
      </c>
      <c r="J49">
        <v>8.23</v>
      </c>
      <c r="K49" s="36">
        <v>22.353987782466199</v>
      </c>
      <c r="L49" s="27">
        <v>22.353987782466199</v>
      </c>
      <c r="M49" s="39">
        <v>44.9893390191897</v>
      </c>
      <c r="N49" s="23">
        <v>2.64E-2</v>
      </c>
      <c r="O49" s="36">
        <v>2.4</v>
      </c>
      <c r="P49" s="38">
        <v>32.074468085106297</v>
      </c>
      <c r="Q49" s="23">
        <v>2.64E-2</v>
      </c>
      <c r="R49" s="36">
        <v>0.79200000000000004</v>
      </c>
      <c r="S49" s="49" t="s">
        <v>8</v>
      </c>
      <c r="T49" s="6">
        <v>3.3333333333333333E-6</v>
      </c>
      <c r="U49" s="39">
        <v>32.074468085106297</v>
      </c>
      <c r="V49" s="23">
        <v>2.64E-2</v>
      </c>
      <c r="W49" s="49" t="s">
        <v>8</v>
      </c>
      <c r="X49" s="49" t="s">
        <v>8</v>
      </c>
      <c r="Y49" s="36">
        <v>1.03900023708135</v>
      </c>
      <c r="Z49" s="27">
        <v>0.82989051707902095</v>
      </c>
    </row>
    <row r="50" spans="2:26" x14ac:dyDescent="0.3">
      <c r="B50" s="5">
        <v>19</v>
      </c>
      <c r="C50" s="5" t="s">
        <v>57</v>
      </c>
      <c r="D50">
        <v>1.2</v>
      </c>
      <c r="E50">
        <v>5.0000000000000001E-3</v>
      </c>
      <c r="F50">
        <v>0.08</v>
      </c>
      <c r="G50">
        <v>1</v>
      </c>
      <c r="H50">
        <v>0.33</v>
      </c>
      <c r="I50" s="42">
        <v>935.18441603034603</v>
      </c>
      <c r="J50">
        <v>8.23</v>
      </c>
      <c r="K50" s="36">
        <v>21.712392407652199</v>
      </c>
      <c r="L50" s="27">
        <v>21.712392407652199</v>
      </c>
      <c r="M50" s="39">
        <v>34</v>
      </c>
      <c r="N50" s="23">
        <v>1.12E-2</v>
      </c>
      <c r="O50" s="36">
        <v>1.49327507339386</v>
      </c>
      <c r="P50" s="38">
        <v>20.206185567010301</v>
      </c>
      <c r="Q50" s="23">
        <v>1.12E-2</v>
      </c>
      <c r="R50" s="36">
        <v>0.49278077421997385</v>
      </c>
      <c r="S50" s="49" t="s">
        <v>8</v>
      </c>
      <c r="T50" s="6">
        <v>3.3333333333333333E-6</v>
      </c>
      <c r="U50" s="39">
        <v>20.206185567010301</v>
      </c>
      <c r="V50" s="23">
        <v>1.12E-2</v>
      </c>
      <c r="W50" s="49" t="s">
        <v>8</v>
      </c>
      <c r="X50" s="49" t="s">
        <v>8</v>
      </c>
      <c r="Y50" s="36">
        <v>1.1168225750081</v>
      </c>
      <c r="Z50" s="27">
        <v>0.75386406933887096</v>
      </c>
    </row>
    <row r="51" spans="2:26" x14ac:dyDescent="0.3">
      <c r="B51" s="5">
        <v>20</v>
      </c>
      <c r="C51" s="5" t="s">
        <v>57</v>
      </c>
      <c r="D51">
        <v>1.2</v>
      </c>
      <c r="E51">
        <v>5.0000000000000001E-3</v>
      </c>
      <c r="F51">
        <v>0.08</v>
      </c>
      <c r="G51">
        <v>1</v>
      </c>
      <c r="H51">
        <v>0.33</v>
      </c>
      <c r="I51" s="42">
        <v>1485.4810762119801</v>
      </c>
      <c r="J51">
        <v>8.23</v>
      </c>
      <c r="K51" s="36">
        <v>21.734039115769502</v>
      </c>
      <c r="L51" s="27">
        <v>21.734039115769502</v>
      </c>
      <c r="M51" s="39">
        <v>34</v>
      </c>
      <c r="N51" s="23">
        <v>1.12E-2</v>
      </c>
      <c r="O51" s="36">
        <v>2.3770225984843298</v>
      </c>
      <c r="P51" s="38">
        <v>20.9278350515463</v>
      </c>
      <c r="Q51" s="23">
        <v>1.12E-2</v>
      </c>
      <c r="R51" s="36">
        <v>0.78441745749982883</v>
      </c>
      <c r="S51" s="49" t="s">
        <v>8</v>
      </c>
      <c r="T51" s="6">
        <v>3.3333333333333333E-6</v>
      </c>
      <c r="U51" s="39">
        <v>20.9278350515463</v>
      </c>
      <c r="V51" s="23">
        <v>1.12E-2</v>
      </c>
      <c r="W51" s="49" t="s">
        <v>8</v>
      </c>
      <c r="X51" s="49" t="s">
        <v>8</v>
      </c>
      <c r="Y51" s="36">
        <v>1.0585113165595299</v>
      </c>
      <c r="Z51" s="27">
        <v>0.71450350879325897</v>
      </c>
    </row>
    <row r="52" spans="2:26" x14ac:dyDescent="0.3">
      <c r="B52" s="5">
        <v>21</v>
      </c>
      <c r="C52" s="5" t="s">
        <v>57</v>
      </c>
      <c r="D52">
        <v>1.2</v>
      </c>
      <c r="E52">
        <v>5.0000000000000001E-3</v>
      </c>
      <c r="F52">
        <v>0.08</v>
      </c>
      <c r="G52">
        <v>1</v>
      </c>
      <c r="H52">
        <v>0.33</v>
      </c>
      <c r="I52" s="42">
        <v>2033.9431338951199</v>
      </c>
      <c r="J52">
        <v>8.23</v>
      </c>
      <c r="K52" s="36">
        <v>21.768037487878601</v>
      </c>
      <c r="L52" s="27">
        <v>21.768037487878601</v>
      </c>
      <c r="M52" s="39">
        <v>34</v>
      </c>
      <c r="N52" s="23">
        <v>1.12E-2</v>
      </c>
      <c r="O52" s="36">
        <v>3.2655321908923298</v>
      </c>
      <c r="P52" s="38">
        <v>22.061855670103</v>
      </c>
      <c r="Q52" s="23">
        <v>1.12E-2</v>
      </c>
      <c r="R52" s="36">
        <v>1.077625622994469</v>
      </c>
      <c r="S52" s="49" t="s">
        <v>8</v>
      </c>
      <c r="T52" s="6">
        <v>3.3333333333333333E-6</v>
      </c>
      <c r="U52" s="39">
        <v>22.061855670103</v>
      </c>
      <c r="V52" s="23">
        <v>1.12E-2</v>
      </c>
      <c r="W52" s="49" t="s">
        <v>8</v>
      </c>
      <c r="X52" s="49" t="s">
        <v>8</v>
      </c>
      <c r="Y52" s="36">
        <v>0.96699503593885106</v>
      </c>
      <c r="Z52" s="27">
        <v>0.65272929571473004</v>
      </c>
    </row>
    <row r="53" spans="2:26" x14ac:dyDescent="0.3">
      <c r="B53" s="5">
        <v>22</v>
      </c>
      <c r="C53" s="5" t="s">
        <v>57</v>
      </c>
      <c r="D53">
        <v>1.2</v>
      </c>
      <c r="E53">
        <v>5.0000000000000001E-3</v>
      </c>
      <c r="F53">
        <v>0.08</v>
      </c>
      <c r="G53">
        <v>1</v>
      </c>
      <c r="H53">
        <v>0.33</v>
      </c>
      <c r="I53" s="42">
        <v>2626.6252891622999</v>
      </c>
      <c r="J53" s="36">
        <v>12.2933029735324</v>
      </c>
      <c r="K53" s="36">
        <v>32.591434470298097</v>
      </c>
      <c r="L53" s="27">
        <v>21.818994152186001</v>
      </c>
      <c r="M53" s="39">
        <v>34</v>
      </c>
      <c r="N53" s="23">
        <v>1.12E-2</v>
      </c>
      <c r="O53" s="36">
        <v>4.2381972417559899</v>
      </c>
      <c r="P53" s="38">
        <v>23.762886597938099</v>
      </c>
      <c r="Q53" s="23">
        <v>1.12E-2</v>
      </c>
      <c r="R53" s="36">
        <v>1.3986050897794766</v>
      </c>
      <c r="S53" s="49" t="s">
        <v>8</v>
      </c>
      <c r="T53" s="6">
        <v>3.3333333333333333E-6</v>
      </c>
      <c r="U53" s="39">
        <v>23.762886597938099</v>
      </c>
      <c r="V53" s="23">
        <v>1.12E-2</v>
      </c>
      <c r="W53" s="49" t="s">
        <v>8</v>
      </c>
      <c r="X53" s="49" t="s">
        <v>8</v>
      </c>
      <c r="Y53" s="36">
        <v>0.82931567571305098</v>
      </c>
      <c r="Z53" s="27">
        <v>0.55979463887092396</v>
      </c>
    </row>
    <row r="54" spans="2:26" x14ac:dyDescent="0.3">
      <c r="B54" s="5">
        <v>23</v>
      </c>
      <c r="C54" s="5" t="s">
        <v>57</v>
      </c>
      <c r="D54">
        <v>1.2</v>
      </c>
      <c r="E54">
        <v>5.0000000000000001E-3</v>
      </c>
      <c r="F54">
        <v>0.08</v>
      </c>
      <c r="G54">
        <v>1</v>
      </c>
      <c r="H54">
        <v>0.33</v>
      </c>
      <c r="I54" s="42">
        <v>3186.0582817044401</v>
      </c>
      <c r="J54" s="36">
        <v>15.377428339681</v>
      </c>
      <c r="K54" s="36">
        <v>40.808289241532698</v>
      </c>
      <c r="L54" s="27">
        <v>21.840597337797799</v>
      </c>
      <c r="M54" s="39">
        <v>34</v>
      </c>
      <c r="N54" s="23">
        <v>1.12E-2</v>
      </c>
      <c r="O54" s="36">
        <v>5.1517460913497599</v>
      </c>
      <c r="P54" s="38">
        <v>24.4845360824742</v>
      </c>
      <c r="Q54" s="23">
        <v>1.12E-2</v>
      </c>
      <c r="R54" s="36">
        <v>1.7000762101454208</v>
      </c>
      <c r="S54" s="49" t="s">
        <v>8</v>
      </c>
      <c r="T54" s="6">
        <v>3.3333333333333333E-6</v>
      </c>
      <c r="U54" s="39">
        <v>24.4845360824742</v>
      </c>
      <c r="V54" s="23">
        <v>1.12E-2</v>
      </c>
      <c r="W54" s="49" t="s">
        <v>8</v>
      </c>
      <c r="X54" s="49" t="s">
        <v>8</v>
      </c>
      <c r="Y54" s="36">
        <v>0.77100441726447699</v>
      </c>
      <c r="Z54" s="27">
        <v>0.52043407832531197</v>
      </c>
    </row>
    <row r="55" spans="2:26" x14ac:dyDescent="0.3">
      <c r="B55" s="5">
        <v>24</v>
      </c>
      <c r="C55" s="5" t="s">
        <v>57</v>
      </c>
      <c r="D55">
        <v>1.2</v>
      </c>
      <c r="E55">
        <v>5.0000000000000001E-3</v>
      </c>
      <c r="F55">
        <v>0.08</v>
      </c>
      <c r="G55">
        <v>1</v>
      </c>
      <c r="H55">
        <v>0.33</v>
      </c>
      <c r="I55" s="42">
        <v>3602.6847466812901</v>
      </c>
      <c r="J55" s="36">
        <v>17.520071347043899</v>
      </c>
      <c r="K55" s="36">
        <v>46.5370765524614</v>
      </c>
      <c r="L55" s="27">
        <v>21.860649562444902</v>
      </c>
      <c r="M55" s="39">
        <v>34</v>
      </c>
      <c r="N55" s="23">
        <v>1.12E-2</v>
      </c>
      <c r="O55" s="36">
        <v>5.8368437222639402</v>
      </c>
      <c r="P55" s="38">
        <v>25.154639175257699</v>
      </c>
      <c r="Q55" s="23">
        <v>1.12E-2</v>
      </c>
      <c r="R55" s="36">
        <v>1.9261584283471003</v>
      </c>
      <c r="S55" s="49" t="s">
        <v>8</v>
      </c>
      <c r="T55" s="6">
        <v>3.3333333333333333E-6</v>
      </c>
      <c r="U55" s="39">
        <v>25.154639175257699</v>
      </c>
      <c r="V55" s="23">
        <v>1.12E-2</v>
      </c>
      <c r="W55" s="49" t="s">
        <v>8</v>
      </c>
      <c r="X55" s="49" t="s">
        <v>8</v>
      </c>
      <c r="Y55" s="36">
        <v>0.71674255176372104</v>
      </c>
      <c r="Z55" s="27">
        <v>0.48380689003981198</v>
      </c>
    </row>
    <row r="56" spans="2:26" x14ac:dyDescent="0.3">
      <c r="B56" s="5">
        <v>25</v>
      </c>
      <c r="C56" s="5" t="s">
        <v>57</v>
      </c>
      <c r="D56">
        <v>1.2</v>
      </c>
      <c r="E56">
        <v>5.0000000000000001E-3</v>
      </c>
      <c r="F56">
        <v>0.08</v>
      </c>
      <c r="G56">
        <v>1</v>
      </c>
      <c r="H56">
        <v>0.33</v>
      </c>
      <c r="I56" s="42">
        <v>883.66984208676899</v>
      </c>
      <c r="J56">
        <v>8.23</v>
      </c>
      <c r="K56" s="36">
        <v>21.8620320775454</v>
      </c>
      <c r="L56" s="27">
        <v>21.8620320775454</v>
      </c>
      <c r="M56" s="39">
        <v>34</v>
      </c>
      <c r="N56" s="23">
        <v>1.9E-2</v>
      </c>
      <c r="O56" s="36">
        <v>1.44585922031815</v>
      </c>
      <c r="P56" s="38">
        <v>25.670103092783499</v>
      </c>
      <c r="Q56" s="23">
        <v>1.9E-2</v>
      </c>
      <c r="R56" s="36">
        <v>0.47713354270498953</v>
      </c>
      <c r="S56" s="49" t="s">
        <v>8</v>
      </c>
      <c r="T56" s="6">
        <v>3.3333333333333333E-6</v>
      </c>
      <c r="U56" s="39">
        <v>25.670103092783499</v>
      </c>
      <c r="V56" s="23">
        <v>1.9E-2</v>
      </c>
      <c r="W56" s="49" t="s">
        <v>8</v>
      </c>
      <c r="X56" s="49" t="s">
        <v>8</v>
      </c>
      <c r="Y56" s="36">
        <v>1.1184502593730301</v>
      </c>
      <c r="Z56" s="27">
        <v>0.83545640529518705</v>
      </c>
    </row>
    <row r="57" spans="2:26" x14ac:dyDescent="0.3">
      <c r="B57" s="5">
        <v>26</v>
      </c>
      <c r="C57" s="5" t="s">
        <v>57</v>
      </c>
      <c r="D57">
        <v>1.2</v>
      </c>
      <c r="E57">
        <v>5.0000000000000001E-3</v>
      </c>
      <c r="F57">
        <v>0.08</v>
      </c>
      <c r="G57">
        <v>1</v>
      </c>
      <c r="H57">
        <v>0.33</v>
      </c>
      <c r="I57" s="42">
        <v>1432.9272918387601</v>
      </c>
      <c r="J57">
        <v>8.23</v>
      </c>
      <c r="K57" s="36">
        <v>21.883341965508698</v>
      </c>
      <c r="L57" s="27">
        <v>21.883341965508698</v>
      </c>
      <c r="M57" s="39">
        <v>34</v>
      </c>
      <c r="N57" s="23">
        <v>1.9E-2</v>
      </c>
      <c r="O57" s="36">
        <v>2.3494742950774898</v>
      </c>
      <c r="P57" s="38">
        <v>26.391752577319501</v>
      </c>
      <c r="Q57" s="23">
        <v>1.9E-2</v>
      </c>
      <c r="R57" s="36">
        <v>0.77532651737557168</v>
      </c>
      <c r="S57" s="49" t="s">
        <v>8</v>
      </c>
      <c r="T57" s="6">
        <v>3.3333333333333333E-6</v>
      </c>
      <c r="U57" s="39">
        <v>26.391752577319501</v>
      </c>
      <c r="V57" s="23">
        <v>1.9E-2</v>
      </c>
      <c r="W57" s="49" t="s">
        <v>8</v>
      </c>
      <c r="X57" s="49" t="s">
        <v>8</v>
      </c>
      <c r="Y57" s="36">
        <v>1.02177748785459</v>
      </c>
      <c r="Z57" s="27">
        <v>0.76324408695034496</v>
      </c>
    </row>
    <row r="58" spans="2:26" x14ac:dyDescent="0.3">
      <c r="B58" s="5">
        <v>27</v>
      </c>
      <c r="C58" s="5" t="s">
        <v>57</v>
      </c>
      <c r="D58">
        <v>1.2</v>
      </c>
      <c r="E58">
        <v>5.0000000000000001E-3</v>
      </c>
      <c r="F58">
        <v>0.08</v>
      </c>
      <c r="G58">
        <v>1</v>
      </c>
      <c r="H58">
        <v>0.33</v>
      </c>
      <c r="I58" s="42">
        <v>1980.50864745785</v>
      </c>
      <c r="J58">
        <v>8.23</v>
      </c>
      <c r="K58" s="36">
        <v>21.9016004681915</v>
      </c>
      <c r="L58" s="27">
        <v>21.9016004681915</v>
      </c>
      <c r="M58" s="39">
        <v>34</v>
      </c>
      <c r="N58" s="23">
        <v>1.9E-2</v>
      </c>
      <c r="O58" s="36">
        <v>3.2531405748617401</v>
      </c>
      <c r="P58" s="38">
        <v>27.010309278350501</v>
      </c>
      <c r="Q58" s="23">
        <v>1.9E-2</v>
      </c>
      <c r="R58" s="36">
        <v>1.0735363897043744</v>
      </c>
      <c r="S58" s="49" t="s">
        <v>8</v>
      </c>
      <c r="T58" s="6">
        <v>3.3333333333333333E-6</v>
      </c>
      <c r="U58" s="39">
        <v>27.010309278350501</v>
      </c>
      <c r="V58" s="23">
        <v>1.9E-2</v>
      </c>
      <c r="W58" s="49" t="s">
        <v>8</v>
      </c>
      <c r="X58" s="49" t="s">
        <v>8</v>
      </c>
      <c r="Y58" s="36">
        <v>0.93853149015815895</v>
      </c>
      <c r="Z58" s="27">
        <v>0.70106125726450896</v>
      </c>
    </row>
    <row r="59" spans="2:26" x14ac:dyDescent="0.3">
      <c r="B59" s="5">
        <v>28</v>
      </c>
      <c r="C59" s="5" t="s">
        <v>57</v>
      </c>
      <c r="D59">
        <v>1.2</v>
      </c>
      <c r="E59">
        <v>5.0000000000000001E-3</v>
      </c>
      <c r="F59">
        <v>0.08</v>
      </c>
      <c r="G59">
        <v>1</v>
      </c>
      <c r="H59">
        <v>0.33</v>
      </c>
      <c r="I59" s="42">
        <v>2584.08576835751</v>
      </c>
      <c r="J59" s="36">
        <v>12.054162747526799</v>
      </c>
      <c r="K59" s="36">
        <v>32.118523046883297</v>
      </c>
      <c r="L59" s="27">
        <v>21.9289759241125</v>
      </c>
      <c r="M59" s="39">
        <v>34</v>
      </c>
      <c r="N59" s="23">
        <v>1.9E-2</v>
      </c>
      <c r="O59" s="36">
        <v>4.2559909879156104</v>
      </c>
      <c r="P59" s="38">
        <v>27.9381443298969</v>
      </c>
      <c r="Q59" s="23">
        <v>1.9E-2</v>
      </c>
      <c r="R59" s="36">
        <v>1.4044770260121515</v>
      </c>
      <c r="S59" s="49" t="s">
        <v>8</v>
      </c>
      <c r="T59" s="6">
        <v>3.3333333333333333E-6</v>
      </c>
      <c r="U59" s="39">
        <v>27.9381443298969</v>
      </c>
      <c r="V59" s="23">
        <v>1.9E-2</v>
      </c>
      <c r="W59" s="49" t="s">
        <v>8</v>
      </c>
      <c r="X59" s="49" t="s">
        <v>8</v>
      </c>
      <c r="Y59" s="36">
        <v>0.81366249361351095</v>
      </c>
      <c r="Z59" s="27">
        <v>0.60778701273575397</v>
      </c>
    </row>
    <row r="60" spans="2:26" x14ac:dyDescent="0.3">
      <c r="B60" s="5">
        <v>29</v>
      </c>
      <c r="C60" s="5" t="s">
        <v>57</v>
      </c>
      <c r="D60">
        <v>1.2</v>
      </c>
      <c r="E60">
        <v>5.0000000000000001E-3</v>
      </c>
      <c r="F60">
        <v>0.08</v>
      </c>
      <c r="G60">
        <v>1</v>
      </c>
      <c r="H60">
        <v>0.33</v>
      </c>
      <c r="I60" s="42">
        <v>3099.9193680993098</v>
      </c>
      <c r="J60" s="36">
        <v>14.9308804481986</v>
      </c>
      <c r="K60" s="36">
        <v>39.800135542903803</v>
      </c>
      <c r="L60" s="27">
        <v>21.938097800362399</v>
      </c>
      <c r="M60" s="39">
        <v>34</v>
      </c>
      <c r="N60" s="23">
        <v>1.9E-2</v>
      </c>
      <c r="O60" s="36">
        <v>5.1101420086024403</v>
      </c>
      <c r="P60" s="38">
        <v>28.247422680412299</v>
      </c>
      <c r="Q60" s="23">
        <v>1.9E-2</v>
      </c>
      <c r="R60" s="36">
        <v>1.6863468628388054</v>
      </c>
      <c r="S60" s="49" t="s">
        <v>8</v>
      </c>
      <c r="T60" s="6">
        <v>3.3333333333333333E-6</v>
      </c>
      <c r="U60" s="39">
        <v>28.247422680412299</v>
      </c>
      <c r="V60" s="23">
        <v>1.9E-2</v>
      </c>
      <c r="W60" s="49" t="s">
        <v>8</v>
      </c>
      <c r="X60" s="49" t="s">
        <v>8</v>
      </c>
      <c r="Y60" s="36">
        <v>0.77203949476529599</v>
      </c>
      <c r="Z60" s="27">
        <v>0.57669559789283598</v>
      </c>
    </row>
    <row r="61" spans="2:26" ht="15" thickBot="1" x14ac:dyDescent="0.35">
      <c r="B61" s="7">
        <v>30</v>
      </c>
      <c r="C61" s="7" t="s">
        <v>57</v>
      </c>
      <c r="D61" s="8">
        <v>1.2</v>
      </c>
      <c r="E61" s="8">
        <v>5.0000000000000001E-3</v>
      </c>
      <c r="F61" s="8">
        <v>0.08</v>
      </c>
      <c r="G61" s="8">
        <v>1</v>
      </c>
      <c r="H61" s="8">
        <v>0.33</v>
      </c>
      <c r="I61" s="45">
        <v>3643.8152130898002</v>
      </c>
      <c r="J61" s="17">
        <v>17.740660218359899</v>
      </c>
      <c r="K61" s="17">
        <v>47.316168234463902</v>
      </c>
      <c r="L61" s="28">
        <v>21.950257756846799</v>
      </c>
      <c r="M61" s="43">
        <v>34</v>
      </c>
      <c r="N61" s="24">
        <v>1.9E-2</v>
      </c>
      <c r="O61" s="17">
        <v>6.0139106984365398</v>
      </c>
      <c r="P61" s="41">
        <v>28.659793814432899</v>
      </c>
      <c r="Q61" s="24">
        <v>1.9E-2</v>
      </c>
      <c r="R61" s="17">
        <v>1.9845905304840583</v>
      </c>
      <c r="S61" s="50" t="s">
        <v>8</v>
      </c>
      <c r="T61" s="9">
        <v>3.3333333333333333E-6</v>
      </c>
      <c r="U61" s="43">
        <v>28.659793814432899</v>
      </c>
      <c r="V61" s="24">
        <v>1.9E-2</v>
      </c>
      <c r="W61" s="50" t="s">
        <v>8</v>
      </c>
      <c r="X61" s="50" t="s">
        <v>8</v>
      </c>
      <c r="Y61" s="17">
        <v>0.71698972209507505</v>
      </c>
      <c r="Z61" s="28">
        <v>0.53557469439091199</v>
      </c>
    </row>
  </sheetData>
  <mergeCells count="4">
    <mergeCell ref="E11:F11"/>
    <mergeCell ref="G11:H11"/>
    <mergeCell ref="I11:J11"/>
    <mergeCell ref="C7:N7"/>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0A631236513B9418E5AF68A800ACA79" ma:contentTypeVersion="6" ma:contentTypeDescription="Crée un document." ma:contentTypeScope="" ma:versionID="ad3ecf216e08acb36b19aa337e871f12">
  <xsd:schema xmlns:xsd="http://www.w3.org/2001/XMLSchema" xmlns:xs="http://www.w3.org/2001/XMLSchema" xmlns:p="http://schemas.microsoft.com/office/2006/metadata/properties" xmlns:ns2="fbd837e5-054a-49eb-b52b-3e79ba6bda81" xmlns:ns3="16cc8f85-dc4c-4d27-a03f-db68d60dd571" targetNamespace="http://schemas.microsoft.com/office/2006/metadata/properties" ma:root="true" ma:fieldsID="d7cb4eca1a466029dd2fc18150b16dd5" ns2:_="" ns3:_="">
    <xsd:import namespace="fbd837e5-054a-49eb-b52b-3e79ba6bda81"/>
    <xsd:import namespace="16cc8f85-dc4c-4d27-a03f-db68d60dd57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bd837e5-054a-49eb-b52b-3e79ba6bda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c8f85-dc4c-4d27-a03f-db68d60dd571" elementFormDefault="qualified">
    <xsd:import namespace="http://schemas.microsoft.com/office/2006/documentManagement/types"/>
    <xsd:import namespace="http://schemas.microsoft.com/office/infopath/2007/PartnerControls"/>
    <xsd:element name="SharedWithUsers" ma:index="11"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2E9B0F2-0F1F-4FE4-8066-C13DC92A4B39}">
  <ds:schemaRefs>
    <ds:schemaRef ds:uri="http://schemas.microsoft.com/sharepoint/v3/contenttype/forms"/>
  </ds:schemaRefs>
</ds:datastoreItem>
</file>

<file path=customXml/itemProps2.xml><?xml version="1.0" encoding="utf-8"?>
<ds:datastoreItem xmlns:ds="http://schemas.openxmlformats.org/officeDocument/2006/customXml" ds:itemID="{C912D4EC-DADE-4A96-BF02-5A15107DDA7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bd837e5-054a-49eb-b52b-3e79ba6bda81"/>
    <ds:schemaRef ds:uri="16cc8f85-dc4c-4d27-a03f-db68d60dd57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BF5B01B-DE67-44CC-B4C3-E4CCF84B6011}">
  <ds:schemaRefs>
    <ds:schemaRef ds:uri="http://schemas.microsoft.com/office/2006/metadata/properties"/>
    <ds:schemaRef ds:uri="http://schemas.microsoft.com/office/infopath/2007/PartnerControls"/>
    <ds:schemaRef ds:uri="http://purl.org/dc/dcmitype/"/>
    <ds:schemaRef ds:uri="http://purl.org/dc/terms/"/>
    <ds:schemaRef ds:uri="http://purl.org/dc/elements/1.1/"/>
    <ds:schemaRef ds:uri="http://schemas.openxmlformats.org/package/2006/metadata/core-properties"/>
    <ds:schemaRef ds:uri="http://schemas.microsoft.com/office/2006/documentManagement/types"/>
    <ds:schemaRef ds:uri="16cc8f85-dc4c-4d27-a03f-db68d60dd571"/>
    <ds:schemaRef ds:uri="fbd837e5-054a-49eb-b52b-3e79ba6bda81"/>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Riangvilaikul2010</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Zeoli Alanis</dc:creator>
  <cp:keywords/>
  <dc:description/>
  <cp:lastModifiedBy>Zeoli Alanis</cp:lastModifiedBy>
  <cp:revision/>
  <dcterms:created xsi:type="dcterms:W3CDTF">2023-10-02T08:13:39Z</dcterms:created>
  <dcterms:modified xsi:type="dcterms:W3CDTF">2025-08-12T08:57:17Z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0x010100D0A631236513B9418E5AF68A800ACA79</vt:lpwstr>
  </property>
</Properties>
</file>