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AZ\alaniszeo_git\OSD-ECMTest\IEC\D-IEC\"/>
    </mc:Choice>
  </mc:AlternateContent>
  <xr:revisionPtr revIDLastSave="0" documentId="13_ncr:1_{16D89BA2-8D76-4542-8BBE-FDD890A60D85}" xr6:coauthVersionLast="47" xr6:coauthVersionMax="47" xr10:uidLastSave="{00000000-0000-0000-0000-000000000000}"/>
  <bookViews>
    <workbookView xWindow="-108" yWindow="-108" windowWidth="30936" windowHeight="16776" xr2:uid="{1306219A-737B-4B5D-BCFD-98C34D3C77CC}"/>
  </bookViews>
  <sheets>
    <sheet name="Riangvilaikul2010" sheetId="7" r:id="rId1"/>
    <sheet name="Data" sheetId="8"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 i="7" l="1"/>
</calcChain>
</file>

<file path=xl/sharedStrings.xml><?xml version="1.0" encoding="utf-8"?>
<sst xmlns="http://schemas.openxmlformats.org/spreadsheetml/2006/main" count="216" uniqueCount="85">
  <si>
    <t>counterflow</t>
  </si>
  <si>
    <t>epsilon_wb</t>
  </si>
  <si>
    <t>-</t>
  </si>
  <si>
    <t>epsilon_dp</t>
  </si>
  <si>
    <t>L</t>
  </si>
  <si>
    <t>parallel</t>
  </si>
  <si>
    <t>m</t>
  </si>
  <si>
    <t>W</t>
  </si>
  <si>
    <t>NA</t>
  </si>
  <si>
    <t>h_ch</t>
  </si>
  <si>
    <t>Channel height</t>
  </si>
  <si>
    <t>Water injection type</t>
  </si>
  <si>
    <t>Number of channels</t>
  </si>
  <si>
    <t>wf</t>
  </si>
  <si>
    <t>Temperature</t>
  </si>
  <si>
    <t>Wall thickness</t>
  </si>
  <si>
    <t>m/s</t>
  </si>
  <si>
    <t>kg/kg</t>
  </si>
  <si>
    <t>Paper information</t>
  </si>
  <si>
    <t>Authors</t>
  </si>
  <si>
    <t>Title</t>
  </si>
  <si>
    <t>Year</t>
  </si>
  <si>
    <t>Data type</t>
  </si>
  <si>
    <t>HEX characteristics</t>
  </si>
  <si>
    <t>HEX type</t>
  </si>
  <si>
    <t>Water recirculation</t>
  </si>
  <si>
    <t>Wall material</t>
  </si>
  <si>
    <t>Configuration</t>
  </si>
  <si>
    <t>Geometry</t>
  </si>
  <si>
    <t>Measurement uncertainties</t>
  </si>
  <si>
    <t>Length</t>
  </si>
  <si>
    <t>K</t>
  </si>
  <si>
    <t>Width</t>
  </si>
  <si>
    <t>Humidity</t>
  </si>
  <si>
    <t>%</t>
  </si>
  <si>
    <t>Height</t>
  </si>
  <si>
    <t>Air flow</t>
  </si>
  <si>
    <t>Operating conditions</t>
  </si>
  <si>
    <t>Primary fluid velocity</t>
  </si>
  <si>
    <t>Secondary fluid velocity</t>
  </si>
  <si>
    <t>Secondary-to-Primary flow rate ratio</t>
  </si>
  <si>
    <t>Water supplied</t>
  </si>
  <si>
    <t>Testing conditions</t>
  </si>
  <si>
    <t>Inlet conditions</t>
  </si>
  <si>
    <t>Outlet conditions</t>
  </si>
  <si>
    <t>Run</t>
  </si>
  <si>
    <t>Riangvilaikul and Kumar</t>
  </si>
  <si>
    <t>Wet surface theory</t>
  </si>
  <si>
    <t>Yes</t>
  </si>
  <si>
    <t>Cotton sheet coated with polyurethane</t>
  </si>
  <si>
    <t>PPC</t>
  </si>
  <si>
    <t>g/h</t>
  </si>
  <si>
    <t>Test</t>
  </si>
  <si>
    <t>pd</t>
  </si>
  <si>
    <t>sw</t>
  </si>
  <si>
    <t>An experimental study of a novel dew point evaporative cooling system</t>
  </si>
  <si>
    <t>A</t>
  </si>
  <si>
    <t>B</t>
  </si>
  <si>
    <t>Tests</t>
  </si>
  <si>
    <t>Constant velocity &amp; Varying inlet conditions</t>
  </si>
  <si>
    <t>Constant inlet conditions &amp; Varying inlet velocity</t>
  </si>
  <si>
    <t>D-IEC</t>
  </si>
  <si>
    <t>SPR</t>
  </si>
  <si>
    <t>m_dot_wf</t>
  </si>
  <si>
    <t>T_pdi</t>
  </si>
  <si>
    <t>w_pdi</t>
  </si>
  <si>
    <t>v_pdi</t>
  </si>
  <si>
    <t>T_swi</t>
  </si>
  <si>
    <t>w_swi</t>
  </si>
  <si>
    <t>v_swi</t>
  </si>
  <si>
    <t>T_wfi</t>
  </si>
  <si>
    <t>T_pdo</t>
  </si>
  <si>
    <t>w_pdo</t>
  </si>
  <si>
    <t>T_swo</t>
  </si>
  <si>
    <t>w_swo</t>
  </si>
  <si>
    <t>0.48-1.98</t>
  </si>
  <si>
    <t>1.45-6</t>
  </si>
  <si>
    <t>Nu</t>
  </si>
  <si>
    <t>Re</t>
  </si>
  <si>
    <t>WWR</t>
  </si>
  <si>
    <t>h_T_pd</t>
  </si>
  <si>
    <t>h_T_sw</t>
  </si>
  <si>
    <t>Experimental, extracted from graphs</t>
  </si>
  <si>
    <t>Description</t>
  </si>
  <si>
    <t>Counterflow D-IEC made of vertical thin-film cotton sheets coated with polyurethane material. Water is sprayed on top of the wet channel, and the water distribution on the wet channel surface is ensured through gravitational effect. Advantages of the dataset provided:
1. Independent testing of the impact of primary inlet air conditions and velocity on the primary outlet temperature.
2. The tested inlet air conditions cover a large area of the psychrometric diagram.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</si>
</sst>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59">
    <xf numFmtId="0" fontId="0" fillId="0" borderId="0" xfId="0"/>
    <xf numFmtId="0" fontId="1" fillId="0" borderId="0" xfId="0" applyFont="1"/>
    <xf numFmtId="0" fontId="1" fillId="0" borderId="1" xfId="0" applyFon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1" fillId="0" borderId="9" xfId="0" applyFont="1" applyBorder="1"/>
    <xf numFmtId="0" fontId="1" fillId="0" borderId="10" xfId="0" applyFont="1" applyBorder="1"/>
    <xf numFmtId="0" fontId="1" fillId="0" borderId="11" xfId="0" applyFont="1" applyBorder="1"/>
    <xf numFmtId="0" fontId="0" fillId="0" borderId="1" xfId="0" applyBorder="1"/>
    <xf numFmtId="0" fontId="1" fillId="0" borderId="6" xfId="0" applyFont="1" applyBorder="1"/>
    <xf numFmtId="0" fontId="1" fillId="0" borderId="7" xfId="0" applyFont="1" applyBorder="1"/>
    <xf numFmtId="0" fontId="1" fillId="0" borderId="14" xfId="0" applyFont="1" applyBorder="1"/>
    <xf numFmtId="2" fontId="0" fillId="0" borderId="7" xfId="0" applyNumberFormat="1" applyBorder="1"/>
    <xf numFmtId="0" fontId="0" fillId="0" borderId="10" xfId="0" applyBorder="1"/>
    <xf numFmtId="0" fontId="0" fillId="0" borderId="11" xfId="0" applyBorder="1"/>
    <xf numFmtId="0" fontId="1" fillId="0" borderId="4" xfId="0" applyFont="1" applyBorder="1"/>
    <xf numFmtId="0" fontId="1" fillId="0" borderId="12" xfId="0" applyFont="1" applyBorder="1"/>
    <xf numFmtId="0" fontId="1" fillId="0" borderId="13" xfId="0" applyFont="1" applyBorder="1"/>
    <xf numFmtId="164" fontId="0" fillId="0" borderId="0" xfId="0" applyNumberFormat="1"/>
    <xf numFmtId="164" fontId="0" fillId="0" borderId="7" xfId="0" applyNumberFormat="1" applyBorder="1"/>
    <xf numFmtId="0" fontId="1" fillId="0" borderId="8" xfId="0" applyFont="1" applyBorder="1"/>
    <xf numFmtId="2" fontId="0" fillId="0" borderId="3" xfId="0" applyNumberFormat="1" applyBorder="1"/>
    <xf numFmtId="2" fontId="0" fillId="0" borderId="5" xfId="0" applyNumberFormat="1" applyBorder="1"/>
    <xf numFmtId="2" fontId="0" fillId="0" borderId="8" xfId="0" applyNumberFormat="1" applyBorder="1"/>
    <xf numFmtId="164" fontId="0" fillId="0" borderId="2" xfId="0" applyNumberFormat="1" applyBorder="1"/>
    <xf numFmtId="2" fontId="0" fillId="0" borderId="2" xfId="0" applyNumberFormat="1" applyBorder="1"/>
    <xf numFmtId="0" fontId="0" fillId="0" borderId="0" xfId="0" quotePrefix="1"/>
    <xf numFmtId="0" fontId="0" fillId="0" borderId="5" xfId="0" applyBorder="1" applyAlignment="1">
      <alignment wrapText="1"/>
    </xf>
    <xf numFmtId="0" fontId="1" fillId="0" borderId="4" xfId="0" applyFont="1" applyBorder="1" applyAlignment="1">
      <alignment wrapText="1"/>
    </xf>
    <xf numFmtId="0" fontId="0" fillId="0" borderId="4" xfId="0" applyBorder="1" applyAlignment="1">
      <alignment vertical="center"/>
    </xf>
    <xf numFmtId="0" fontId="0" fillId="0" borderId="5" xfId="0" applyBorder="1" applyAlignment="1">
      <alignment vertical="center"/>
    </xf>
    <xf numFmtId="2" fontId="0" fillId="0" borderId="0" xfId="0" applyNumberFormat="1"/>
    <xf numFmtId="165" fontId="0" fillId="0" borderId="2" xfId="0" applyNumberFormat="1" applyBorder="1"/>
    <xf numFmtId="165" fontId="0" fillId="0" borderId="0" xfId="0" applyNumberFormat="1"/>
    <xf numFmtId="165" fontId="0" fillId="0" borderId="4" xfId="0" applyNumberFormat="1" applyBorder="1"/>
    <xf numFmtId="165" fontId="0" fillId="0" borderId="1" xfId="0" applyNumberFormat="1" applyBorder="1"/>
    <xf numFmtId="165" fontId="0" fillId="0" borderId="7" xfId="0" applyNumberFormat="1" applyBorder="1"/>
    <xf numFmtId="1" fontId="0" fillId="0" borderId="0" xfId="0" applyNumberFormat="1"/>
    <xf numFmtId="165" fontId="0" fillId="0" borderId="6" xfId="0" applyNumberFormat="1" applyBorder="1"/>
    <xf numFmtId="1" fontId="0" fillId="0" borderId="2" xfId="0" applyNumberFormat="1" applyBorder="1"/>
    <xf numFmtId="1" fontId="0" fillId="0" borderId="7" xfId="0" applyNumberFormat="1" applyBorder="1"/>
    <xf numFmtId="0" fontId="0" fillId="0" borderId="1" xfId="0" applyBorder="1" applyAlignment="1">
      <alignment horizontal="right"/>
    </xf>
    <xf numFmtId="0" fontId="0" fillId="0" borderId="4" xfId="0" applyBorder="1" applyAlignment="1">
      <alignment horizontal="right"/>
    </xf>
    <xf numFmtId="164" fontId="0" fillId="0" borderId="2" xfId="0" applyNumberFormat="1" applyBorder="1" applyAlignment="1">
      <alignment horizontal="right"/>
    </xf>
    <xf numFmtId="164" fontId="0" fillId="0" borderId="0" xfId="0" applyNumberFormat="1" applyAlignment="1">
      <alignment horizontal="right"/>
    </xf>
    <xf numFmtId="164" fontId="0" fillId="0" borderId="7" xfId="0" applyNumberFormat="1" applyBorder="1" applyAlignment="1">
      <alignment horizontal="right"/>
    </xf>
    <xf numFmtId="0" fontId="1" fillId="0" borderId="14" xfId="0" applyFont="1" applyBorder="1" applyAlignment="1">
      <alignment vertical="top"/>
    </xf>
    <xf numFmtId="0" fontId="0" fillId="0" borderId="0" xfId="0" applyAlignment="1">
      <alignment horizontal="left"/>
    </xf>
    <xf numFmtId="0" fontId="0" fillId="0" borderId="0" xfId="0" applyAlignment="1">
      <alignment horizontal="right"/>
    </xf>
    <xf numFmtId="0" fontId="0" fillId="0" borderId="9" xfId="0" applyBorder="1" applyAlignment="1">
      <alignment horizontal="center"/>
    </xf>
    <xf numFmtId="0" fontId="0" fillId="0" borderId="11" xfId="0" applyBorder="1" applyAlignment="1">
      <alignment horizontal="center"/>
    </xf>
    <xf numFmtId="0" fontId="0" fillId="0" borderId="6" xfId="0" applyBorder="1" applyAlignment="1">
      <alignment horizontal="left" vertical="top" wrapText="1"/>
    </xf>
    <xf numFmtId="0" fontId="0" fillId="0" borderId="7" xfId="0" applyBorder="1" applyAlignment="1">
      <alignment horizontal="left" vertical="top"/>
    </xf>
    <xf numFmtId="0" fontId="0" fillId="0" borderId="8" xfId="0"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228601</xdr:colOff>
      <xdr:row>9</xdr:row>
      <xdr:rowOff>99060</xdr:rowOff>
    </xdr:from>
    <xdr:to>
      <xdr:col>19</xdr:col>
      <xdr:colOff>34717</xdr:colOff>
      <xdr:row>22</xdr:row>
      <xdr:rowOff>44324</xdr:rowOff>
    </xdr:to>
    <xdr:pic>
      <xdr:nvPicPr>
        <xdr:cNvPr id="2" name="Picture 1">
          <a:extLst>
            <a:ext uri="{FF2B5EF4-FFF2-40B4-BE49-F238E27FC236}">
              <a16:creationId xmlns:a16="http://schemas.microsoft.com/office/drawing/2014/main" id="{1E79F607-CBB7-2B95-D8B5-25009B390AF1}"/>
            </a:ext>
          </a:extLst>
        </xdr:cNvPr>
        <xdr:cNvPicPr>
          <a:picLocks noChangeAspect="1"/>
        </xdr:cNvPicPr>
      </xdr:nvPicPr>
      <xdr:blipFill>
        <a:blip xmlns:r="http://schemas.openxmlformats.org/officeDocument/2006/relationships" r:embed="rId1"/>
        <a:stretch>
          <a:fillRect/>
        </a:stretch>
      </xdr:blipFill>
      <xdr:spPr>
        <a:xfrm>
          <a:off x="8435341" y="1600200"/>
          <a:ext cx="4934376" cy="2581784"/>
        </a:xfrm>
        <a:prstGeom prst="rect">
          <a:avLst/>
        </a:prstGeom>
      </xdr:spPr>
    </xdr:pic>
    <xdr:clientData/>
  </xdr:twoCellAnchor>
</xdr:wsDr>
</file>

<file path=xl/theme/theme1.xml><?xml version="1.0" encoding="utf-8"?>
<a:theme xmlns:a="http://schemas.openxmlformats.org/drawingml/2006/main" name="Office Theme">
  <a:themeElements>
    <a:clrScheme name="NiceColors">
      <a:dk1>
        <a:sysClr val="windowText" lastClr="000000"/>
      </a:dk1>
      <a:lt1>
        <a:sysClr val="window" lastClr="FFFFFF"/>
      </a:lt1>
      <a:dk2>
        <a:srgbClr val="455B69"/>
      </a:dk2>
      <a:lt2>
        <a:srgbClr val="E7E6E6"/>
      </a:lt2>
      <a:accent1>
        <a:srgbClr val="F59E00"/>
      </a:accent1>
      <a:accent2>
        <a:srgbClr val="A6B727"/>
      </a:accent2>
      <a:accent3>
        <a:srgbClr val="2E96A4"/>
      </a:accent3>
      <a:accent4>
        <a:srgbClr val="FEC306"/>
      </a:accent4>
      <a:accent5>
        <a:srgbClr val="997A9E"/>
      </a:accent5>
      <a:accent6>
        <a:srgbClr val="F4A6C9"/>
      </a:accent6>
      <a:hlink>
        <a:srgbClr val="000000"/>
      </a:hlink>
      <a:folHlink>
        <a:srgbClr val="F59E0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79424-F343-4DA5-93E2-0C40161FD845}">
  <dimension ref="B1:AA32"/>
  <sheetViews>
    <sheetView tabSelected="1" zoomScaleNormal="100" workbookViewId="0">
      <selection activeCell="E14" sqref="E14"/>
    </sheetView>
  </sheetViews>
  <sheetFormatPr defaultColWidth="8.88671875" defaultRowHeight="14.4" x14ac:dyDescent="0.3"/>
  <cols>
    <col min="1" max="1" width="2.6640625" customWidth="1"/>
    <col min="2" max="2" width="22.33203125" bestFit="1" customWidth="1"/>
    <col min="3" max="3" width="17.6640625" customWidth="1"/>
    <col min="6" max="6" width="12.5546875" customWidth="1"/>
    <col min="7" max="13" width="9.33203125" customWidth="1"/>
    <col min="14" max="14" width="9.21875" customWidth="1"/>
    <col min="15" max="15" width="10.21875" customWidth="1"/>
    <col min="16" max="18" width="9.21875" customWidth="1"/>
    <col min="19" max="19" width="9" customWidth="1"/>
    <col min="20" max="21" width="10.44140625" customWidth="1"/>
  </cols>
  <sheetData>
    <row r="1" spans="2:14" ht="15" thickBot="1" x14ac:dyDescent="0.35"/>
    <row r="2" spans="2:14" ht="15" thickBot="1" x14ac:dyDescent="0.35">
      <c r="B2" s="10" t="s">
        <v>18</v>
      </c>
      <c r="C2" s="11"/>
      <c r="D2" s="11"/>
      <c r="E2" s="11"/>
      <c r="F2" s="11"/>
      <c r="G2" s="11"/>
      <c r="H2" s="11"/>
      <c r="I2" s="11"/>
      <c r="J2" s="11"/>
      <c r="K2" s="11"/>
      <c r="L2" s="11"/>
      <c r="M2" s="11"/>
      <c r="N2" s="12"/>
    </row>
    <row r="3" spans="2:14" x14ac:dyDescent="0.3">
      <c r="B3" s="21" t="s">
        <v>19</v>
      </c>
      <c r="C3" s="3" t="s">
        <v>46</v>
      </c>
      <c r="D3" s="3"/>
      <c r="E3" s="3"/>
      <c r="F3" s="3"/>
      <c r="G3" s="3"/>
      <c r="H3" s="3"/>
      <c r="I3" s="3"/>
      <c r="J3" s="3"/>
      <c r="K3" s="3"/>
      <c r="L3" s="3"/>
      <c r="M3" s="3"/>
      <c r="N3" s="4"/>
    </row>
    <row r="4" spans="2:14" x14ac:dyDescent="0.3">
      <c r="B4" s="22" t="s">
        <v>20</v>
      </c>
      <c r="C4" t="s">
        <v>55</v>
      </c>
      <c r="N4" s="6"/>
    </row>
    <row r="5" spans="2:14" x14ac:dyDescent="0.3">
      <c r="B5" s="22" t="s">
        <v>21</v>
      </c>
      <c r="C5" s="52">
        <v>2010</v>
      </c>
      <c r="N5" s="6"/>
    </row>
    <row r="6" spans="2:14" x14ac:dyDescent="0.3">
      <c r="B6" s="22" t="s">
        <v>22</v>
      </c>
      <c r="C6" t="s">
        <v>82</v>
      </c>
      <c r="N6" s="6"/>
    </row>
    <row r="7" spans="2:14" ht="59.4" customHeight="1" thickBot="1" x14ac:dyDescent="0.35">
      <c r="B7" s="51" t="s">
        <v>83</v>
      </c>
      <c r="C7" s="56" t="s">
        <v>84</v>
      </c>
      <c r="D7" s="57"/>
      <c r="E7" s="57"/>
      <c r="F7" s="57"/>
      <c r="G7" s="57"/>
      <c r="H7" s="57"/>
      <c r="I7" s="57"/>
      <c r="J7" s="57"/>
      <c r="K7" s="57"/>
      <c r="L7" s="57"/>
      <c r="M7" s="57"/>
      <c r="N7" s="58"/>
    </row>
    <row r="8" spans="2:14" ht="15" thickBot="1" x14ac:dyDescent="0.35"/>
    <row r="9" spans="2:14" ht="15" thickBot="1" x14ac:dyDescent="0.35">
      <c r="B9" s="10" t="s">
        <v>23</v>
      </c>
      <c r="C9" s="19"/>
      <c r="E9" s="10" t="s">
        <v>27</v>
      </c>
      <c r="F9" s="18"/>
      <c r="G9" s="18"/>
      <c r="H9" s="18"/>
      <c r="I9" s="18"/>
      <c r="J9" s="19"/>
    </row>
    <row r="10" spans="2:14" ht="15" thickBot="1" x14ac:dyDescent="0.35">
      <c r="B10" s="21" t="s">
        <v>24</v>
      </c>
      <c r="C10" s="6" t="s">
        <v>61</v>
      </c>
      <c r="E10" s="10" t="s">
        <v>53</v>
      </c>
      <c r="F10" s="11" t="s">
        <v>54</v>
      </c>
      <c r="G10" s="10" t="s">
        <v>53</v>
      </c>
      <c r="H10" s="12" t="s">
        <v>54</v>
      </c>
      <c r="I10" s="11" t="s">
        <v>54</v>
      </c>
      <c r="J10" s="12" t="s">
        <v>13</v>
      </c>
    </row>
    <row r="11" spans="2:14" ht="15" thickBot="1" x14ac:dyDescent="0.35">
      <c r="B11" s="22" t="s">
        <v>11</v>
      </c>
      <c r="C11" s="6" t="s">
        <v>47</v>
      </c>
      <c r="E11" s="54" t="s">
        <v>5</v>
      </c>
      <c r="F11" s="55"/>
      <c r="G11" s="54" t="s">
        <v>0</v>
      </c>
      <c r="H11" s="55"/>
      <c r="I11" s="54" t="s">
        <v>0</v>
      </c>
      <c r="J11" s="55"/>
    </row>
    <row r="12" spans="2:14" x14ac:dyDescent="0.3">
      <c r="B12" s="22" t="s">
        <v>25</v>
      </c>
      <c r="C12" s="6" t="s">
        <v>48</v>
      </c>
    </row>
    <row r="13" spans="2:14" ht="30.6" customHeight="1" x14ac:dyDescent="0.3">
      <c r="B13" s="22" t="s">
        <v>26</v>
      </c>
      <c r="C13" s="32" t="s">
        <v>49</v>
      </c>
    </row>
    <row r="14" spans="2:14" ht="15" thickBot="1" x14ac:dyDescent="0.35">
      <c r="B14" s="16" t="s">
        <v>27</v>
      </c>
      <c r="C14" s="9" t="s">
        <v>50</v>
      </c>
    </row>
    <row r="15" spans="2:14" ht="15" thickBot="1" x14ac:dyDescent="0.35">
      <c r="B15" s="1"/>
      <c r="F15" s="1"/>
    </row>
    <row r="16" spans="2:14" ht="15" thickBot="1" x14ac:dyDescent="0.35">
      <c r="B16" s="10" t="s">
        <v>28</v>
      </c>
      <c r="C16" s="18"/>
      <c r="D16" s="19"/>
      <c r="F16" s="10" t="s">
        <v>29</v>
      </c>
      <c r="G16" s="18"/>
      <c r="H16" s="19"/>
    </row>
    <row r="17" spans="2:27" x14ac:dyDescent="0.3">
      <c r="B17" s="21" t="s">
        <v>30</v>
      </c>
      <c r="C17" s="3">
        <v>1.2</v>
      </c>
      <c r="D17" s="4" t="s">
        <v>6</v>
      </c>
      <c r="F17" s="21" t="s">
        <v>14</v>
      </c>
      <c r="G17" s="31">
        <v>2</v>
      </c>
      <c r="H17" s="6" t="s">
        <v>31</v>
      </c>
    </row>
    <row r="18" spans="2:27" x14ac:dyDescent="0.3">
      <c r="B18" s="22" t="s">
        <v>32</v>
      </c>
      <c r="C18">
        <v>0.08</v>
      </c>
      <c r="D18" s="6" t="s">
        <v>6</v>
      </c>
      <c r="F18" s="22" t="s">
        <v>33</v>
      </c>
      <c r="G18" s="53" t="s">
        <v>8</v>
      </c>
      <c r="H18" s="6" t="s">
        <v>34</v>
      </c>
    </row>
    <row r="19" spans="2:27" ht="15" thickBot="1" x14ac:dyDescent="0.35">
      <c r="B19" s="22" t="s">
        <v>35</v>
      </c>
      <c r="C19">
        <f>9*C20+10*C21</f>
        <v>4.9999999999999996E-2</v>
      </c>
      <c r="D19" s="6" t="s">
        <v>6</v>
      </c>
      <c r="F19" s="16" t="s">
        <v>36</v>
      </c>
      <c r="G19" s="8">
        <v>5</v>
      </c>
      <c r="H19" s="9" t="s">
        <v>34</v>
      </c>
    </row>
    <row r="20" spans="2:27" x14ac:dyDescent="0.3">
      <c r="B20" s="22" t="s">
        <v>10</v>
      </c>
      <c r="C20">
        <v>5.0000000000000001E-3</v>
      </c>
      <c r="D20" s="6" t="s">
        <v>6</v>
      </c>
    </row>
    <row r="21" spans="2:27" x14ac:dyDescent="0.3">
      <c r="B21" s="22" t="s">
        <v>15</v>
      </c>
      <c r="C21">
        <v>5.0000000000000001E-4</v>
      </c>
      <c r="D21" s="6" t="s">
        <v>6</v>
      </c>
    </row>
    <row r="22" spans="2:27" ht="15" thickBot="1" x14ac:dyDescent="0.35">
      <c r="B22" s="16" t="s">
        <v>12</v>
      </c>
      <c r="C22" s="8">
        <v>9</v>
      </c>
      <c r="D22" s="9" t="s">
        <v>2</v>
      </c>
    </row>
    <row r="23" spans="2:27" ht="15" thickBot="1" x14ac:dyDescent="0.35">
      <c r="B23" s="1"/>
    </row>
    <row r="24" spans="2:27" ht="15" thickBot="1" x14ac:dyDescent="0.35">
      <c r="B24" s="2" t="s">
        <v>37</v>
      </c>
      <c r="C24" s="3"/>
      <c r="D24" s="4"/>
      <c r="F24" s="10" t="s">
        <v>58</v>
      </c>
      <c r="G24" s="18"/>
      <c r="H24" s="18"/>
      <c r="I24" s="18"/>
      <c r="J24" s="18"/>
      <c r="K24" s="19"/>
    </row>
    <row r="25" spans="2:27" x14ac:dyDescent="0.3">
      <c r="B25" s="2" t="s">
        <v>38</v>
      </c>
      <c r="C25" s="46" t="s">
        <v>76</v>
      </c>
      <c r="D25" s="4" t="s">
        <v>16</v>
      </c>
      <c r="F25" s="22" t="s">
        <v>56</v>
      </c>
      <c r="G25" t="s">
        <v>59</v>
      </c>
      <c r="K25" s="6"/>
    </row>
    <row r="26" spans="2:27" ht="15" thickBot="1" x14ac:dyDescent="0.35">
      <c r="B26" s="20" t="s">
        <v>39</v>
      </c>
      <c r="C26" s="47" t="s">
        <v>75</v>
      </c>
      <c r="D26" s="6" t="s">
        <v>16</v>
      </c>
      <c r="F26" s="16" t="s">
        <v>57</v>
      </c>
      <c r="G26" s="8" t="s">
        <v>60</v>
      </c>
      <c r="H26" s="8"/>
      <c r="I26" s="8"/>
      <c r="J26" s="8"/>
      <c r="K26" s="9"/>
    </row>
    <row r="27" spans="2:27" ht="28.8" x14ac:dyDescent="0.3">
      <c r="B27" s="33" t="s">
        <v>40</v>
      </c>
      <c r="C27" s="34">
        <v>0.33</v>
      </c>
      <c r="D27" s="35" t="s">
        <v>17</v>
      </c>
    </row>
    <row r="28" spans="2:27" ht="15" thickBot="1" x14ac:dyDescent="0.35">
      <c r="B28" s="14" t="s">
        <v>41</v>
      </c>
      <c r="C28" s="7">
        <v>60</v>
      </c>
      <c r="D28" s="9" t="s">
        <v>51</v>
      </c>
      <c r="I28" s="36"/>
      <c r="J28" s="36"/>
      <c r="K28" s="36"/>
      <c r="L28" s="36"/>
    </row>
    <row r="32" spans="2:27" x14ac:dyDescent="0.3">
      <c r="AA32" s="36"/>
    </row>
  </sheetData>
  <mergeCells count="4">
    <mergeCell ref="E11:F11"/>
    <mergeCell ref="G11:H11"/>
    <mergeCell ref="I11:J11"/>
    <mergeCell ref="C7:N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AACF3-4D71-43B1-893D-9A37BE960341}">
  <dimension ref="A1:Y32"/>
  <sheetViews>
    <sheetView workbookViewId="0">
      <selection activeCell="AB9" sqref="AB9"/>
    </sheetView>
  </sheetViews>
  <sheetFormatPr defaultRowHeight="14.4" x14ac:dyDescent="0.3"/>
  <cols>
    <col min="24" max="24" width="10.5546875" bestFit="1" customWidth="1"/>
    <col min="25" max="25" width="10.21875" bestFit="1" customWidth="1"/>
  </cols>
  <sheetData>
    <row r="1" spans="1:25" ht="15" thickBot="1" x14ac:dyDescent="0.35">
      <c r="A1" s="2"/>
      <c r="B1" s="10" t="s">
        <v>42</v>
      </c>
      <c r="C1" s="11"/>
      <c r="D1" s="11"/>
      <c r="E1" s="11"/>
      <c r="F1" s="11"/>
      <c r="G1" s="11"/>
      <c r="H1" s="11"/>
      <c r="I1" s="11"/>
      <c r="J1" s="11"/>
      <c r="K1" s="12"/>
      <c r="L1" s="10" t="s">
        <v>43</v>
      </c>
      <c r="M1" s="11"/>
      <c r="N1" s="11"/>
      <c r="O1" s="11"/>
      <c r="P1" s="11"/>
      <c r="Q1" s="11"/>
      <c r="R1" s="11"/>
      <c r="S1" s="12"/>
      <c r="T1" s="12" t="s">
        <v>44</v>
      </c>
      <c r="U1" s="3"/>
      <c r="V1" s="3"/>
      <c r="W1" s="18"/>
      <c r="X1" s="3"/>
      <c r="Y1" s="4"/>
    </row>
    <row r="2" spans="1:25" ht="15" thickBot="1" x14ac:dyDescent="0.35">
      <c r="A2" s="14" t="s">
        <v>45</v>
      </c>
      <c r="B2" s="10" t="s">
        <v>52</v>
      </c>
      <c r="C2" s="15" t="s">
        <v>4</v>
      </c>
      <c r="D2" s="15" t="s">
        <v>9</v>
      </c>
      <c r="E2" s="15" t="s">
        <v>7</v>
      </c>
      <c r="F2" s="15" t="s">
        <v>79</v>
      </c>
      <c r="G2" s="15" t="s">
        <v>62</v>
      </c>
      <c r="H2" s="15" t="s">
        <v>78</v>
      </c>
      <c r="I2" s="15" t="s">
        <v>77</v>
      </c>
      <c r="J2" s="15" t="s">
        <v>80</v>
      </c>
      <c r="K2" s="25" t="s">
        <v>81</v>
      </c>
      <c r="L2" s="10" t="s">
        <v>64</v>
      </c>
      <c r="M2" s="11" t="s">
        <v>65</v>
      </c>
      <c r="N2" s="11" t="s">
        <v>66</v>
      </c>
      <c r="O2" s="11" t="s">
        <v>67</v>
      </c>
      <c r="P2" s="11" t="s">
        <v>68</v>
      </c>
      <c r="Q2" s="15" t="s">
        <v>69</v>
      </c>
      <c r="R2" s="15" t="s">
        <v>70</v>
      </c>
      <c r="S2" s="25" t="s">
        <v>63</v>
      </c>
      <c r="T2" s="11" t="s">
        <v>71</v>
      </c>
      <c r="U2" s="11" t="s">
        <v>72</v>
      </c>
      <c r="V2" s="11" t="s">
        <v>73</v>
      </c>
      <c r="W2" s="11" t="s">
        <v>74</v>
      </c>
      <c r="X2" s="11" t="s">
        <v>1</v>
      </c>
      <c r="Y2" s="12" t="s">
        <v>3</v>
      </c>
    </row>
    <row r="3" spans="1:25" x14ac:dyDescent="0.3">
      <c r="A3" s="13">
        <v>1</v>
      </c>
      <c r="B3" s="13" t="s">
        <v>56</v>
      </c>
      <c r="C3" s="3">
        <v>1.2</v>
      </c>
      <c r="D3" s="3">
        <v>5.0000000000000001E-3</v>
      </c>
      <c r="E3" s="3">
        <v>0.08</v>
      </c>
      <c r="F3" s="3">
        <v>1</v>
      </c>
      <c r="G3" s="3">
        <v>0.33</v>
      </c>
      <c r="H3" s="44">
        <v>1572.6850795077301</v>
      </c>
      <c r="I3" s="3">
        <v>8.23</v>
      </c>
      <c r="J3" s="30">
        <v>21.307603510506699</v>
      </c>
      <c r="K3" s="26">
        <v>21.307603510506699</v>
      </c>
      <c r="L3" s="40">
        <v>25</v>
      </c>
      <c r="M3" s="29">
        <v>6.9000000000000008E-3</v>
      </c>
      <c r="N3" s="30">
        <v>2.4</v>
      </c>
      <c r="O3" s="37">
        <v>15.6382978723404</v>
      </c>
      <c r="P3" s="29">
        <v>6.9000000000000008E-3</v>
      </c>
      <c r="Q3" s="30">
        <v>0.79200000000000004</v>
      </c>
      <c r="R3" s="48" t="s">
        <v>8</v>
      </c>
      <c r="S3" s="4">
        <v>3.3333333333333333E-6</v>
      </c>
      <c r="T3" s="40">
        <v>15.6382978723404</v>
      </c>
      <c r="U3" s="29">
        <v>6.9000000000000008E-3</v>
      </c>
      <c r="V3" s="48" t="s">
        <v>8</v>
      </c>
      <c r="W3" s="48" t="s">
        <v>8</v>
      </c>
      <c r="X3" s="30">
        <v>0.96561673167819395</v>
      </c>
      <c r="Y3" s="26">
        <v>0.566004831698811</v>
      </c>
    </row>
    <row r="4" spans="1:25" x14ac:dyDescent="0.3">
      <c r="A4" s="5">
        <v>2</v>
      </c>
      <c r="B4" s="5" t="s">
        <v>56</v>
      </c>
      <c r="C4">
        <v>1.2</v>
      </c>
      <c r="D4">
        <v>5.0000000000000001E-3</v>
      </c>
      <c r="E4">
        <v>0.08</v>
      </c>
      <c r="F4">
        <v>1</v>
      </c>
      <c r="G4">
        <v>0.33</v>
      </c>
      <c r="H4" s="42">
        <v>1544.59692874641</v>
      </c>
      <c r="I4">
        <v>8.23</v>
      </c>
      <c r="J4" s="36">
        <v>21.489305666470599</v>
      </c>
      <c r="K4" s="27">
        <v>21.489305666470599</v>
      </c>
      <c r="L4" s="39">
        <v>30.021321961620401</v>
      </c>
      <c r="M4" s="23">
        <v>6.9000000000000008E-3</v>
      </c>
      <c r="N4" s="36">
        <v>2.4</v>
      </c>
      <c r="O4" s="38">
        <v>16.595744680850999</v>
      </c>
      <c r="P4" s="23">
        <v>6.9000000000000008E-3</v>
      </c>
      <c r="Q4" s="36">
        <v>0.79200000000000004</v>
      </c>
      <c r="R4" s="49" t="s">
        <v>8</v>
      </c>
      <c r="S4" s="6">
        <v>3.3333333333333333E-6</v>
      </c>
      <c r="T4" s="39">
        <v>16.595744680850999</v>
      </c>
      <c r="U4" s="23">
        <v>6.9000000000000008E-3</v>
      </c>
      <c r="V4" s="49" t="s">
        <v>8</v>
      </c>
      <c r="W4" s="49" t="s">
        <v>8</v>
      </c>
      <c r="X4" s="36">
        <v>1.0384250790201199</v>
      </c>
      <c r="Y4" s="27">
        <v>0.62253672075563704</v>
      </c>
    </row>
    <row r="5" spans="1:25" x14ac:dyDescent="0.3">
      <c r="A5" s="5">
        <v>3</v>
      </c>
      <c r="B5" s="5" t="s">
        <v>56</v>
      </c>
      <c r="C5">
        <v>1.2</v>
      </c>
      <c r="D5">
        <v>5.0000000000000001E-3</v>
      </c>
      <c r="E5">
        <v>0.08</v>
      </c>
      <c r="F5">
        <v>1</v>
      </c>
      <c r="G5">
        <v>0.33</v>
      </c>
      <c r="H5" s="42">
        <v>1518.5317037336299</v>
      </c>
      <c r="I5">
        <v>8.23</v>
      </c>
      <c r="J5" s="36">
        <v>21.6621922731916</v>
      </c>
      <c r="K5" s="27">
        <v>21.6621922731916</v>
      </c>
      <c r="L5" s="39">
        <v>35.010660980810201</v>
      </c>
      <c r="M5" s="23">
        <v>6.9000000000000008E-3</v>
      </c>
      <c r="N5" s="36">
        <v>2.4</v>
      </c>
      <c r="O5" s="38">
        <v>17.313829787233999</v>
      </c>
      <c r="P5" s="23">
        <v>6.9000000000000008E-3</v>
      </c>
      <c r="Q5" s="36">
        <v>0.79200000000000004</v>
      </c>
      <c r="R5" s="49" t="s">
        <v>8</v>
      </c>
      <c r="S5" s="6">
        <v>3.3333333333333333E-6</v>
      </c>
      <c r="T5" s="39">
        <v>17.313829787233999</v>
      </c>
      <c r="U5" s="23">
        <v>6.9000000000000008E-3</v>
      </c>
      <c r="V5" s="49" t="s">
        <v>8</v>
      </c>
      <c r="W5" s="49" t="s">
        <v>8</v>
      </c>
      <c r="X5" s="36">
        <v>1.0896159963132599</v>
      </c>
      <c r="Y5" s="27">
        <v>0.66674297660411996</v>
      </c>
    </row>
    <row r="6" spans="1:25" x14ac:dyDescent="0.3">
      <c r="A6" s="5">
        <v>4</v>
      </c>
      <c r="B6" s="5" t="s">
        <v>56</v>
      </c>
      <c r="C6">
        <v>1.2</v>
      </c>
      <c r="D6">
        <v>5.0000000000000001E-3</v>
      </c>
      <c r="E6">
        <v>0.08</v>
      </c>
      <c r="F6">
        <v>1</v>
      </c>
      <c r="G6">
        <v>0.33</v>
      </c>
      <c r="H6" s="42">
        <v>1493.5904615284401</v>
      </c>
      <c r="I6">
        <v>8.23</v>
      </c>
      <c r="J6" s="36">
        <v>21.8316362236271</v>
      </c>
      <c r="K6" s="27">
        <v>21.8316362236271</v>
      </c>
      <c r="L6" s="39">
        <v>39.904051172707803</v>
      </c>
      <c r="M6" s="23">
        <v>6.9000000000000008E-3</v>
      </c>
      <c r="N6" s="36">
        <v>2.4</v>
      </c>
      <c r="O6" s="38">
        <v>18.031914893617</v>
      </c>
      <c r="P6" s="23">
        <v>6.9000000000000008E-3</v>
      </c>
      <c r="Q6" s="36">
        <v>0.79200000000000004</v>
      </c>
      <c r="R6" s="49" t="s">
        <v>8</v>
      </c>
      <c r="S6" s="6">
        <v>3.3333333333333333E-6</v>
      </c>
      <c r="T6" s="39">
        <v>18.031914893617</v>
      </c>
      <c r="U6" s="23">
        <v>6.9000000000000008E-3</v>
      </c>
      <c r="V6" s="49" t="s">
        <v>8</v>
      </c>
      <c r="W6" s="49" t="s">
        <v>8</v>
      </c>
      <c r="X6" s="36">
        <v>1.11612132132678</v>
      </c>
      <c r="Y6" s="27">
        <v>0.69567792472436896</v>
      </c>
    </row>
    <row r="7" spans="1:25" x14ac:dyDescent="0.3">
      <c r="A7" s="5">
        <v>5</v>
      </c>
      <c r="B7" s="5" t="s">
        <v>56</v>
      </c>
      <c r="C7">
        <v>1.2</v>
      </c>
      <c r="D7">
        <v>5.0000000000000001E-3</v>
      </c>
      <c r="E7">
        <v>0.08</v>
      </c>
      <c r="F7">
        <v>1</v>
      </c>
      <c r="G7">
        <v>0.33</v>
      </c>
      <c r="H7" s="42">
        <v>1468.68932962544</v>
      </c>
      <c r="I7">
        <v>8.23</v>
      </c>
      <c r="J7" s="36">
        <v>22.004884583135599</v>
      </c>
      <c r="K7" s="27">
        <v>22.004884583135599</v>
      </c>
      <c r="L7" s="39">
        <v>45.021321961620401</v>
      </c>
      <c r="M7" s="23">
        <v>6.9000000000000008E-3</v>
      </c>
      <c r="N7" s="36">
        <v>2.4</v>
      </c>
      <c r="O7" s="38">
        <v>18.670212765957402</v>
      </c>
      <c r="P7" s="23">
        <v>6.9000000000000008E-3</v>
      </c>
      <c r="Q7" s="36">
        <v>0.79200000000000004</v>
      </c>
      <c r="R7" s="49" t="s">
        <v>8</v>
      </c>
      <c r="S7" s="6">
        <v>3.3333333333333333E-6</v>
      </c>
      <c r="T7" s="39">
        <v>18.670212765957402</v>
      </c>
      <c r="U7" s="23">
        <v>6.9000000000000008E-3</v>
      </c>
      <c r="V7" s="49" t="s">
        <v>8</v>
      </c>
      <c r="W7" s="49" t="s">
        <v>8</v>
      </c>
      <c r="X7" s="36">
        <v>1.13602996856882</v>
      </c>
      <c r="Y7" s="27">
        <v>0.72079295049913406</v>
      </c>
    </row>
    <row r="8" spans="1:25" x14ac:dyDescent="0.3">
      <c r="A8" s="5">
        <v>6</v>
      </c>
      <c r="B8" s="5" t="s">
        <v>56</v>
      </c>
      <c r="C8">
        <v>1.2</v>
      </c>
      <c r="D8">
        <v>5.0000000000000001E-3</v>
      </c>
      <c r="E8">
        <v>0.08</v>
      </c>
      <c r="F8">
        <v>1</v>
      </c>
      <c r="G8">
        <v>0.33</v>
      </c>
      <c r="H8" s="42">
        <v>1548.4841967826301</v>
      </c>
      <c r="I8">
        <v>8.23</v>
      </c>
      <c r="J8" s="36">
        <v>21.4112177979537</v>
      </c>
      <c r="K8" s="27">
        <v>21.4112177979537</v>
      </c>
      <c r="L8" s="39">
        <v>24.808102345415701</v>
      </c>
      <c r="M8" s="23">
        <v>1.12E-2</v>
      </c>
      <c r="N8" s="36">
        <v>2.4</v>
      </c>
      <c r="O8" s="38">
        <v>19.388297872340399</v>
      </c>
      <c r="P8" s="23">
        <v>1.12E-2</v>
      </c>
      <c r="Q8" s="36">
        <v>0.79200000000000004</v>
      </c>
      <c r="R8" s="49" t="s">
        <v>8</v>
      </c>
      <c r="S8" s="6">
        <v>3.3333333333333333E-6</v>
      </c>
      <c r="T8" s="39">
        <v>19.388297872340399</v>
      </c>
      <c r="U8" s="23">
        <v>1.12E-2</v>
      </c>
      <c r="V8" s="49" t="s">
        <v>8</v>
      </c>
      <c r="W8" s="49" t="s">
        <v>8</v>
      </c>
      <c r="X8" s="36">
        <v>0.90658453405081896</v>
      </c>
      <c r="Y8" s="27">
        <v>0.59544588822201305</v>
      </c>
    </row>
    <row r="9" spans="1:25" x14ac:dyDescent="0.3">
      <c r="A9" s="5">
        <v>7</v>
      </c>
      <c r="B9" s="5" t="s">
        <v>56</v>
      </c>
      <c r="C9">
        <v>1.2</v>
      </c>
      <c r="D9">
        <v>5.0000000000000001E-3</v>
      </c>
      <c r="E9">
        <v>0.08</v>
      </c>
      <c r="F9">
        <v>1</v>
      </c>
      <c r="G9">
        <v>0.33</v>
      </c>
      <c r="H9" s="42">
        <v>1519.5586007715201</v>
      </c>
      <c r="I9">
        <v>8.23</v>
      </c>
      <c r="J9" s="36">
        <v>21.601406464617199</v>
      </c>
      <c r="K9" s="27">
        <v>21.601406464617199</v>
      </c>
      <c r="L9" s="39">
        <v>30.085287846481801</v>
      </c>
      <c r="M9" s="23">
        <v>1.12E-2</v>
      </c>
      <c r="N9" s="36">
        <v>2.4</v>
      </c>
      <c r="O9" s="38">
        <v>20.4255319148936</v>
      </c>
      <c r="P9" s="23">
        <v>1.12E-2</v>
      </c>
      <c r="Q9" s="36">
        <v>0.79200000000000004</v>
      </c>
      <c r="R9" s="49" t="s">
        <v>8</v>
      </c>
      <c r="S9" s="6">
        <v>3.3333333333333333E-6</v>
      </c>
      <c r="T9" s="39">
        <v>20.4255319148936</v>
      </c>
      <c r="U9" s="23">
        <v>1.12E-2</v>
      </c>
      <c r="V9" s="49" t="s">
        <v>8</v>
      </c>
      <c r="W9" s="49" t="s">
        <v>8</v>
      </c>
      <c r="X9" s="36">
        <v>1.0061802744836199</v>
      </c>
      <c r="Y9" s="27">
        <v>0.671653197293135</v>
      </c>
    </row>
    <row r="10" spans="1:25" x14ac:dyDescent="0.3">
      <c r="A10" s="5">
        <v>8</v>
      </c>
      <c r="B10" s="5" t="s">
        <v>56</v>
      </c>
      <c r="C10">
        <v>1.2</v>
      </c>
      <c r="D10">
        <v>5.0000000000000001E-3</v>
      </c>
      <c r="E10">
        <v>0.08</v>
      </c>
      <c r="F10">
        <v>1</v>
      </c>
      <c r="G10">
        <v>0.33</v>
      </c>
      <c r="H10" s="42">
        <v>1494.43874748492</v>
      </c>
      <c r="I10">
        <v>8.23</v>
      </c>
      <c r="J10" s="36">
        <v>21.770807382622799</v>
      </c>
      <c r="K10" s="27">
        <v>21.770807382622799</v>
      </c>
      <c r="L10" s="39">
        <v>35.010660980810201</v>
      </c>
      <c r="M10" s="23">
        <v>1.12E-2</v>
      </c>
      <c r="N10" s="36">
        <v>2.4</v>
      </c>
      <c r="O10" s="38">
        <v>21.143617021276501</v>
      </c>
      <c r="P10" s="23">
        <v>1.12E-2</v>
      </c>
      <c r="Q10" s="36">
        <v>0.79200000000000004</v>
      </c>
      <c r="R10" s="49" t="s">
        <v>8</v>
      </c>
      <c r="S10" s="6">
        <v>3.3333333333333333E-6</v>
      </c>
      <c r="T10" s="39">
        <v>21.143617021276501</v>
      </c>
      <c r="U10" s="23">
        <v>1.12E-2</v>
      </c>
      <c r="V10" s="49" t="s">
        <v>8</v>
      </c>
      <c r="W10" s="49" t="s">
        <v>8</v>
      </c>
      <c r="X10" s="36">
        <v>1.0615807561725901</v>
      </c>
      <c r="Y10" s="27">
        <v>0.71856266025277005</v>
      </c>
    </row>
    <row r="11" spans="1:25" x14ac:dyDescent="0.3">
      <c r="A11" s="5">
        <v>9</v>
      </c>
      <c r="B11" s="5" t="s">
        <v>56</v>
      </c>
      <c r="C11">
        <v>1.2</v>
      </c>
      <c r="D11">
        <v>5.0000000000000001E-3</v>
      </c>
      <c r="E11">
        <v>0.08</v>
      </c>
      <c r="F11">
        <v>1</v>
      </c>
      <c r="G11">
        <v>0.33</v>
      </c>
      <c r="H11" s="42">
        <v>1466.7091154908601</v>
      </c>
      <c r="I11">
        <v>8.23</v>
      </c>
      <c r="J11" s="36">
        <v>21.9625839240861</v>
      </c>
      <c r="K11" s="27">
        <v>21.9625839240861</v>
      </c>
      <c r="L11" s="39">
        <v>40.5437100213219</v>
      </c>
      <c r="M11" s="23">
        <v>1.12E-2</v>
      </c>
      <c r="N11" s="36">
        <v>2.4</v>
      </c>
      <c r="O11" s="38">
        <v>22.021276595744599</v>
      </c>
      <c r="P11" s="23">
        <v>1.12E-2</v>
      </c>
      <c r="Q11" s="36">
        <v>0.79200000000000004</v>
      </c>
      <c r="R11" s="49" t="s">
        <v>8</v>
      </c>
      <c r="S11" s="6">
        <v>3.3333333333333333E-6</v>
      </c>
      <c r="T11" s="39">
        <v>22.021276595744599</v>
      </c>
      <c r="U11" s="23">
        <v>1.12E-2</v>
      </c>
      <c r="V11" s="49" t="s">
        <v>8</v>
      </c>
      <c r="W11" s="49" t="s">
        <v>8</v>
      </c>
      <c r="X11" s="36">
        <v>1.086035358615</v>
      </c>
      <c r="Y11" s="27">
        <v>0.74579916893859799</v>
      </c>
    </row>
    <row r="12" spans="1:25" x14ac:dyDescent="0.3">
      <c r="A12" s="5">
        <v>10</v>
      </c>
      <c r="B12" s="5" t="s">
        <v>56</v>
      </c>
      <c r="C12">
        <v>1.2</v>
      </c>
      <c r="D12">
        <v>5.0000000000000001E-3</v>
      </c>
      <c r="E12">
        <v>0.08</v>
      </c>
      <c r="F12">
        <v>1</v>
      </c>
      <c r="G12">
        <v>0.33</v>
      </c>
      <c r="H12" s="42">
        <v>1444.3758379620699</v>
      </c>
      <c r="I12">
        <v>8.23</v>
      </c>
      <c r="J12" s="36">
        <v>22.1208352897055</v>
      </c>
      <c r="K12" s="27">
        <v>22.1208352897055</v>
      </c>
      <c r="L12" s="39">
        <v>45.053304904051103</v>
      </c>
      <c r="M12" s="23">
        <v>1.12E-2</v>
      </c>
      <c r="N12" s="36">
        <v>2.4</v>
      </c>
      <c r="O12" s="38">
        <v>22.819148936170201</v>
      </c>
      <c r="P12" s="23">
        <v>1.12E-2</v>
      </c>
      <c r="Q12" s="36">
        <v>0.79200000000000004</v>
      </c>
      <c r="R12" s="49" t="s">
        <v>8</v>
      </c>
      <c r="S12" s="6">
        <v>3.3333333333333333E-6</v>
      </c>
      <c r="T12" s="39">
        <v>22.819148936170201</v>
      </c>
      <c r="U12" s="23">
        <v>1.12E-2</v>
      </c>
      <c r="V12" s="49" t="s">
        <v>8</v>
      </c>
      <c r="W12" s="49" t="s">
        <v>8</v>
      </c>
      <c r="X12" s="36">
        <v>1.09124832536783</v>
      </c>
      <c r="Y12" s="27">
        <v>0.75760616098528299</v>
      </c>
    </row>
    <row r="13" spans="1:25" x14ac:dyDescent="0.3">
      <c r="A13" s="5">
        <v>11</v>
      </c>
      <c r="B13" s="5" t="s">
        <v>56</v>
      </c>
      <c r="C13">
        <v>1.2</v>
      </c>
      <c r="D13">
        <v>5.0000000000000001E-3</v>
      </c>
      <c r="E13">
        <v>0.08</v>
      </c>
      <c r="F13">
        <v>1</v>
      </c>
      <c r="G13">
        <v>0.33</v>
      </c>
      <c r="H13" s="42">
        <v>1479.8403618351799</v>
      </c>
      <c r="I13">
        <v>8.23</v>
      </c>
      <c r="J13" s="36">
        <v>21.7599228284774</v>
      </c>
      <c r="K13" s="27">
        <v>21.7599228284774</v>
      </c>
      <c r="L13" s="39">
        <v>30.021321961620401</v>
      </c>
      <c r="M13" s="23">
        <v>0.02</v>
      </c>
      <c r="N13" s="36">
        <v>2.4</v>
      </c>
      <c r="O13" s="38">
        <v>26.25</v>
      </c>
      <c r="P13" s="23">
        <v>0.02</v>
      </c>
      <c r="Q13" s="36">
        <v>0.79200000000000004</v>
      </c>
      <c r="R13" s="49" t="s">
        <v>8</v>
      </c>
      <c r="S13" s="6">
        <v>3.3333333333333333E-6</v>
      </c>
      <c r="T13" s="39">
        <v>26.25</v>
      </c>
      <c r="U13" s="23">
        <v>0.02</v>
      </c>
      <c r="V13" s="49" t="s">
        <v>8</v>
      </c>
      <c r="W13" s="49" t="s">
        <v>8</v>
      </c>
      <c r="X13" s="36">
        <v>0.97557892374489097</v>
      </c>
      <c r="Y13" s="27">
        <v>0.73059585241675795</v>
      </c>
    </row>
    <row r="14" spans="1:25" x14ac:dyDescent="0.3">
      <c r="A14" s="5">
        <v>12</v>
      </c>
      <c r="B14" s="5" t="s">
        <v>56</v>
      </c>
      <c r="C14">
        <v>1.2</v>
      </c>
      <c r="D14">
        <v>5.0000000000000001E-3</v>
      </c>
      <c r="E14">
        <v>0.08</v>
      </c>
      <c r="F14">
        <v>1</v>
      </c>
      <c r="G14">
        <v>0.33</v>
      </c>
      <c r="H14" s="42">
        <v>1456.14952240649</v>
      </c>
      <c r="I14">
        <v>8.23</v>
      </c>
      <c r="J14" s="36">
        <v>21.9235795473131</v>
      </c>
      <c r="K14" s="27">
        <v>21.9235795473131</v>
      </c>
      <c r="L14" s="39">
        <v>35.010660980810201</v>
      </c>
      <c r="M14" s="23">
        <v>0.02</v>
      </c>
      <c r="N14" s="36">
        <v>2.4</v>
      </c>
      <c r="O14" s="38">
        <v>26.8085106382978</v>
      </c>
      <c r="P14" s="23">
        <v>0.02</v>
      </c>
      <c r="Q14" s="36">
        <v>0.79200000000000004</v>
      </c>
      <c r="R14" s="49" t="s">
        <v>8</v>
      </c>
      <c r="S14" s="6">
        <v>3.3333333333333333E-6</v>
      </c>
      <c r="T14" s="39">
        <v>26.8085106382978</v>
      </c>
      <c r="U14" s="23">
        <v>0.02</v>
      </c>
      <c r="V14" s="49" t="s">
        <v>8</v>
      </c>
      <c r="W14" s="49" t="s">
        <v>8</v>
      </c>
      <c r="X14" s="36">
        <v>1.0700917823213001</v>
      </c>
      <c r="Y14" s="27">
        <v>0.80786811184652796</v>
      </c>
    </row>
    <row r="15" spans="1:25" x14ac:dyDescent="0.3">
      <c r="A15" s="5">
        <v>13</v>
      </c>
      <c r="B15" s="5" t="s">
        <v>56</v>
      </c>
      <c r="C15">
        <v>1.2</v>
      </c>
      <c r="D15">
        <v>5.0000000000000001E-3</v>
      </c>
      <c r="E15">
        <v>0.08</v>
      </c>
      <c r="F15">
        <v>1</v>
      </c>
      <c r="G15">
        <v>0.33</v>
      </c>
      <c r="H15" s="42">
        <v>1431.7580196229001</v>
      </c>
      <c r="I15">
        <v>8.23</v>
      </c>
      <c r="J15" s="36">
        <v>22.096076334327901</v>
      </c>
      <c r="K15" s="27">
        <v>22.096076334327901</v>
      </c>
      <c r="L15" s="39">
        <v>40</v>
      </c>
      <c r="M15" s="23">
        <v>0.02</v>
      </c>
      <c r="N15" s="36">
        <v>2.4</v>
      </c>
      <c r="O15" s="38">
        <v>27.686170212765902</v>
      </c>
      <c r="P15" s="23">
        <v>0.02</v>
      </c>
      <c r="Q15" s="36">
        <v>0.79200000000000004</v>
      </c>
      <c r="R15" s="49" t="s">
        <v>8</v>
      </c>
      <c r="S15" s="6">
        <v>3.3333333333333333E-6</v>
      </c>
      <c r="T15" s="39">
        <v>27.686170212765902</v>
      </c>
      <c r="U15" s="23">
        <v>0.02</v>
      </c>
      <c r="V15" s="49" t="s">
        <v>8</v>
      </c>
      <c r="W15" s="49" t="s">
        <v>8</v>
      </c>
      <c r="X15" s="36">
        <v>1.0688619492973399</v>
      </c>
      <c r="Y15" s="27">
        <v>0.81306872143956299</v>
      </c>
    </row>
    <row r="16" spans="1:25" x14ac:dyDescent="0.3">
      <c r="A16" s="5">
        <v>14</v>
      </c>
      <c r="B16" s="5" t="s">
        <v>56</v>
      </c>
      <c r="C16">
        <v>1.2</v>
      </c>
      <c r="D16">
        <v>5.0000000000000001E-3</v>
      </c>
      <c r="E16">
        <v>0.08</v>
      </c>
      <c r="F16">
        <v>1</v>
      </c>
      <c r="G16">
        <v>0.33</v>
      </c>
      <c r="H16" s="42">
        <v>1408.2132999493299</v>
      </c>
      <c r="I16">
        <v>8.23</v>
      </c>
      <c r="J16" s="36">
        <v>22.2665904039903</v>
      </c>
      <c r="K16" s="27">
        <v>22.2665904039903</v>
      </c>
      <c r="L16" s="39">
        <v>45.021321961620401</v>
      </c>
      <c r="M16" s="23">
        <v>0.02</v>
      </c>
      <c r="N16" s="36">
        <v>2.4</v>
      </c>
      <c r="O16" s="38">
        <v>28.484042553191401</v>
      </c>
      <c r="P16" s="23">
        <v>0.02</v>
      </c>
      <c r="Q16" s="36">
        <v>0.79200000000000004</v>
      </c>
      <c r="R16" s="49" t="s">
        <v>8</v>
      </c>
      <c r="S16" s="6">
        <v>3.3333333333333333E-6</v>
      </c>
      <c r="T16" s="39">
        <v>28.484042553191401</v>
      </c>
      <c r="U16" s="23">
        <v>0.02</v>
      </c>
      <c r="V16" s="49" t="s">
        <v>8</v>
      </c>
      <c r="W16" s="49" t="s">
        <v>8</v>
      </c>
      <c r="X16" s="36">
        <v>1.0708527957633101</v>
      </c>
      <c r="Y16" s="27">
        <v>0.82042952277610703</v>
      </c>
    </row>
    <row r="17" spans="1:25" x14ac:dyDescent="0.3">
      <c r="A17" s="5">
        <v>15</v>
      </c>
      <c r="B17" s="5" t="s">
        <v>56</v>
      </c>
      <c r="C17">
        <v>1.2</v>
      </c>
      <c r="D17">
        <v>5.0000000000000001E-3</v>
      </c>
      <c r="E17">
        <v>0.08</v>
      </c>
      <c r="F17">
        <v>1</v>
      </c>
      <c r="G17">
        <v>0.33</v>
      </c>
      <c r="H17" s="42">
        <v>1444.2332785249901</v>
      </c>
      <c r="I17">
        <v>8.23</v>
      </c>
      <c r="J17" s="36">
        <v>21.9263046653233</v>
      </c>
      <c r="K17" s="27">
        <v>21.9263046653233</v>
      </c>
      <c r="L17" s="39">
        <v>32.324093816631098</v>
      </c>
      <c r="M17" s="23">
        <v>2.64E-2</v>
      </c>
      <c r="N17" s="36">
        <v>2.4</v>
      </c>
      <c r="O17" s="38">
        <v>30</v>
      </c>
      <c r="P17" s="23">
        <v>2.64E-2</v>
      </c>
      <c r="Q17" s="36">
        <v>0.79200000000000004</v>
      </c>
      <c r="R17" s="49" t="s">
        <v>8</v>
      </c>
      <c r="S17" s="6">
        <v>3.3333333333333333E-6</v>
      </c>
      <c r="T17" s="39">
        <v>30</v>
      </c>
      <c r="U17" s="23">
        <v>2.64E-2</v>
      </c>
      <c r="V17" s="49" t="s">
        <v>8</v>
      </c>
      <c r="W17" s="49" t="s">
        <v>8</v>
      </c>
      <c r="X17" s="36">
        <v>1.0162874554306001</v>
      </c>
      <c r="Y17" s="27">
        <v>0.80046409458302203</v>
      </c>
    </row>
    <row r="18" spans="1:25" x14ac:dyDescent="0.3">
      <c r="A18" s="5">
        <v>16</v>
      </c>
      <c r="B18" s="5" t="s">
        <v>56</v>
      </c>
      <c r="C18">
        <v>1.2</v>
      </c>
      <c r="D18">
        <v>5.0000000000000001E-3</v>
      </c>
      <c r="E18">
        <v>0.08</v>
      </c>
      <c r="F18">
        <v>1</v>
      </c>
      <c r="G18">
        <v>0.33</v>
      </c>
      <c r="H18" s="42">
        <v>1429.2573727254601</v>
      </c>
      <c r="I18">
        <v>8.23</v>
      </c>
      <c r="J18" s="36">
        <v>22.0319457356767</v>
      </c>
      <c r="K18" s="27">
        <v>22.0319457356767</v>
      </c>
      <c r="L18" s="39">
        <v>35.394456289978599</v>
      </c>
      <c r="M18" s="23">
        <v>2.64E-2</v>
      </c>
      <c r="N18" s="36">
        <v>2.4</v>
      </c>
      <c r="O18" s="38">
        <v>30.5585106382978</v>
      </c>
      <c r="P18" s="23">
        <v>2.64E-2</v>
      </c>
      <c r="Q18" s="36">
        <v>0.79200000000000004</v>
      </c>
      <c r="R18" s="49" t="s">
        <v>8</v>
      </c>
      <c r="S18" s="6">
        <v>3.3333333333333333E-6</v>
      </c>
      <c r="T18" s="39">
        <v>30.5585106382978</v>
      </c>
      <c r="U18" s="23">
        <v>2.64E-2</v>
      </c>
      <c r="V18" s="49" t="s">
        <v>8</v>
      </c>
      <c r="W18" s="49" t="s">
        <v>8</v>
      </c>
      <c r="X18" s="36">
        <v>1.02380080245065</v>
      </c>
      <c r="Y18" s="27">
        <v>0.80927314665734995</v>
      </c>
    </row>
    <row r="19" spans="1:25" x14ac:dyDescent="0.3">
      <c r="A19" s="5">
        <v>17</v>
      </c>
      <c r="B19" s="5" t="s">
        <v>56</v>
      </c>
      <c r="C19">
        <v>1.2</v>
      </c>
      <c r="D19">
        <v>5.0000000000000001E-3</v>
      </c>
      <c r="E19">
        <v>0.08</v>
      </c>
      <c r="F19">
        <v>1</v>
      </c>
      <c r="G19">
        <v>0.33</v>
      </c>
      <c r="H19" s="42">
        <v>1405.9550773926501</v>
      </c>
      <c r="I19">
        <v>8.23</v>
      </c>
      <c r="J19" s="36">
        <v>22.199480156290299</v>
      </c>
      <c r="K19" s="27">
        <v>22.199480156290299</v>
      </c>
      <c r="L19" s="39">
        <v>40.287846481876301</v>
      </c>
      <c r="M19" s="23">
        <v>2.64E-2</v>
      </c>
      <c r="N19" s="36">
        <v>2.4</v>
      </c>
      <c r="O19" s="38">
        <v>31.436170212765902</v>
      </c>
      <c r="P19" s="23">
        <v>2.64E-2</v>
      </c>
      <c r="Q19" s="36">
        <v>0.79200000000000004</v>
      </c>
      <c r="R19" s="49" t="s">
        <v>8</v>
      </c>
      <c r="S19" s="6">
        <v>3.3333333333333333E-6</v>
      </c>
      <c r="T19" s="39">
        <v>31.436170212765902</v>
      </c>
      <c r="U19" s="23">
        <v>2.64E-2</v>
      </c>
      <c r="V19" s="49" t="s">
        <v>8</v>
      </c>
      <c r="W19" s="49" t="s">
        <v>8</v>
      </c>
      <c r="X19" s="36">
        <v>1.02454454578496</v>
      </c>
      <c r="Y19" s="27">
        <v>0.81429338789463601</v>
      </c>
    </row>
    <row r="20" spans="1:25" x14ac:dyDescent="0.3">
      <c r="A20" s="5">
        <v>18</v>
      </c>
      <c r="B20" s="5" t="s">
        <v>56</v>
      </c>
      <c r="C20">
        <v>1.2</v>
      </c>
      <c r="D20">
        <v>5.0000000000000001E-3</v>
      </c>
      <c r="E20">
        <v>0.08</v>
      </c>
      <c r="F20">
        <v>1</v>
      </c>
      <c r="G20">
        <v>0.33</v>
      </c>
      <c r="H20" s="42">
        <v>1384.9390688727101</v>
      </c>
      <c r="I20">
        <v>8.23</v>
      </c>
      <c r="J20" s="36">
        <v>22.353987782466199</v>
      </c>
      <c r="K20" s="27">
        <v>22.353987782466199</v>
      </c>
      <c r="L20" s="39">
        <v>44.9893390191897</v>
      </c>
      <c r="M20" s="23">
        <v>2.64E-2</v>
      </c>
      <c r="N20" s="36">
        <v>2.4</v>
      </c>
      <c r="O20" s="38">
        <v>32.074468085106297</v>
      </c>
      <c r="P20" s="23">
        <v>2.64E-2</v>
      </c>
      <c r="Q20" s="36">
        <v>0.79200000000000004</v>
      </c>
      <c r="R20" s="49" t="s">
        <v>8</v>
      </c>
      <c r="S20" s="6">
        <v>3.3333333333333333E-6</v>
      </c>
      <c r="T20" s="39">
        <v>32.074468085106297</v>
      </c>
      <c r="U20" s="23">
        <v>2.64E-2</v>
      </c>
      <c r="V20" s="49" t="s">
        <v>8</v>
      </c>
      <c r="W20" s="49" t="s">
        <v>8</v>
      </c>
      <c r="X20" s="36">
        <v>1.03900023708135</v>
      </c>
      <c r="Y20" s="27">
        <v>0.82989051707902095</v>
      </c>
    </row>
    <row r="21" spans="1:25" x14ac:dyDescent="0.3">
      <c r="A21" s="5">
        <v>19</v>
      </c>
      <c r="B21" s="5" t="s">
        <v>57</v>
      </c>
      <c r="C21">
        <v>1.2</v>
      </c>
      <c r="D21">
        <v>5.0000000000000001E-3</v>
      </c>
      <c r="E21">
        <v>0.08</v>
      </c>
      <c r="F21">
        <v>1</v>
      </c>
      <c r="G21">
        <v>0.33</v>
      </c>
      <c r="H21" s="42">
        <v>935.18441603034603</v>
      </c>
      <c r="I21">
        <v>8.23</v>
      </c>
      <c r="J21" s="36">
        <v>21.712392407652199</v>
      </c>
      <c r="K21" s="27">
        <v>21.712392407652199</v>
      </c>
      <c r="L21" s="39">
        <v>34</v>
      </c>
      <c r="M21" s="23">
        <v>1.12E-2</v>
      </c>
      <c r="N21" s="36">
        <v>1.49327507339386</v>
      </c>
      <c r="O21" s="38">
        <v>20.206185567010301</v>
      </c>
      <c r="P21" s="23">
        <v>1.12E-2</v>
      </c>
      <c r="Q21" s="36">
        <v>0.49278077421997385</v>
      </c>
      <c r="R21" s="49" t="s">
        <v>8</v>
      </c>
      <c r="S21" s="6">
        <v>3.3333333333333333E-6</v>
      </c>
      <c r="T21" s="39">
        <v>20.206185567010301</v>
      </c>
      <c r="U21" s="23">
        <v>1.12E-2</v>
      </c>
      <c r="V21" s="49" t="s">
        <v>8</v>
      </c>
      <c r="W21" s="49" t="s">
        <v>8</v>
      </c>
      <c r="X21" s="36">
        <v>1.1168225750081</v>
      </c>
      <c r="Y21" s="27">
        <v>0.75386406933887096</v>
      </c>
    </row>
    <row r="22" spans="1:25" x14ac:dyDescent="0.3">
      <c r="A22" s="5">
        <v>20</v>
      </c>
      <c r="B22" s="5" t="s">
        <v>57</v>
      </c>
      <c r="C22">
        <v>1.2</v>
      </c>
      <c r="D22">
        <v>5.0000000000000001E-3</v>
      </c>
      <c r="E22">
        <v>0.08</v>
      </c>
      <c r="F22">
        <v>1</v>
      </c>
      <c r="G22">
        <v>0.33</v>
      </c>
      <c r="H22" s="42">
        <v>1485.4810762119801</v>
      </c>
      <c r="I22">
        <v>8.23</v>
      </c>
      <c r="J22" s="36">
        <v>21.734039115769502</v>
      </c>
      <c r="K22" s="27">
        <v>21.734039115769502</v>
      </c>
      <c r="L22" s="39">
        <v>34</v>
      </c>
      <c r="M22" s="23">
        <v>1.12E-2</v>
      </c>
      <c r="N22" s="36">
        <v>2.3770225984843298</v>
      </c>
      <c r="O22" s="38">
        <v>20.9278350515463</v>
      </c>
      <c r="P22" s="23">
        <v>1.12E-2</v>
      </c>
      <c r="Q22" s="36">
        <v>0.78441745749982883</v>
      </c>
      <c r="R22" s="49" t="s">
        <v>8</v>
      </c>
      <c r="S22" s="6">
        <v>3.3333333333333333E-6</v>
      </c>
      <c r="T22" s="39">
        <v>20.9278350515463</v>
      </c>
      <c r="U22" s="23">
        <v>1.12E-2</v>
      </c>
      <c r="V22" s="49" t="s">
        <v>8</v>
      </c>
      <c r="W22" s="49" t="s">
        <v>8</v>
      </c>
      <c r="X22" s="36">
        <v>1.0585113165595299</v>
      </c>
      <c r="Y22" s="27">
        <v>0.71450350879325897</v>
      </c>
    </row>
    <row r="23" spans="1:25" x14ac:dyDescent="0.3">
      <c r="A23" s="5">
        <v>21</v>
      </c>
      <c r="B23" s="5" t="s">
        <v>57</v>
      </c>
      <c r="C23">
        <v>1.2</v>
      </c>
      <c r="D23">
        <v>5.0000000000000001E-3</v>
      </c>
      <c r="E23">
        <v>0.08</v>
      </c>
      <c r="F23">
        <v>1</v>
      </c>
      <c r="G23">
        <v>0.33</v>
      </c>
      <c r="H23" s="42">
        <v>2033.9431338951199</v>
      </c>
      <c r="I23">
        <v>8.23</v>
      </c>
      <c r="J23" s="36">
        <v>21.768037487878601</v>
      </c>
      <c r="K23" s="27">
        <v>21.768037487878601</v>
      </c>
      <c r="L23" s="39">
        <v>34</v>
      </c>
      <c r="M23" s="23">
        <v>1.12E-2</v>
      </c>
      <c r="N23" s="36">
        <v>3.2655321908923298</v>
      </c>
      <c r="O23" s="38">
        <v>22.061855670103</v>
      </c>
      <c r="P23" s="23">
        <v>1.12E-2</v>
      </c>
      <c r="Q23" s="36">
        <v>1.077625622994469</v>
      </c>
      <c r="R23" s="49" t="s">
        <v>8</v>
      </c>
      <c r="S23" s="6">
        <v>3.3333333333333333E-6</v>
      </c>
      <c r="T23" s="39">
        <v>22.061855670103</v>
      </c>
      <c r="U23" s="23">
        <v>1.12E-2</v>
      </c>
      <c r="V23" s="49" t="s">
        <v>8</v>
      </c>
      <c r="W23" s="49" t="s">
        <v>8</v>
      </c>
      <c r="X23" s="36">
        <v>0.96699503593885106</v>
      </c>
      <c r="Y23" s="27">
        <v>0.65272929571473004</v>
      </c>
    </row>
    <row r="24" spans="1:25" x14ac:dyDescent="0.3">
      <c r="A24" s="5">
        <v>22</v>
      </c>
      <c r="B24" s="5" t="s">
        <v>57</v>
      </c>
      <c r="C24">
        <v>1.2</v>
      </c>
      <c r="D24">
        <v>5.0000000000000001E-3</v>
      </c>
      <c r="E24">
        <v>0.08</v>
      </c>
      <c r="F24">
        <v>1</v>
      </c>
      <c r="G24">
        <v>0.33</v>
      </c>
      <c r="H24" s="42">
        <v>2626.6252891622999</v>
      </c>
      <c r="I24" s="36">
        <v>12.2933029735324</v>
      </c>
      <c r="J24" s="36">
        <v>32.591434470298097</v>
      </c>
      <c r="K24" s="27">
        <v>21.818994152186001</v>
      </c>
      <c r="L24" s="39">
        <v>34</v>
      </c>
      <c r="M24" s="23">
        <v>1.12E-2</v>
      </c>
      <c r="N24" s="36">
        <v>4.2381972417559899</v>
      </c>
      <c r="O24" s="38">
        <v>23.762886597938099</v>
      </c>
      <c r="P24" s="23">
        <v>1.12E-2</v>
      </c>
      <c r="Q24" s="36">
        <v>1.3986050897794766</v>
      </c>
      <c r="R24" s="49" t="s">
        <v>8</v>
      </c>
      <c r="S24" s="6">
        <v>3.3333333333333333E-6</v>
      </c>
      <c r="T24" s="39">
        <v>23.762886597938099</v>
      </c>
      <c r="U24" s="23">
        <v>1.12E-2</v>
      </c>
      <c r="V24" s="49" t="s">
        <v>8</v>
      </c>
      <c r="W24" s="49" t="s">
        <v>8</v>
      </c>
      <c r="X24" s="36">
        <v>0.82931567571305098</v>
      </c>
      <c r="Y24" s="27">
        <v>0.55979463887092396</v>
      </c>
    </row>
    <row r="25" spans="1:25" x14ac:dyDescent="0.3">
      <c r="A25" s="5">
        <v>23</v>
      </c>
      <c r="B25" s="5" t="s">
        <v>57</v>
      </c>
      <c r="C25">
        <v>1.2</v>
      </c>
      <c r="D25">
        <v>5.0000000000000001E-3</v>
      </c>
      <c r="E25">
        <v>0.08</v>
      </c>
      <c r="F25">
        <v>1</v>
      </c>
      <c r="G25">
        <v>0.33</v>
      </c>
      <c r="H25" s="42">
        <v>3186.0582817044401</v>
      </c>
      <c r="I25" s="36">
        <v>15.377428339681</v>
      </c>
      <c r="J25" s="36">
        <v>40.808289241532698</v>
      </c>
      <c r="K25" s="27">
        <v>21.840597337797799</v>
      </c>
      <c r="L25" s="39">
        <v>34</v>
      </c>
      <c r="M25" s="23">
        <v>1.12E-2</v>
      </c>
      <c r="N25" s="36">
        <v>5.1517460913497599</v>
      </c>
      <c r="O25" s="38">
        <v>24.4845360824742</v>
      </c>
      <c r="P25" s="23">
        <v>1.12E-2</v>
      </c>
      <c r="Q25" s="36">
        <v>1.7000762101454208</v>
      </c>
      <c r="R25" s="49" t="s">
        <v>8</v>
      </c>
      <c r="S25" s="6">
        <v>3.3333333333333333E-6</v>
      </c>
      <c r="T25" s="39">
        <v>24.4845360824742</v>
      </c>
      <c r="U25" s="23">
        <v>1.12E-2</v>
      </c>
      <c r="V25" s="49" t="s">
        <v>8</v>
      </c>
      <c r="W25" s="49" t="s">
        <v>8</v>
      </c>
      <c r="X25" s="36">
        <v>0.77100441726447699</v>
      </c>
      <c r="Y25" s="27">
        <v>0.52043407832531197</v>
      </c>
    </row>
    <row r="26" spans="1:25" x14ac:dyDescent="0.3">
      <c r="A26" s="5">
        <v>24</v>
      </c>
      <c r="B26" s="5" t="s">
        <v>57</v>
      </c>
      <c r="C26">
        <v>1.2</v>
      </c>
      <c r="D26">
        <v>5.0000000000000001E-3</v>
      </c>
      <c r="E26">
        <v>0.08</v>
      </c>
      <c r="F26">
        <v>1</v>
      </c>
      <c r="G26">
        <v>0.33</v>
      </c>
      <c r="H26" s="42">
        <v>3602.6847466812901</v>
      </c>
      <c r="I26" s="36">
        <v>17.520071347043899</v>
      </c>
      <c r="J26" s="36">
        <v>46.5370765524614</v>
      </c>
      <c r="K26" s="27">
        <v>21.860649562444902</v>
      </c>
      <c r="L26" s="39">
        <v>34</v>
      </c>
      <c r="M26" s="23">
        <v>1.12E-2</v>
      </c>
      <c r="N26" s="36">
        <v>5.8368437222639402</v>
      </c>
      <c r="O26" s="38">
        <v>25.154639175257699</v>
      </c>
      <c r="P26" s="23">
        <v>1.12E-2</v>
      </c>
      <c r="Q26" s="36">
        <v>1.9261584283471003</v>
      </c>
      <c r="R26" s="49" t="s">
        <v>8</v>
      </c>
      <c r="S26" s="6">
        <v>3.3333333333333333E-6</v>
      </c>
      <c r="T26" s="39">
        <v>25.154639175257699</v>
      </c>
      <c r="U26" s="23">
        <v>1.12E-2</v>
      </c>
      <c r="V26" s="49" t="s">
        <v>8</v>
      </c>
      <c r="W26" s="49" t="s">
        <v>8</v>
      </c>
      <c r="X26" s="36">
        <v>0.71674255176372104</v>
      </c>
      <c r="Y26" s="27">
        <v>0.48380689003981198</v>
      </c>
    </row>
    <row r="27" spans="1:25" x14ac:dyDescent="0.3">
      <c r="A27" s="5">
        <v>25</v>
      </c>
      <c r="B27" s="5" t="s">
        <v>57</v>
      </c>
      <c r="C27">
        <v>1.2</v>
      </c>
      <c r="D27">
        <v>5.0000000000000001E-3</v>
      </c>
      <c r="E27">
        <v>0.08</v>
      </c>
      <c r="F27">
        <v>1</v>
      </c>
      <c r="G27">
        <v>0.33</v>
      </c>
      <c r="H27" s="42">
        <v>883.66984208676899</v>
      </c>
      <c r="I27">
        <v>8.23</v>
      </c>
      <c r="J27" s="36">
        <v>21.8620320775454</v>
      </c>
      <c r="K27" s="27">
        <v>21.8620320775454</v>
      </c>
      <c r="L27" s="39">
        <v>34</v>
      </c>
      <c r="M27" s="23">
        <v>1.9E-2</v>
      </c>
      <c r="N27" s="36">
        <v>1.44585922031815</v>
      </c>
      <c r="O27" s="38">
        <v>25.670103092783499</v>
      </c>
      <c r="P27" s="23">
        <v>1.9E-2</v>
      </c>
      <c r="Q27" s="36">
        <v>0.47713354270498953</v>
      </c>
      <c r="R27" s="49" t="s">
        <v>8</v>
      </c>
      <c r="S27" s="6">
        <v>3.3333333333333333E-6</v>
      </c>
      <c r="T27" s="39">
        <v>25.670103092783499</v>
      </c>
      <c r="U27" s="23">
        <v>1.9E-2</v>
      </c>
      <c r="V27" s="49" t="s">
        <v>8</v>
      </c>
      <c r="W27" s="49" t="s">
        <v>8</v>
      </c>
      <c r="X27" s="36">
        <v>1.1184502593730301</v>
      </c>
      <c r="Y27" s="27">
        <v>0.83545640529518705</v>
      </c>
    </row>
    <row r="28" spans="1:25" x14ac:dyDescent="0.3">
      <c r="A28" s="5">
        <v>26</v>
      </c>
      <c r="B28" s="5" t="s">
        <v>57</v>
      </c>
      <c r="C28">
        <v>1.2</v>
      </c>
      <c r="D28">
        <v>5.0000000000000001E-3</v>
      </c>
      <c r="E28">
        <v>0.08</v>
      </c>
      <c r="F28">
        <v>1</v>
      </c>
      <c r="G28">
        <v>0.33</v>
      </c>
      <c r="H28" s="42">
        <v>1432.9272918387601</v>
      </c>
      <c r="I28">
        <v>8.23</v>
      </c>
      <c r="J28" s="36">
        <v>21.883341965508698</v>
      </c>
      <c r="K28" s="27">
        <v>21.883341965508698</v>
      </c>
      <c r="L28" s="39">
        <v>34</v>
      </c>
      <c r="M28" s="23">
        <v>1.9E-2</v>
      </c>
      <c r="N28" s="36">
        <v>2.3494742950774898</v>
      </c>
      <c r="O28" s="38">
        <v>26.391752577319501</v>
      </c>
      <c r="P28" s="23">
        <v>1.9E-2</v>
      </c>
      <c r="Q28" s="36">
        <v>0.77532651737557168</v>
      </c>
      <c r="R28" s="49" t="s">
        <v>8</v>
      </c>
      <c r="S28" s="6">
        <v>3.3333333333333333E-6</v>
      </c>
      <c r="T28" s="39">
        <v>26.391752577319501</v>
      </c>
      <c r="U28" s="23">
        <v>1.9E-2</v>
      </c>
      <c r="V28" s="49" t="s">
        <v>8</v>
      </c>
      <c r="W28" s="49" t="s">
        <v>8</v>
      </c>
      <c r="X28" s="36">
        <v>1.02177748785459</v>
      </c>
      <c r="Y28" s="27">
        <v>0.76324408695034496</v>
      </c>
    </row>
    <row r="29" spans="1:25" x14ac:dyDescent="0.3">
      <c r="A29" s="5">
        <v>27</v>
      </c>
      <c r="B29" s="5" t="s">
        <v>57</v>
      </c>
      <c r="C29">
        <v>1.2</v>
      </c>
      <c r="D29">
        <v>5.0000000000000001E-3</v>
      </c>
      <c r="E29">
        <v>0.08</v>
      </c>
      <c r="F29">
        <v>1</v>
      </c>
      <c r="G29">
        <v>0.33</v>
      </c>
      <c r="H29" s="42">
        <v>1980.50864745785</v>
      </c>
      <c r="I29">
        <v>8.23</v>
      </c>
      <c r="J29" s="36">
        <v>21.9016004681915</v>
      </c>
      <c r="K29" s="27">
        <v>21.9016004681915</v>
      </c>
      <c r="L29" s="39">
        <v>34</v>
      </c>
      <c r="M29" s="23">
        <v>1.9E-2</v>
      </c>
      <c r="N29" s="36">
        <v>3.2531405748617401</v>
      </c>
      <c r="O29" s="38">
        <v>27.010309278350501</v>
      </c>
      <c r="P29" s="23">
        <v>1.9E-2</v>
      </c>
      <c r="Q29" s="36">
        <v>1.0735363897043744</v>
      </c>
      <c r="R29" s="49" t="s">
        <v>8</v>
      </c>
      <c r="S29" s="6">
        <v>3.3333333333333333E-6</v>
      </c>
      <c r="T29" s="39">
        <v>27.010309278350501</v>
      </c>
      <c r="U29" s="23">
        <v>1.9E-2</v>
      </c>
      <c r="V29" s="49" t="s">
        <v>8</v>
      </c>
      <c r="W29" s="49" t="s">
        <v>8</v>
      </c>
      <c r="X29" s="36">
        <v>0.93853149015815895</v>
      </c>
      <c r="Y29" s="27">
        <v>0.70106125726450896</v>
      </c>
    </row>
    <row r="30" spans="1:25" x14ac:dyDescent="0.3">
      <c r="A30" s="5">
        <v>28</v>
      </c>
      <c r="B30" s="5" t="s">
        <v>57</v>
      </c>
      <c r="C30">
        <v>1.2</v>
      </c>
      <c r="D30">
        <v>5.0000000000000001E-3</v>
      </c>
      <c r="E30">
        <v>0.08</v>
      </c>
      <c r="F30">
        <v>1</v>
      </c>
      <c r="G30">
        <v>0.33</v>
      </c>
      <c r="H30" s="42">
        <v>2584.08576835751</v>
      </c>
      <c r="I30" s="36">
        <v>12.054162747526799</v>
      </c>
      <c r="J30" s="36">
        <v>32.118523046883297</v>
      </c>
      <c r="K30" s="27">
        <v>21.9289759241125</v>
      </c>
      <c r="L30" s="39">
        <v>34</v>
      </c>
      <c r="M30" s="23">
        <v>1.9E-2</v>
      </c>
      <c r="N30" s="36">
        <v>4.2559909879156104</v>
      </c>
      <c r="O30" s="38">
        <v>27.9381443298969</v>
      </c>
      <c r="P30" s="23">
        <v>1.9E-2</v>
      </c>
      <c r="Q30" s="36">
        <v>1.4044770260121515</v>
      </c>
      <c r="R30" s="49" t="s">
        <v>8</v>
      </c>
      <c r="S30" s="6">
        <v>3.3333333333333333E-6</v>
      </c>
      <c r="T30" s="39">
        <v>27.9381443298969</v>
      </c>
      <c r="U30" s="23">
        <v>1.9E-2</v>
      </c>
      <c r="V30" s="49" t="s">
        <v>8</v>
      </c>
      <c r="W30" s="49" t="s">
        <v>8</v>
      </c>
      <c r="X30" s="36">
        <v>0.81366249361351095</v>
      </c>
      <c r="Y30" s="27">
        <v>0.60778701273575397</v>
      </c>
    </row>
    <row r="31" spans="1:25" x14ac:dyDescent="0.3">
      <c r="A31" s="5">
        <v>29</v>
      </c>
      <c r="B31" s="5" t="s">
        <v>57</v>
      </c>
      <c r="C31">
        <v>1.2</v>
      </c>
      <c r="D31">
        <v>5.0000000000000001E-3</v>
      </c>
      <c r="E31">
        <v>0.08</v>
      </c>
      <c r="F31">
        <v>1</v>
      </c>
      <c r="G31">
        <v>0.33</v>
      </c>
      <c r="H31" s="42">
        <v>3099.9193680993098</v>
      </c>
      <c r="I31" s="36">
        <v>14.9308804481986</v>
      </c>
      <c r="J31" s="36">
        <v>39.800135542903803</v>
      </c>
      <c r="K31" s="27">
        <v>21.938097800362399</v>
      </c>
      <c r="L31" s="39">
        <v>34</v>
      </c>
      <c r="M31" s="23">
        <v>1.9E-2</v>
      </c>
      <c r="N31" s="36">
        <v>5.1101420086024403</v>
      </c>
      <c r="O31" s="38">
        <v>28.247422680412299</v>
      </c>
      <c r="P31" s="23">
        <v>1.9E-2</v>
      </c>
      <c r="Q31" s="36">
        <v>1.6863468628388054</v>
      </c>
      <c r="R31" s="49" t="s">
        <v>8</v>
      </c>
      <c r="S31" s="6">
        <v>3.3333333333333333E-6</v>
      </c>
      <c r="T31" s="39">
        <v>28.247422680412299</v>
      </c>
      <c r="U31" s="23">
        <v>1.9E-2</v>
      </c>
      <c r="V31" s="49" t="s">
        <v>8</v>
      </c>
      <c r="W31" s="49" t="s">
        <v>8</v>
      </c>
      <c r="X31" s="36">
        <v>0.77203949476529599</v>
      </c>
      <c r="Y31" s="27">
        <v>0.57669559789283598</v>
      </c>
    </row>
    <row r="32" spans="1:25" ht="15" thickBot="1" x14ac:dyDescent="0.35">
      <c r="A32" s="7">
        <v>30</v>
      </c>
      <c r="B32" s="7" t="s">
        <v>57</v>
      </c>
      <c r="C32" s="8">
        <v>1.2</v>
      </c>
      <c r="D32" s="8">
        <v>5.0000000000000001E-3</v>
      </c>
      <c r="E32" s="8">
        <v>0.08</v>
      </c>
      <c r="F32" s="8">
        <v>1</v>
      </c>
      <c r="G32" s="8">
        <v>0.33</v>
      </c>
      <c r="H32" s="45">
        <v>3643.8152130898002</v>
      </c>
      <c r="I32" s="17">
        <v>17.740660218359899</v>
      </c>
      <c r="J32" s="17">
        <v>47.316168234463902</v>
      </c>
      <c r="K32" s="28">
        <v>21.950257756846799</v>
      </c>
      <c r="L32" s="43">
        <v>34</v>
      </c>
      <c r="M32" s="24">
        <v>1.9E-2</v>
      </c>
      <c r="N32" s="17">
        <v>6.0139106984365398</v>
      </c>
      <c r="O32" s="41">
        <v>28.659793814432899</v>
      </c>
      <c r="P32" s="24">
        <v>1.9E-2</v>
      </c>
      <c r="Q32" s="17">
        <v>1.9845905304840583</v>
      </c>
      <c r="R32" s="50" t="s">
        <v>8</v>
      </c>
      <c r="S32" s="9">
        <v>3.3333333333333333E-6</v>
      </c>
      <c r="T32" s="43">
        <v>28.659793814432899</v>
      </c>
      <c r="U32" s="24">
        <v>1.9E-2</v>
      </c>
      <c r="V32" s="50" t="s">
        <v>8</v>
      </c>
      <c r="W32" s="50" t="s">
        <v>8</v>
      </c>
      <c r="X32" s="17">
        <v>0.71698972209507505</v>
      </c>
      <c r="Y32" s="28">
        <v>0.53557469439091199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0A631236513B9418E5AF68A800ACA79" ma:contentTypeVersion="6" ma:contentTypeDescription="Crée un document." ma:contentTypeScope="" ma:versionID="ad3ecf216e08acb36b19aa337e871f12">
  <xsd:schema xmlns:xsd="http://www.w3.org/2001/XMLSchema" xmlns:xs="http://www.w3.org/2001/XMLSchema" xmlns:p="http://schemas.microsoft.com/office/2006/metadata/properties" xmlns:ns2="fbd837e5-054a-49eb-b52b-3e79ba6bda81" xmlns:ns3="16cc8f85-dc4c-4d27-a03f-db68d60dd571" targetNamespace="http://schemas.microsoft.com/office/2006/metadata/properties" ma:root="true" ma:fieldsID="d7cb4eca1a466029dd2fc18150b16dd5" ns2:_="" ns3:_="">
    <xsd:import namespace="fbd837e5-054a-49eb-b52b-3e79ba6bda81"/>
    <xsd:import namespace="16cc8f85-dc4c-4d27-a03f-db68d60dd57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d837e5-054a-49eb-b52b-3e79ba6bda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c8f85-dc4c-4d27-a03f-db68d60dd571"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2E9B0F2-0F1F-4FE4-8066-C13DC92A4B39}">
  <ds:schemaRefs>
    <ds:schemaRef ds:uri="http://schemas.microsoft.com/sharepoint/v3/contenttype/forms"/>
  </ds:schemaRefs>
</ds:datastoreItem>
</file>

<file path=customXml/itemProps2.xml><?xml version="1.0" encoding="utf-8"?>
<ds:datastoreItem xmlns:ds="http://schemas.openxmlformats.org/officeDocument/2006/customXml" ds:itemID="{C912D4EC-DADE-4A96-BF02-5A15107DDA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d837e5-054a-49eb-b52b-3e79ba6bda81"/>
    <ds:schemaRef ds:uri="16cc8f85-dc4c-4d27-a03f-db68d60dd5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BF5B01B-DE67-44CC-B4C3-E4CCF84B6011}">
  <ds:schemaRefs>
    <ds:schemaRef ds:uri="http://schemas.microsoft.com/office/2006/metadata/properties"/>
    <ds:schemaRef ds:uri="http://schemas.microsoft.com/office/infopath/2007/PartnerControls"/>
    <ds:schemaRef ds:uri="http://purl.org/dc/dcmitype/"/>
    <ds:schemaRef ds:uri="http://purl.org/dc/terms/"/>
    <ds:schemaRef ds:uri="http://purl.org/dc/elements/1.1/"/>
    <ds:schemaRef ds:uri="http://schemas.openxmlformats.org/package/2006/metadata/core-properties"/>
    <ds:schemaRef ds:uri="http://schemas.microsoft.com/office/2006/documentManagement/types"/>
    <ds:schemaRef ds:uri="16cc8f85-dc4c-4d27-a03f-db68d60dd571"/>
    <ds:schemaRef ds:uri="fbd837e5-054a-49eb-b52b-3e79ba6bda81"/>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Riangvilaikul2010</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Zeoli Alanis</dc:creator>
  <cp:keywords/>
  <dc:description/>
  <cp:lastModifiedBy>Zeoli Alanis</cp:lastModifiedBy>
  <cp:revision/>
  <dcterms:created xsi:type="dcterms:W3CDTF">2023-10-02T08:13:39Z</dcterms:created>
  <dcterms:modified xsi:type="dcterms:W3CDTF">2026-01-28T07:50:39Z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0x010100D0A631236513B9418E5AF68A800ACA79</vt:lpwstr>
  </property>
</Properties>
</file>