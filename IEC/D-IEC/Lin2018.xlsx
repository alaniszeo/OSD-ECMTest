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Z\alaniszeo_git\EC-generic-model\Database_for_model_validation\D-IEC\"/>
    </mc:Choice>
  </mc:AlternateContent>
  <xr:revisionPtr revIDLastSave="0" documentId="13_ncr:1_{B16049BE-33F4-4C35-8A55-37C85C13F417}" xr6:coauthVersionLast="47" xr6:coauthVersionMax="47" xr10:uidLastSave="{00000000-0000-0000-0000-000000000000}"/>
  <bookViews>
    <workbookView xWindow="-108" yWindow="-108" windowWidth="30936" windowHeight="16776" xr2:uid="{1306219A-737B-4B5D-BCFD-98C34D3C77CC}"/>
  </bookViews>
  <sheets>
    <sheet name="Lin2018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0" l="1"/>
  <c r="C19" i="10" l="1"/>
</calcChain>
</file>

<file path=xl/sharedStrings.xml><?xml version="1.0" encoding="utf-8"?>
<sst xmlns="http://schemas.openxmlformats.org/spreadsheetml/2006/main" count="93" uniqueCount="68">
  <si>
    <t>counterflow</t>
  </si>
  <si>
    <t>-</t>
  </si>
  <si>
    <t>L</t>
  </si>
  <si>
    <t>parallel</t>
  </si>
  <si>
    <t>m</t>
  </si>
  <si>
    <t>W</t>
  </si>
  <si>
    <t>NA</t>
  </si>
  <si>
    <t>h_ch</t>
  </si>
  <si>
    <t>Channel height</t>
  </si>
  <si>
    <t>Water injection type</t>
  </si>
  <si>
    <t>Number of channels</t>
  </si>
  <si>
    <t>wf</t>
  </si>
  <si>
    <t>Temperature</t>
  </si>
  <si>
    <t>Wall thickness</t>
  </si>
  <si>
    <t>m/s</t>
  </si>
  <si>
    <t>kg/kg</t>
  </si>
  <si>
    <t>Paper information</t>
  </si>
  <si>
    <t>Authors</t>
  </si>
  <si>
    <t>Title</t>
  </si>
  <si>
    <t>Year</t>
  </si>
  <si>
    <t>Data type</t>
  </si>
  <si>
    <t>HEX characteristics</t>
  </si>
  <si>
    <t>HEX type</t>
  </si>
  <si>
    <t>Water recirculation</t>
  </si>
  <si>
    <t>Wall material</t>
  </si>
  <si>
    <t>Configuration</t>
  </si>
  <si>
    <t>Geometry</t>
  </si>
  <si>
    <t>Measurement uncertainties</t>
  </si>
  <si>
    <t>Length</t>
  </si>
  <si>
    <t>K</t>
  </si>
  <si>
    <t>Width</t>
  </si>
  <si>
    <t>Humidity</t>
  </si>
  <si>
    <t>%</t>
  </si>
  <si>
    <t>Height</t>
  </si>
  <si>
    <t>Air flow</t>
  </si>
  <si>
    <t>Operating conditions</t>
  </si>
  <si>
    <t>Primary fluid velocity</t>
  </si>
  <si>
    <t>Secondary fluid velocity</t>
  </si>
  <si>
    <t>Secondary-to-Primary flow rate ratio</t>
  </si>
  <si>
    <t>Water supplied</t>
  </si>
  <si>
    <t>kg/s</t>
  </si>
  <si>
    <t>Inlet conditions</t>
  </si>
  <si>
    <t>Wet surface theory</t>
  </si>
  <si>
    <t>PCC</t>
  </si>
  <si>
    <t xml:space="preserve">Lin et al. </t>
  </si>
  <si>
    <t>On the fundamental heat and mass transfer analysis of the counter-ﬂow dew point evaporative cooler</t>
  </si>
  <si>
    <t>Test</t>
  </si>
  <si>
    <t>pd</t>
  </si>
  <si>
    <t>sw</t>
  </si>
  <si>
    <t>A</t>
  </si>
  <si>
    <t>B</t>
  </si>
  <si>
    <t>D-IEC</t>
  </si>
  <si>
    <t>Experimental data, extracted from graphs - Temperature profile</t>
  </si>
  <si>
    <t>Polymer sheet + cellulose</t>
  </si>
  <si>
    <t>K-wb</t>
  </si>
  <si>
    <t>x</t>
  </si>
  <si>
    <t>Tested conditions</t>
  </si>
  <si>
    <t>T_wf</t>
  </si>
  <si>
    <t>T_pd</t>
  </si>
  <si>
    <t>T_sw</t>
  </si>
  <si>
    <t>SPR</t>
  </si>
  <si>
    <t>T_pdi</t>
  </si>
  <si>
    <t>w_pdi</t>
  </si>
  <si>
    <t>v_pdi</t>
  </si>
  <si>
    <t>w_sw</t>
  </si>
  <si>
    <t>Evolution along channel</t>
  </si>
  <si>
    <t>Description</t>
  </si>
  <si>
    <t>Horizontal 4-channel counterflow D-IEC with an impervious polymer sheet to separate the dry and wet channels, and a piece of natural-fiber cellulose pasted on the wet channel side to absorb and retain water. Investigation of temperature and humidity of the primary air, secondary air, and water film by placing 8 RTD temperature sensor probes along the channels in each of the three flows. Evolution of the temperature and humidity profiles inside the exchanger provided for two sets of inlet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</si>
</sst>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6" xfId="0" applyFont="1" applyBorder="1"/>
    <xf numFmtId="0" fontId="1" fillId="0" borderId="7" xfId="0" applyFont="1" applyBorder="1"/>
    <xf numFmtId="0" fontId="1" fillId="0" borderId="14" xfId="0" applyFont="1" applyBorder="1"/>
    <xf numFmtId="0" fontId="0" fillId="0" borderId="10" xfId="0" applyBorder="1"/>
    <xf numFmtId="0" fontId="0" fillId="0" borderId="11" xfId="0" applyBorder="1"/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0" fontId="1" fillId="0" borderId="8" xfId="0" applyFont="1" applyBorder="1"/>
    <xf numFmtId="0" fontId="0" fillId="0" borderId="0" xfId="0" quotePrefix="1"/>
    <xf numFmtId="0" fontId="1" fillId="0" borderId="4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2" fontId="0" fillId="0" borderId="0" xfId="0" applyNumberFormat="1"/>
    <xf numFmtId="165" fontId="0" fillId="0" borderId="0" xfId="0" applyNumberFormat="1"/>
    <xf numFmtId="165" fontId="0" fillId="0" borderId="7" xfId="0" applyNumberFormat="1" applyBorder="1"/>
    <xf numFmtId="1" fontId="0" fillId="0" borderId="0" xfId="0" applyNumberFormat="1"/>
    <xf numFmtId="165" fontId="0" fillId="0" borderId="5" xfId="0" applyNumberFormat="1" applyBorder="1"/>
    <xf numFmtId="165" fontId="0" fillId="0" borderId="8" xfId="0" applyNumberFormat="1" applyBorder="1"/>
    <xf numFmtId="0" fontId="0" fillId="0" borderId="6" xfId="0" applyBorder="1" applyAlignment="1">
      <alignment horizontal="right"/>
    </xf>
    <xf numFmtId="0" fontId="1" fillId="0" borderId="14" xfId="0" applyFont="1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11</xdr:row>
      <xdr:rowOff>91440</xdr:rowOff>
    </xdr:from>
    <xdr:to>
      <xdr:col>22</xdr:col>
      <xdr:colOff>190500</xdr:colOff>
      <xdr:row>25</xdr:row>
      <xdr:rowOff>137515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777779-0F9A-FF4A-F23D-ED9375917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5280" y="2712720"/>
          <a:ext cx="7772400" cy="2659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iceColors">
      <a:dk1>
        <a:sysClr val="windowText" lastClr="000000"/>
      </a:dk1>
      <a:lt1>
        <a:sysClr val="window" lastClr="FFFFFF"/>
      </a:lt1>
      <a:dk2>
        <a:srgbClr val="455B69"/>
      </a:dk2>
      <a:lt2>
        <a:srgbClr val="E7E6E6"/>
      </a:lt2>
      <a:accent1>
        <a:srgbClr val="F59E00"/>
      </a:accent1>
      <a:accent2>
        <a:srgbClr val="A6B727"/>
      </a:accent2>
      <a:accent3>
        <a:srgbClr val="2E96A4"/>
      </a:accent3>
      <a:accent4>
        <a:srgbClr val="FEC306"/>
      </a:accent4>
      <a:accent5>
        <a:srgbClr val="997A9E"/>
      </a:accent5>
      <a:accent6>
        <a:srgbClr val="F4A6C9"/>
      </a:accent6>
      <a:hlink>
        <a:srgbClr val="000000"/>
      </a:hlink>
      <a:folHlink>
        <a:srgbClr val="F59E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9EAB-CEC8-4841-BDBE-97019AE4A318}">
  <dimension ref="B1:U61"/>
  <sheetViews>
    <sheetView tabSelected="1" zoomScaleNormal="100" workbookViewId="0">
      <selection activeCell="J25" sqref="J25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21.5546875" customWidth="1"/>
    <col min="6" max="6" width="12.44140625" customWidth="1"/>
    <col min="7" max="13" width="9.33203125" customWidth="1"/>
    <col min="14" max="21" width="9.44140625" customWidth="1"/>
  </cols>
  <sheetData>
    <row r="1" spans="2:15" ht="15" thickBot="1" x14ac:dyDescent="0.35"/>
    <row r="2" spans="2:15" ht="15" thickBot="1" x14ac:dyDescent="0.35">
      <c r="B2" s="10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2:15" x14ac:dyDescent="0.3">
      <c r="B3" s="20" t="s">
        <v>17</v>
      </c>
      <c r="C3" s="13" t="s">
        <v>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x14ac:dyDescent="0.3">
      <c r="B4" s="21" t="s">
        <v>18</v>
      </c>
      <c r="C4" s="5" t="s">
        <v>45</v>
      </c>
      <c r="O4" s="6"/>
    </row>
    <row r="5" spans="2:15" x14ac:dyDescent="0.3">
      <c r="B5" s="21" t="s">
        <v>19</v>
      </c>
      <c r="C5" s="37">
        <v>2018</v>
      </c>
      <c r="O5" s="6"/>
    </row>
    <row r="6" spans="2:15" x14ac:dyDescent="0.3">
      <c r="B6" s="21" t="s">
        <v>20</v>
      </c>
      <c r="C6" s="5" t="s">
        <v>52</v>
      </c>
      <c r="O6" s="6"/>
    </row>
    <row r="7" spans="2:15" ht="58.8" customHeight="1" thickBot="1" x14ac:dyDescent="0.35">
      <c r="B7" s="36" t="s">
        <v>66</v>
      </c>
      <c r="C7" s="38" t="s">
        <v>67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</row>
    <row r="8" spans="2:15" ht="15" thickBot="1" x14ac:dyDescent="0.35"/>
    <row r="9" spans="2:15" ht="15" thickBot="1" x14ac:dyDescent="0.35">
      <c r="B9" s="10" t="s">
        <v>21</v>
      </c>
      <c r="C9" s="18"/>
      <c r="E9" s="10" t="s">
        <v>25</v>
      </c>
      <c r="F9" s="17"/>
      <c r="G9" s="17"/>
      <c r="H9" s="17"/>
      <c r="I9" s="17"/>
      <c r="J9" s="18"/>
    </row>
    <row r="10" spans="2:15" ht="15" thickBot="1" x14ac:dyDescent="0.35">
      <c r="B10" s="20" t="s">
        <v>22</v>
      </c>
      <c r="C10" s="6" t="s">
        <v>51</v>
      </c>
      <c r="E10" s="10" t="s">
        <v>47</v>
      </c>
      <c r="F10" s="11" t="s">
        <v>11</v>
      </c>
      <c r="G10" s="10" t="s">
        <v>47</v>
      </c>
      <c r="H10" s="12" t="s">
        <v>48</v>
      </c>
      <c r="I10" s="11" t="s">
        <v>48</v>
      </c>
      <c r="J10" s="12" t="s">
        <v>11</v>
      </c>
    </row>
    <row r="11" spans="2:15" ht="15" thickBot="1" x14ac:dyDescent="0.35">
      <c r="B11" s="21" t="s">
        <v>9</v>
      </c>
      <c r="C11" s="6" t="s">
        <v>42</v>
      </c>
      <c r="E11" s="42" t="s">
        <v>0</v>
      </c>
      <c r="F11" s="43"/>
      <c r="G11" s="42" t="s">
        <v>0</v>
      </c>
      <c r="H11" s="43"/>
      <c r="I11" s="42" t="s">
        <v>3</v>
      </c>
      <c r="J11" s="43"/>
    </row>
    <row r="12" spans="2:15" x14ac:dyDescent="0.3">
      <c r="B12" s="21" t="s">
        <v>23</v>
      </c>
      <c r="C12" s="6" t="s">
        <v>6</v>
      </c>
    </row>
    <row r="13" spans="2:15" x14ac:dyDescent="0.3">
      <c r="B13" s="21" t="s">
        <v>24</v>
      </c>
      <c r="C13" s="6" t="s">
        <v>53</v>
      </c>
      <c r="E13" s="1"/>
      <c r="F13" s="1"/>
      <c r="G13" s="1"/>
      <c r="H13" s="1"/>
      <c r="I13" s="1"/>
      <c r="J13" s="1"/>
    </row>
    <row r="14" spans="2:15" ht="15" thickBot="1" x14ac:dyDescent="0.35">
      <c r="B14" s="16" t="s">
        <v>25</v>
      </c>
      <c r="C14" s="9" t="s">
        <v>43</v>
      </c>
      <c r="E14" s="41"/>
      <c r="F14" s="41"/>
      <c r="G14" s="41"/>
      <c r="H14" s="41"/>
      <c r="I14" s="41"/>
      <c r="J14" s="41"/>
    </row>
    <row r="15" spans="2:15" ht="15" thickBot="1" x14ac:dyDescent="0.35">
      <c r="B15" s="1"/>
    </row>
    <row r="16" spans="2:15" ht="15" thickBot="1" x14ac:dyDescent="0.35">
      <c r="B16" s="10" t="s">
        <v>26</v>
      </c>
      <c r="C16" s="17"/>
      <c r="D16" s="18"/>
      <c r="F16" s="10" t="s">
        <v>27</v>
      </c>
      <c r="G16" s="17"/>
      <c r="H16" s="18"/>
    </row>
    <row r="17" spans="2:21" x14ac:dyDescent="0.3">
      <c r="B17" s="20" t="s">
        <v>28</v>
      </c>
      <c r="C17" s="3">
        <v>0.8</v>
      </c>
      <c r="D17" s="4" t="s">
        <v>4</v>
      </c>
      <c r="F17" s="20" t="s">
        <v>12</v>
      </c>
      <c r="G17" s="25">
        <v>0.03</v>
      </c>
      <c r="H17" s="6" t="s">
        <v>29</v>
      </c>
    </row>
    <row r="18" spans="2:21" x14ac:dyDescent="0.3">
      <c r="B18" s="21" t="s">
        <v>30</v>
      </c>
      <c r="C18">
        <v>0.18</v>
      </c>
      <c r="D18" s="6" t="s">
        <v>4</v>
      </c>
      <c r="F18" s="21" t="s">
        <v>31</v>
      </c>
      <c r="G18">
        <v>0.03</v>
      </c>
      <c r="H18" s="6" t="s">
        <v>54</v>
      </c>
    </row>
    <row r="19" spans="2:21" ht="15" thickBot="1" x14ac:dyDescent="0.35">
      <c r="B19" s="21" t="s">
        <v>33</v>
      </c>
      <c r="C19">
        <f>C20*C22</f>
        <v>1.6E-2</v>
      </c>
      <c r="D19" s="6" t="s">
        <v>4</v>
      </c>
      <c r="F19" s="16" t="s">
        <v>34</v>
      </c>
      <c r="G19" s="8">
        <v>2</v>
      </c>
      <c r="H19" s="9" t="s">
        <v>32</v>
      </c>
    </row>
    <row r="20" spans="2:21" x14ac:dyDescent="0.3">
      <c r="B20" s="21" t="s">
        <v>8</v>
      </c>
      <c r="C20">
        <f>4*0.001</f>
        <v>4.0000000000000001E-3</v>
      </c>
      <c r="D20" s="6" t="s">
        <v>4</v>
      </c>
    </row>
    <row r="21" spans="2:21" x14ac:dyDescent="0.3">
      <c r="B21" s="21" t="s">
        <v>13</v>
      </c>
      <c r="C21">
        <v>2.5000000000000001E-4</v>
      </c>
      <c r="D21" s="6" t="s">
        <v>4</v>
      </c>
    </row>
    <row r="22" spans="2:21" ht="15" thickBot="1" x14ac:dyDescent="0.35">
      <c r="B22" s="16" t="s">
        <v>10</v>
      </c>
      <c r="C22" s="8">
        <v>4</v>
      </c>
      <c r="D22" s="9" t="s">
        <v>1</v>
      </c>
    </row>
    <row r="23" spans="2:21" ht="15" thickBot="1" x14ac:dyDescent="0.35">
      <c r="B23" s="1"/>
    </row>
    <row r="24" spans="2:21" ht="15" thickBot="1" x14ac:dyDescent="0.35">
      <c r="B24" s="2" t="s">
        <v>35</v>
      </c>
      <c r="C24" s="3"/>
      <c r="D24" s="4"/>
    </row>
    <row r="25" spans="2:21" x14ac:dyDescent="0.3">
      <c r="B25" s="2" t="s">
        <v>36</v>
      </c>
      <c r="C25" s="13">
        <v>2</v>
      </c>
      <c r="D25" s="4" t="s">
        <v>14</v>
      </c>
    </row>
    <row r="26" spans="2:21" x14ac:dyDescent="0.3">
      <c r="B26" s="19" t="s">
        <v>37</v>
      </c>
      <c r="C26" s="5">
        <v>0.62</v>
      </c>
      <c r="D26" s="6" t="s">
        <v>14</v>
      </c>
    </row>
    <row r="27" spans="2:21" ht="28.8" x14ac:dyDescent="0.3">
      <c r="B27" s="26" t="s">
        <v>38</v>
      </c>
      <c r="C27" s="27">
        <v>0.31</v>
      </c>
      <c r="D27" s="28" t="s">
        <v>15</v>
      </c>
    </row>
    <row r="28" spans="2:21" ht="15" thickBot="1" x14ac:dyDescent="0.35">
      <c r="B28" s="14" t="s">
        <v>39</v>
      </c>
      <c r="C28" s="35" t="s">
        <v>6</v>
      </c>
      <c r="D28" s="9" t="s">
        <v>40</v>
      </c>
    </row>
    <row r="29" spans="2:21" ht="15" thickBot="1" x14ac:dyDescent="0.35"/>
    <row r="30" spans="2:21" ht="15" thickBot="1" x14ac:dyDescent="0.35">
      <c r="B30" s="2"/>
      <c r="C30" s="10" t="s">
        <v>56</v>
      </c>
      <c r="D30" s="11"/>
      <c r="E30" s="11"/>
      <c r="F30" s="12"/>
      <c r="G30" s="10" t="s">
        <v>41</v>
      </c>
      <c r="H30" s="11"/>
      <c r="I30" s="12"/>
      <c r="J30" s="10" t="s">
        <v>65</v>
      </c>
      <c r="K30" s="11"/>
      <c r="L30" s="10"/>
      <c r="M30" s="11"/>
      <c r="N30" s="12"/>
      <c r="O30" s="1"/>
      <c r="P30" s="1"/>
    </row>
    <row r="31" spans="2:21" ht="15" thickBot="1" x14ac:dyDescent="0.35">
      <c r="B31" s="14" t="s">
        <v>46</v>
      </c>
      <c r="C31" s="14" t="s">
        <v>2</v>
      </c>
      <c r="D31" s="15" t="s">
        <v>5</v>
      </c>
      <c r="E31" s="15" t="s">
        <v>7</v>
      </c>
      <c r="F31" s="24" t="s">
        <v>60</v>
      </c>
      <c r="G31" s="14" t="s">
        <v>61</v>
      </c>
      <c r="H31" s="15" t="s">
        <v>62</v>
      </c>
      <c r="I31" s="24" t="s">
        <v>63</v>
      </c>
      <c r="J31" s="15" t="s">
        <v>55</v>
      </c>
      <c r="K31" s="15" t="s">
        <v>58</v>
      </c>
      <c r="L31" s="15" t="s">
        <v>59</v>
      </c>
      <c r="M31" s="15" t="s">
        <v>64</v>
      </c>
      <c r="N31" s="24" t="s">
        <v>57</v>
      </c>
      <c r="O31" s="1"/>
      <c r="P31" s="1"/>
      <c r="Q31" s="1"/>
      <c r="R31" s="1"/>
      <c r="S31" s="1"/>
      <c r="T31" s="1"/>
      <c r="U31" s="1"/>
    </row>
    <row r="32" spans="2:21" x14ac:dyDescent="0.3">
      <c r="B32" s="5" t="s">
        <v>49</v>
      </c>
      <c r="C32" s="13">
        <v>0.8</v>
      </c>
      <c r="D32" s="3">
        <v>0.18</v>
      </c>
      <c r="E32" s="3">
        <v>4.0000000000000001E-3</v>
      </c>
      <c r="F32" s="4">
        <v>0.32</v>
      </c>
      <c r="G32" s="13">
        <v>32.6</v>
      </c>
      <c r="H32" s="3">
        <v>1.4E-2</v>
      </c>
      <c r="I32" s="4">
        <v>2.1</v>
      </c>
      <c r="J32" s="30">
        <v>78.780808405035003</v>
      </c>
      <c r="K32" s="30">
        <v>30.4637682217055</v>
      </c>
      <c r="L32" s="30">
        <v>27.268882233720799</v>
      </c>
      <c r="M32" s="22">
        <v>2.2643283683970269E-2</v>
      </c>
      <c r="N32" s="6">
        <v>28.1</v>
      </c>
      <c r="O32" s="32"/>
      <c r="P32" s="32"/>
      <c r="Q32" s="32"/>
      <c r="R32" s="30"/>
      <c r="S32" s="22"/>
      <c r="T32" s="29"/>
      <c r="U32" s="29"/>
    </row>
    <row r="33" spans="2:21" x14ac:dyDescent="0.3">
      <c r="B33" s="5" t="s">
        <v>49</v>
      </c>
      <c r="C33" s="5">
        <v>0.8</v>
      </c>
      <c r="D33">
        <v>0.18</v>
      </c>
      <c r="E33">
        <v>4.0000000000000001E-3</v>
      </c>
      <c r="F33" s="6">
        <v>0.32</v>
      </c>
      <c r="G33" s="5">
        <v>32.6</v>
      </c>
      <c r="H33">
        <v>1.4E-2</v>
      </c>
      <c r="I33" s="6">
        <v>2.1</v>
      </c>
      <c r="J33" s="30">
        <v>179.13248280786701</v>
      </c>
      <c r="K33" s="30">
        <v>29.0260874641864</v>
      </c>
      <c r="L33" s="30">
        <v>26.1329305658222</v>
      </c>
      <c r="M33" s="22">
        <v>2.1292960754805475E-2</v>
      </c>
      <c r="N33" s="6">
        <v>26.9</v>
      </c>
      <c r="O33" s="32"/>
      <c r="P33" s="32"/>
      <c r="Q33" s="32"/>
      <c r="R33" s="30"/>
      <c r="S33" s="22"/>
      <c r="T33" s="29"/>
      <c r="U33" s="29"/>
    </row>
    <row r="34" spans="2:21" x14ac:dyDescent="0.3">
      <c r="B34" s="5" t="s">
        <v>49</v>
      </c>
      <c r="C34" s="5">
        <v>0.8</v>
      </c>
      <c r="D34">
        <v>0.18</v>
      </c>
      <c r="E34">
        <v>4.0000000000000001E-3</v>
      </c>
      <c r="F34" s="6">
        <v>0.32</v>
      </c>
      <c r="G34" s="5">
        <v>32.6</v>
      </c>
      <c r="H34">
        <v>1.4E-2</v>
      </c>
      <c r="I34" s="6">
        <v>2.1</v>
      </c>
      <c r="J34" s="30">
        <v>280.42211661368901</v>
      </c>
      <c r="K34" s="30">
        <v>27.727536974151299</v>
      </c>
      <c r="L34" s="30">
        <v>24.900302248504801</v>
      </c>
      <c r="M34" s="22">
        <v>2.0155942300947985E-2</v>
      </c>
      <c r="N34" s="6">
        <v>25.6</v>
      </c>
      <c r="O34" s="32"/>
      <c r="P34" s="32"/>
      <c r="Q34" s="32"/>
      <c r="R34" s="30"/>
      <c r="S34" s="22"/>
      <c r="T34" s="29"/>
      <c r="U34" s="29"/>
    </row>
    <row r="35" spans="2:21" x14ac:dyDescent="0.3">
      <c r="B35" s="5" t="s">
        <v>49</v>
      </c>
      <c r="C35" s="5">
        <v>0.8</v>
      </c>
      <c r="D35">
        <v>0.18</v>
      </c>
      <c r="E35">
        <v>4.0000000000000001E-3</v>
      </c>
      <c r="F35" s="6">
        <v>0.32</v>
      </c>
      <c r="G35" s="5">
        <v>32.6</v>
      </c>
      <c r="H35">
        <v>1.4E-2</v>
      </c>
      <c r="I35" s="6">
        <v>2.1</v>
      </c>
      <c r="J35" s="30">
        <v>380.77379101652099</v>
      </c>
      <c r="K35" s="30">
        <v>26.5681167516003</v>
      </c>
      <c r="L35" s="30">
        <v>23.788518705731899</v>
      </c>
      <c r="M35" s="22">
        <v>1.9143639413760041E-2</v>
      </c>
      <c r="N35" s="6">
        <v>24.5</v>
      </c>
      <c r="O35" s="32"/>
      <c r="P35" s="32"/>
      <c r="Q35" s="32"/>
      <c r="R35" s="30"/>
      <c r="S35" s="22"/>
      <c r="T35" s="29"/>
      <c r="U35" s="29"/>
    </row>
    <row r="36" spans="2:21" x14ac:dyDescent="0.3">
      <c r="B36" s="5" t="s">
        <v>49</v>
      </c>
      <c r="C36" s="5">
        <v>0.8</v>
      </c>
      <c r="D36">
        <v>0.18</v>
      </c>
      <c r="E36">
        <v>4.0000000000000001E-3</v>
      </c>
      <c r="F36" s="6">
        <v>0.32</v>
      </c>
      <c r="G36" s="5">
        <v>32.6</v>
      </c>
      <c r="H36">
        <v>1.4E-2</v>
      </c>
      <c r="I36" s="6">
        <v>2.1</v>
      </c>
      <c r="J36" s="30">
        <v>481.12546541935399</v>
      </c>
      <c r="K36" s="30">
        <v>25.524638750331999</v>
      </c>
      <c r="L36" s="30">
        <v>22.700905362542599</v>
      </c>
      <c r="M36" s="22">
        <v>1.8266721427555494E-2</v>
      </c>
      <c r="N36" s="6">
        <v>23.4</v>
      </c>
      <c r="O36" s="32"/>
      <c r="P36" s="32"/>
      <c r="Q36" s="32"/>
      <c r="R36" s="30"/>
      <c r="S36" s="22"/>
      <c r="T36" s="29"/>
      <c r="U36" s="29"/>
    </row>
    <row r="37" spans="2:21" x14ac:dyDescent="0.3">
      <c r="B37" s="5" t="s">
        <v>49</v>
      </c>
      <c r="C37" s="5">
        <v>0.8</v>
      </c>
      <c r="D37">
        <v>0.18</v>
      </c>
      <c r="E37">
        <v>4.0000000000000001E-3</v>
      </c>
      <c r="F37" s="6">
        <v>0.32</v>
      </c>
      <c r="G37" s="5">
        <v>32.6</v>
      </c>
      <c r="H37">
        <v>1.4E-2</v>
      </c>
      <c r="I37" s="6">
        <v>2.1</v>
      </c>
      <c r="J37" s="30">
        <v>581.47713982218704</v>
      </c>
      <c r="K37" s="30">
        <v>24.550724887667499</v>
      </c>
      <c r="L37" s="30">
        <v>21.854984334386</v>
      </c>
      <c r="M37" s="22">
        <v>1.7377992440250276E-2</v>
      </c>
      <c r="N37" s="6">
        <v>22.7</v>
      </c>
      <c r="O37" s="32"/>
      <c r="P37" s="32"/>
      <c r="Q37" s="32"/>
      <c r="R37" s="30"/>
      <c r="S37" s="22"/>
      <c r="T37" s="29"/>
      <c r="U37" s="29"/>
    </row>
    <row r="38" spans="2:21" x14ac:dyDescent="0.3">
      <c r="B38" s="5" t="s">
        <v>49</v>
      </c>
      <c r="C38" s="5">
        <v>0.8</v>
      </c>
      <c r="D38">
        <v>0.18</v>
      </c>
      <c r="E38">
        <v>4.0000000000000001E-3</v>
      </c>
      <c r="F38" s="6">
        <v>0.32</v>
      </c>
      <c r="G38" s="5">
        <v>32.6</v>
      </c>
      <c r="H38">
        <v>1.4E-2</v>
      </c>
      <c r="I38" s="6">
        <v>2.1</v>
      </c>
      <c r="J38" s="30">
        <v>681.82892155530897</v>
      </c>
      <c r="K38" s="30">
        <v>23.4840588401979</v>
      </c>
      <c r="L38" s="30">
        <v>21.1299087722597</v>
      </c>
      <c r="M38" s="22">
        <v>1.6321308269160135E-2</v>
      </c>
      <c r="N38" s="6">
        <v>21.7</v>
      </c>
      <c r="O38" s="32"/>
      <c r="P38" s="32"/>
      <c r="Q38" s="32"/>
      <c r="R38" s="30"/>
      <c r="S38" s="22"/>
      <c r="T38" s="29"/>
      <c r="U38" s="29"/>
    </row>
    <row r="39" spans="2:21" x14ac:dyDescent="0.3">
      <c r="B39" s="5" t="s">
        <v>49</v>
      </c>
      <c r="C39" s="5">
        <v>0.8</v>
      </c>
      <c r="D39">
        <v>0.18</v>
      </c>
      <c r="E39">
        <v>4.0000000000000001E-3</v>
      </c>
      <c r="F39" s="6">
        <v>0.32</v>
      </c>
      <c r="G39" s="5">
        <v>32.6</v>
      </c>
      <c r="H39">
        <v>1.4E-2</v>
      </c>
      <c r="I39" s="6">
        <v>2.1</v>
      </c>
      <c r="J39" s="30">
        <v>781.24274388544302</v>
      </c>
      <c r="K39" s="30">
        <v>22.324639281072301</v>
      </c>
      <c r="L39" s="30">
        <v>21.154077588871498</v>
      </c>
      <c r="M39" s="22">
        <v>1.4841183908315443E-2</v>
      </c>
      <c r="N39" s="6">
        <v>20.399999999999999</v>
      </c>
      <c r="O39" s="32"/>
      <c r="P39" s="32"/>
      <c r="Q39" s="32"/>
      <c r="R39" s="30"/>
      <c r="S39" s="22"/>
      <c r="T39" s="29"/>
      <c r="U39" s="29"/>
    </row>
    <row r="40" spans="2:21" x14ac:dyDescent="0.3">
      <c r="B40" s="5" t="s">
        <v>50</v>
      </c>
      <c r="C40" s="5">
        <v>0.8</v>
      </c>
      <c r="D40">
        <v>0.18</v>
      </c>
      <c r="E40">
        <v>4.0000000000000001E-3</v>
      </c>
      <c r="F40" s="6">
        <v>0.31</v>
      </c>
      <c r="G40" s="5">
        <v>38.200000000000003</v>
      </c>
      <c r="H40">
        <v>1.0200000000000001E-2</v>
      </c>
      <c r="I40" s="6">
        <v>2</v>
      </c>
      <c r="J40" s="30">
        <v>77.481817784436302</v>
      </c>
      <c r="K40" s="30">
        <v>34.594593312812101</v>
      </c>
      <c r="L40" s="30">
        <v>29.5495496145675</v>
      </c>
      <c r="M40" s="22">
        <v>2.3573086118048071E-2</v>
      </c>
      <c r="N40" s="33">
        <v>30.774774291784201</v>
      </c>
      <c r="O40" s="32"/>
      <c r="P40" s="32"/>
      <c r="Q40" s="32"/>
      <c r="R40" s="30"/>
      <c r="S40" s="22"/>
      <c r="T40" s="29"/>
      <c r="U40" s="29"/>
    </row>
    <row r="41" spans="2:21" x14ac:dyDescent="0.3">
      <c r="B41" s="5" t="s">
        <v>50</v>
      </c>
      <c r="C41" s="5">
        <v>0.8</v>
      </c>
      <c r="D41">
        <v>0.18</v>
      </c>
      <c r="E41">
        <v>4.0000000000000001E-3</v>
      </c>
      <c r="F41" s="6">
        <v>0.31</v>
      </c>
      <c r="G41" s="5">
        <v>38.200000000000003</v>
      </c>
      <c r="H41">
        <v>1.0200000000000001E-2</v>
      </c>
      <c r="I41" s="6">
        <v>2</v>
      </c>
      <c r="J41" s="30">
        <v>179.17672787246499</v>
      </c>
      <c r="K41" s="30">
        <v>32.252251411663003</v>
      </c>
      <c r="L41" s="30">
        <v>27.459459125081398</v>
      </c>
      <c r="M41" s="22">
        <v>2.1399802419778971E-2</v>
      </c>
      <c r="N41" s="33">
        <v>28.7927933175805</v>
      </c>
      <c r="O41" s="32"/>
      <c r="P41" s="32"/>
      <c r="Q41" s="32"/>
      <c r="R41" s="30"/>
      <c r="S41" s="22"/>
      <c r="T41" s="29"/>
      <c r="U41" s="29"/>
    </row>
    <row r="42" spans="2:21" x14ac:dyDescent="0.3">
      <c r="B42" s="5" t="s">
        <v>50</v>
      </c>
      <c r="C42" s="5">
        <v>0.8</v>
      </c>
      <c r="D42">
        <v>0.18</v>
      </c>
      <c r="E42">
        <v>4.0000000000000001E-3</v>
      </c>
      <c r="F42" s="6">
        <v>0.31</v>
      </c>
      <c r="G42" s="5">
        <v>38.200000000000003</v>
      </c>
      <c r="H42">
        <v>1.0200000000000001E-2</v>
      </c>
      <c r="I42" s="6">
        <v>2</v>
      </c>
      <c r="J42" s="30">
        <v>277.96611343629797</v>
      </c>
      <c r="K42" s="30">
        <v>30.162160922176898</v>
      </c>
      <c r="L42" s="30">
        <v>25.585587666159899</v>
      </c>
      <c r="M42" s="22">
        <v>1.945870566288049E-2</v>
      </c>
      <c r="N42" s="33">
        <v>26.558557838716901</v>
      </c>
      <c r="O42" s="32"/>
      <c r="P42" s="32"/>
      <c r="Q42" s="32"/>
      <c r="R42" s="30"/>
      <c r="S42" s="22"/>
      <c r="T42" s="29"/>
      <c r="U42" s="29"/>
    </row>
    <row r="43" spans="2:21" x14ac:dyDescent="0.3">
      <c r="B43" s="5" t="s">
        <v>50</v>
      </c>
      <c r="C43" s="5">
        <v>0.8</v>
      </c>
      <c r="D43">
        <v>0.18</v>
      </c>
      <c r="E43">
        <v>4.0000000000000001E-3</v>
      </c>
      <c r="F43" s="6">
        <v>0.31</v>
      </c>
      <c r="G43" s="5">
        <v>38.200000000000003</v>
      </c>
      <c r="H43">
        <v>1.0200000000000001E-2</v>
      </c>
      <c r="I43" s="6">
        <v>2</v>
      </c>
      <c r="J43" s="30">
        <v>378.692515349595</v>
      </c>
      <c r="K43" s="30">
        <v>28.180179947973201</v>
      </c>
      <c r="L43" s="30">
        <v>23.8198205675262</v>
      </c>
      <c r="M43" s="22">
        <v>1.7608648080264334E-2</v>
      </c>
      <c r="N43" s="33">
        <v>24.864865812269201</v>
      </c>
      <c r="O43" s="32"/>
      <c r="P43" s="32"/>
      <c r="Q43" s="32"/>
      <c r="R43" s="30"/>
      <c r="S43" s="22"/>
      <c r="T43" s="29"/>
      <c r="U43" s="29"/>
    </row>
    <row r="44" spans="2:21" x14ac:dyDescent="0.3">
      <c r="B44" s="5" t="s">
        <v>50</v>
      </c>
      <c r="C44" s="5">
        <v>0.8</v>
      </c>
      <c r="D44">
        <v>0.18</v>
      </c>
      <c r="E44">
        <v>4.0000000000000001E-3</v>
      </c>
      <c r="F44" s="6">
        <v>0.31</v>
      </c>
      <c r="G44" s="5">
        <v>38.200000000000003</v>
      </c>
      <c r="H44">
        <v>1.0200000000000001E-2</v>
      </c>
      <c r="I44" s="6">
        <v>2</v>
      </c>
      <c r="J44" s="30">
        <v>479.418917262891</v>
      </c>
      <c r="K44" s="30">
        <v>26.342342932148</v>
      </c>
      <c r="L44" s="30">
        <v>22.2702724994571</v>
      </c>
      <c r="M44" s="22">
        <v>1.5853239833537473E-2</v>
      </c>
      <c r="N44" s="33">
        <v>23.063065301538099</v>
      </c>
      <c r="O44" s="32"/>
      <c r="P44" s="32"/>
      <c r="Q44" s="32"/>
      <c r="R44" s="30"/>
      <c r="S44" s="22"/>
    </row>
    <row r="45" spans="2:21" x14ac:dyDescent="0.3">
      <c r="B45" s="5" t="s">
        <v>50</v>
      </c>
      <c r="C45" s="5">
        <v>0.8</v>
      </c>
      <c r="D45">
        <v>0.18</v>
      </c>
      <c r="E45">
        <v>4.0000000000000001E-3</v>
      </c>
      <c r="F45" s="6">
        <v>0.31</v>
      </c>
      <c r="G45" s="5">
        <v>38.200000000000003</v>
      </c>
      <c r="H45">
        <v>1.0200000000000001E-2</v>
      </c>
      <c r="I45" s="6">
        <v>2</v>
      </c>
      <c r="J45" s="30">
        <v>578.20819198806896</v>
      </c>
      <c r="K45" s="30">
        <v>24.612613369607299</v>
      </c>
      <c r="L45" s="30">
        <v>20.396396916539899</v>
      </c>
      <c r="M45" s="22">
        <v>1.4366277278324166E-2</v>
      </c>
      <c r="N45" s="33">
        <v>21.7657676141331</v>
      </c>
      <c r="O45" s="32"/>
      <c r="P45" s="32"/>
      <c r="Q45" s="32"/>
      <c r="R45" s="30"/>
      <c r="S45" s="22"/>
    </row>
    <row r="46" spans="2:21" x14ac:dyDescent="0.3">
      <c r="B46" s="5" t="s">
        <v>50</v>
      </c>
      <c r="C46" s="5">
        <v>0.8</v>
      </c>
      <c r="D46">
        <v>0.18</v>
      </c>
      <c r="E46">
        <v>4.0000000000000001E-3</v>
      </c>
      <c r="F46" s="6">
        <v>0.31</v>
      </c>
      <c r="G46" s="5">
        <v>38.200000000000003</v>
      </c>
      <c r="H46">
        <v>1.0200000000000001E-2</v>
      </c>
      <c r="I46" s="6">
        <v>2</v>
      </c>
      <c r="J46" s="30">
        <v>678.93459390136604</v>
      </c>
      <c r="K46" s="30">
        <v>22.774777384781</v>
      </c>
      <c r="L46" s="30">
        <v>19.423426743982901</v>
      </c>
      <c r="M46" s="22">
        <v>1.2369263480410808E-2</v>
      </c>
      <c r="N46" s="33">
        <v>19.243247311509201</v>
      </c>
      <c r="O46" s="32"/>
      <c r="P46" s="32"/>
      <c r="Q46" s="32"/>
      <c r="R46" s="30"/>
      <c r="S46" s="22"/>
    </row>
    <row r="47" spans="2:21" ht="15" thickBot="1" x14ac:dyDescent="0.35">
      <c r="B47" s="7" t="s">
        <v>50</v>
      </c>
      <c r="C47" s="7">
        <v>0.8</v>
      </c>
      <c r="D47" s="8">
        <v>0.18</v>
      </c>
      <c r="E47" s="8">
        <v>4.0000000000000001E-3</v>
      </c>
      <c r="F47" s="9">
        <v>0.31</v>
      </c>
      <c r="G47" s="7">
        <v>38.200000000000003</v>
      </c>
      <c r="H47" s="8">
        <v>1.0200000000000001E-2</v>
      </c>
      <c r="I47" s="9">
        <v>2</v>
      </c>
      <c r="J47" s="31">
        <v>777.72409030385495</v>
      </c>
      <c r="K47" s="31">
        <v>20.828830853673502</v>
      </c>
      <c r="L47" s="31">
        <v>18.558562993711501</v>
      </c>
      <c r="M47" s="23">
        <v>1.0184958776541981E-2</v>
      </c>
      <c r="N47" s="34">
        <v>17.045048337739701</v>
      </c>
      <c r="O47" s="32"/>
      <c r="P47" s="32"/>
      <c r="Q47" s="32"/>
      <c r="R47" s="30"/>
      <c r="S47" s="22"/>
    </row>
    <row r="48" spans="2:21" x14ac:dyDescent="0.3">
      <c r="O48" s="22"/>
    </row>
    <row r="49" spans="15:15" x14ac:dyDescent="0.3">
      <c r="O49" s="22"/>
    </row>
    <row r="50" spans="15:15" x14ac:dyDescent="0.3">
      <c r="O50" s="22"/>
    </row>
    <row r="51" spans="15:15" x14ac:dyDescent="0.3">
      <c r="O51" s="22"/>
    </row>
    <row r="52" spans="15:15" x14ac:dyDescent="0.3">
      <c r="O52" s="22"/>
    </row>
    <row r="53" spans="15:15" x14ac:dyDescent="0.3">
      <c r="O53" s="22"/>
    </row>
    <row r="54" spans="15:15" x14ac:dyDescent="0.3">
      <c r="O54" s="22"/>
    </row>
    <row r="55" spans="15:15" x14ac:dyDescent="0.3">
      <c r="O55" s="22"/>
    </row>
    <row r="56" spans="15:15" x14ac:dyDescent="0.3">
      <c r="O56" s="22"/>
    </row>
    <row r="57" spans="15:15" x14ac:dyDescent="0.3">
      <c r="O57" s="22"/>
    </row>
    <row r="58" spans="15:15" x14ac:dyDescent="0.3">
      <c r="O58" s="22"/>
    </row>
    <row r="59" spans="15:15" x14ac:dyDescent="0.3">
      <c r="O59" s="22"/>
    </row>
    <row r="60" spans="15:15" x14ac:dyDescent="0.3">
      <c r="O60" s="22"/>
    </row>
    <row r="61" spans="15:15" x14ac:dyDescent="0.3">
      <c r="O61" s="22"/>
    </row>
  </sheetData>
  <mergeCells count="7">
    <mergeCell ref="C7:O7"/>
    <mergeCell ref="E14:F14"/>
    <mergeCell ref="G14:H14"/>
    <mergeCell ref="I14:J14"/>
    <mergeCell ref="E11:F11"/>
    <mergeCell ref="G11:H11"/>
    <mergeCell ref="I11:J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631236513B9418E5AF68A800ACA79" ma:contentTypeVersion="6" ma:contentTypeDescription="Crée un document." ma:contentTypeScope="" ma:versionID="ad3ecf216e08acb36b19aa337e871f12">
  <xsd:schema xmlns:xsd="http://www.w3.org/2001/XMLSchema" xmlns:xs="http://www.w3.org/2001/XMLSchema" xmlns:p="http://schemas.microsoft.com/office/2006/metadata/properties" xmlns:ns2="fbd837e5-054a-49eb-b52b-3e79ba6bda81" xmlns:ns3="16cc8f85-dc4c-4d27-a03f-db68d60dd571" targetNamespace="http://schemas.microsoft.com/office/2006/metadata/properties" ma:root="true" ma:fieldsID="d7cb4eca1a466029dd2fc18150b16dd5" ns2:_="" ns3:_="">
    <xsd:import namespace="fbd837e5-054a-49eb-b52b-3e79ba6bda81"/>
    <xsd:import namespace="16cc8f85-dc4c-4d27-a03f-db68d60dd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837e5-054a-49eb-b52b-3e79ba6bd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c8f85-dc4c-4d27-a03f-db68d60dd57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E9B0F2-0F1F-4FE4-8066-C13DC92A4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12D4EC-DADE-4A96-BF02-5A15107DD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837e5-054a-49eb-b52b-3e79ba6bda81"/>
    <ds:schemaRef ds:uri="16cc8f85-dc4c-4d27-a03f-db68d60dd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5B01B-DE67-44CC-B4C3-E4CCF84B601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16cc8f85-dc4c-4d27-a03f-db68d60dd571"/>
    <ds:schemaRef ds:uri="fbd837e5-054a-49eb-b52b-3e79ba6bda8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Lin2018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Zeoli Alanis</dc:creator>
  <cp:keywords/>
  <dc:description/>
  <cp:lastModifiedBy>Zeoli Alanis</cp:lastModifiedBy>
  <cp:revision/>
  <dcterms:created xsi:type="dcterms:W3CDTF">2023-10-02T08:13:39Z</dcterms:created>
  <dcterms:modified xsi:type="dcterms:W3CDTF">2025-08-12T08:57:08Z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0x010100D0A631236513B9418E5AF68A800ACA79</vt:lpwstr>
  </property>
</Properties>
</file>