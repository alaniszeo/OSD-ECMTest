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AZ\alaniszeo_git\OSD-ECMTest\IEC\D-IEC\"/>
    </mc:Choice>
  </mc:AlternateContent>
  <xr:revisionPtr revIDLastSave="0" documentId="13_ncr:1_{3CC83779-0FEB-41F5-B04C-8C81BEE19AD8}" xr6:coauthVersionLast="47" xr6:coauthVersionMax="47" xr10:uidLastSave="{00000000-0000-0000-0000-000000000000}"/>
  <bookViews>
    <workbookView xWindow="-108" yWindow="-108" windowWidth="30936" windowHeight="16776" xr2:uid="{1306219A-737B-4B5D-BCFD-98C34D3C77CC}"/>
  </bookViews>
  <sheets>
    <sheet name="Characteritics" sheetId="11" r:id="rId1"/>
    <sheet name="Data" sheetId="1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2" l="1"/>
  <c r="C11" i="12"/>
  <c r="C10" i="12"/>
  <c r="C9" i="12"/>
  <c r="C8" i="12"/>
  <c r="C7" i="12"/>
  <c r="C6" i="12"/>
  <c r="C5" i="12"/>
  <c r="C4" i="12"/>
  <c r="C3" i="12"/>
  <c r="C20" i="11" l="1"/>
  <c r="C21" i="11"/>
  <c r="D12" i="12" l="1"/>
  <c r="D8" i="12"/>
  <c r="D4" i="12"/>
  <c r="D7" i="12"/>
  <c r="D3" i="12"/>
  <c r="D11" i="12"/>
  <c r="D10" i="12"/>
  <c r="D6" i="12"/>
  <c r="D9" i="12"/>
  <c r="D5" i="12"/>
  <c r="C19" i="11"/>
</calcChain>
</file>

<file path=xl/sharedStrings.xml><?xml version="1.0" encoding="utf-8"?>
<sst xmlns="http://schemas.openxmlformats.org/spreadsheetml/2006/main" count="132" uniqueCount="89">
  <si>
    <t>C</t>
  </si>
  <si>
    <t>counterflow</t>
  </si>
  <si>
    <t>epsilon_wb</t>
  </si>
  <si>
    <t>-</t>
  </si>
  <si>
    <t>epsilon_dp</t>
  </si>
  <si>
    <t>L</t>
  </si>
  <si>
    <t>parallel</t>
  </si>
  <si>
    <t>m</t>
  </si>
  <si>
    <t>W</t>
  </si>
  <si>
    <t>NA</t>
  </si>
  <si>
    <t>h_ch</t>
  </si>
  <si>
    <t>Channel height</t>
  </si>
  <si>
    <t>Water injection type</t>
  </si>
  <si>
    <t>Number of channels</t>
  </si>
  <si>
    <t>wf</t>
  </si>
  <si>
    <t>Temperature</t>
  </si>
  <si>
    <t>Wall thickness</t>
  </si>
  <si>
    <t>m/s</t>
  </si>
  <si>
    <t>kg/kg</t>
  </si>
  <si>
    <t>Paper information</t>
  </si>
  <si>
    <t>Authors</t>
  </si>
  <si>
    <t>Title</t>
  </si>
  <si>
    <t>Year</t>
  </si>
  <si>
    <t>Data type</t>
  </si>
  <si>
    <t>HEX characteristics</t>
  </si>
  <si>
    <t>HEX type</t>
  </si>
  <si>
    <t>Water recirculation</t>
  </si>
  <si>
    <t>Wall material</t>
  </si>
  <si>
    <t>Configuration</t>
  </si>
  <si>
    <t>Geometry</t>
  </si>
  <si>
    <t>Measurement uncertainties</t>
  </si>
  <si>
    <t>Length</t>
  </si>
  <si>
    <t>K</t>
  </si>
  <si>
    <t>Width</t>
  </si>
  <si>
    <t>Humidity</t>
  </si>
  <si>
    <t>%</t>
  </si>
  <si>
    <t>Height</t>
  </si>
  <si>
    <t>Air flow</t>
  </si>
  <si>
    <t>Operating conditions</t>
  </si>
  <si>
    <t>Primary fluid velocity</t>
  </si>
  <si>
    <t>Secondary fluid velocity</t>
  </si>
  <si>
    <t>Secondary-to-Primary flow rate ratio</t>
  </si>
  <si>
    <t>Water supplied</t>
  </si>
  <si>
    <t>kg/s</t>
  </si>
  <si>
    <t>Testing conditions</t>
  </si>
  <si>
    <t>Inlet conditions</t>
  </si>
  <si>
    <t>Outlet conditions</t>
  </si>
  <si>
    <t>Run</t>
  </si>
  <si>
    <t>Experimental data, extracted from graphs</t>
  </si>
  <si>
    <t>Wet surface theory</t>
  </si>
  <si>
    <t>No</t>
  </si>
  <si>
    <t>PCC</t>
  </si>
  <si>
    <t>Towards a thermodynamically favorable dew point evaporative cooler via optimization</t>
  </si>
  <si>
    <t>K_wb</t>
  </si>
  <si>
    <t>Test</t>
  </si>
  <si>
    <t>pd</t>
  </si>
  <si>
    <t>sw</t>
  </si>
  <si>
    <t>A</t>
  </si>
  <si>
    <t>B</t>
  </si>
  <si>
    <t>Tests</t>
  </si>
  <si>
    <t>D-IEC</t>
  </si>
  <si>
    <t>PET sheet</t>
  </si>
  <si>
    <t>Varying T_pd_i</t>
  </si>
  <si>
    <t>Varying v_pd_i</t>
  </si>
  <si>
    <t>Varying S/P</t>
  </si>
  <si>
    <t>Lin et al.</t>
  </si>
  <si>
    <t>SPR</t>
  </si>
  <si>
    <t>m_dot_wf</t>
  </si>
  <si>
    <t>T_pdi</t>
  </si>
  <si>
    <t>w_pdi</t>
  </si>
  <si>
    <t>v_pdi</t>
  </si>
  <si>
    <t>T_swi</t>
  </si>
  <si>
    <t>w_swi</t>
  </si>
  <si>
    <t>v_swi</t>
  </si>
  <si>
    <t>T_wfi</t>
  </si>
  <si>
    <t>T_pdo</t>
  </si>
  <si>
    <t>w_pdo</t>
  </si>
  <si>
    <t>T_swo</t>
  </si>
  <si>
    <t>w_swo</t>
  </si>
  <si>
    <t>1.11-2</t>
  </si>
  <si>
    <t>0.37-1.59</t>
  </si>
  <si>
    <t>0.22-0.9</t>
  </si>
  <si>
    <t>Nu</t>
  </si>
  <si>
    <t>Re</t>
  </si>
  <si>
    <t>WWR</t>
  </si>
  <si>
    <t>h_T_pd</t>
  </si>
  <si>
    <t>h_T_sw</t>
  </si>
  <si>
    <t>Description</t>
  </si>
  <si>
    <t>Horizontal 20-channel counterflow D-IEC with a Polyethylene Terephthalate (PET) sheet between dry and wet channels. Thin sheet of absorbent material on the wet channel surface to circulate water through capillary action. Evaluation of the impact of the primary air temperature and velocity at the heat exchanger inlet and the recirculation ratio on the primary and secondary air outlet temperature. Outlet specific humidity of the secondary air computed by performing an energy balance on the evaporative cooler.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</si>
</sst>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57">
    <xf numFmtId="0" fontId="0" fillId="0" borderId="0" xfId="0"/>
    <xf numFmtId="0" fontId="1" fillId="0" borderId="0" xfId="0" applyFont="1"/>
    <xf numFmtId="0" fontId="1" fillId="0" borderId="1" xfId="0" applyFon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9" xfId="0" applyFont="1" applyBorder="1"/>
    <xf numFmtId="0" fontId="1" fillId="0" borderId="10" xfId="0" applyFont="1" applyBorder="1"/>
    <xf numFmtId="0" fontId="1" fillId="0" borderId="11" xfId="0" applyFont="1" applyBorder="1"/>
    <xf numFmtId="0" fontId="0" fillId="0" borderId="1" xfId="0" applyBorder="1"/>
    <xf numFmtId="0" fontId="1" fillId="0" borderId="6" xfId="0" applyFont="1" applyBorder="1"/>
    <xf numFmtId="0" fontId="1" fillId="0" borderId="7" xfId="0" applyFont="1" applyBorder="1"/>
    <xf numFmtId="0" fontId="1" fillId="0" borderId="14" xfId="0" applyFont="1" applyBorder="1"/>
    <xf numFmtId="2" fontId="0" fillId="0" borderId="7" xfId="0" applyNumberFormat="1" applyBorder="1"/>
    <xf numFmtId="0" fontId="0" fillId="0" borderId="10" xfId="0" applyBorder="1"/>
    <xf numFmtId="0" fontId="0" fillId="0" borderId="11" xfId="0" applyBorder="1"/>
    <xf numFmtId="0" fontId="1" fillId="0" borderId="4" xfId="0" applyFont="1" applyBorder="1"/>
    <xf numFmtId="0" fontId="1" fillId="0" borderId="12" xfId="0" applyFont="1" applyBorder="1"/>
    <xf numFmtId="0" fontId="1" fillId="0" borderId="13" xfId="0" applyFont="1" applyBorder="1"/>
    <xf numFmtId="164" fontId="0" fillId="0" borderId="0" xfId="0" applyNumberFormat="1"/>
    <xf numFmtId="0" fontId="1" fillId="0" borderId="8" xfId="0" applyFont="1" applyBorder="1"/>
    <xf numFmtId="2" fontId="0" fillId="0" borderId="3" xfId="0" applyNumberFormat="1" applyBorder="1"/>
    <xf numFmtId="2" fontId="0" fillId="0" borderId="5" xfId="0" applyNumberFormat="1" applyBorder="1"/>
    <xf numFmtId="2" fontId="0" fillId="0" borderId="8" xfId="0" applyNumberFormat="1" applyBorder="1"/>
    <xf numFmtId="2" fontId="0" fillId="0" borderId="2" xfId="0" applyNumberFormat="1" applyBorder="1"/>
    <xf numFmtId="0" fontId="0" fillId="0" borderId="0" xfId="0" quotePrefix="1"/>
    <xf numFmtId="0" fontId="1" fillId="0" borderId="4" xfId="0" applyFont="1" applyBorder="1" applyAlignment="1">
      <alignment wrapText="1"/>
    </xf>
    <xf numFmtId="0" fontId="0" fillId="0" borderId="5" xfId="0" applyBorder="1" applyAlignment="1">
      <alignment vertical="center"/>
    </xf>
    <xf numFmtId="2" fontId="0" fillId="0" borderId="0" xfId="0" applyNumberFormat="1"/>
    <xf numFmtId="165" fontId="0" fillId="0" borderId="0" xfId="0" applyNumberFormat="1"/>
    <xf numFmtId="166" fontId="0" fillId="0" borderId="2" xfId="0" applyNumberFormat="1" applyBorder="1"/>
    <xf numFmtId="166" fontId="0" fillId="0" borderId="0" xfId="0" applyNumberFormat="1"/>
    <xf numFmtId="166" fontId="0" fillId="0" borderId="4" xfId="0" applyNumberFormat="1" applyBorder="1"/>
    <xf numFmtId="166" fontId="0" fillId="0" borderId="1" xfId="0" applyNumberFormat="1" applyBorder="1"/>
    <xf numFmtId="165" fontId="0" fillId="0" borderId="2" xfId="0" applyNumberFormat="1" applyBorder="1"/>
    <xf numFmtId="166" fontId="0" fillId="0" borderId="7" xfId="0" applyNumberFormat="1" applyBorder="1"/>
    <xf numFmtId="1" fontId="0" fillId="0" borderId="0" xfId="0" applyNumberFormat="1"/>
    <xf numFmtId="165" fontId="0" fillId="0" borderId="7" xfId="0" applyNumberFormat="1" applyBorder="1"/>
    <xf numFmtId="166" fontId="0" fillId="0" borderId="6" xfId="0" applyNumberFormat="1" applyBorder="1"/>
    <xf numFmtId="1" fontId="0" fillId="0" borderId="2" xfId="0" applyNumberFormat="1" applyBorder="1"/>
    <xf numFmtId="1" fontId="0" fillId="0" borderId="7" xfId="0" applyNumberFormat="1" applyBorder="1"/>
    <xf numFmtId="0" fontId="0" fillId="0" borderId="1" xfId="0" applyBorder="1" applyAlignment="1">
      <alignment horizontal="right"/>
    </xf>
    <xf numFmtId="0" fontId="0" fillId="0" borderId="4" xfId="0" applyBorder="1" applyAlignment="1">
      <alignment horizontal="right"/>
    </xf>
    <xf numFmtId="164" fontId="0" fillId="0" borderId="2" xfId="0" applyNumberFormat="1" applyBorder="1" applyAlignment="1">
      <alignment horizontal="right"/>
    </xf>
    <xf numFmtId="164" fontId="0" fillId="0" borderId="0" xfId="0" applyNumberFormat="1" applyAlignment="1">
      <alignment horizontal="right"/>
    </xf>
    <xf numFmtId="164" fontId="0" fillId="0" borderId="7" xfId="0" applyNumberFormat="1" applyBorder="1" applyAlignment="1">
      <alignment horizontal="right"/>
    </xf>
    <xf numFmtId="0" fontId="0" fillId="0" borderId="4" xfId="0" applyBorder="1" applyAlignment="1">
      <alignment horizontal="right" vertical="center"/>
    </xf>
    <xf numFmtId="0" fontId="0" fillId="0" borderId="4" xfId="0" applyBorder="1" applyAlignment="1">
      <alignment horizontal="left"/>
    </xf>
    <xf numFmtId="0" fontId="0" fillId="0" borderId="9" xfId="0" applyBorder="1" applyAlignment="1">
      <alignment horizontal="center"/>
    </xf>
    <xf numFmtId="0" fontId="0" fillId="0" borderId="11" xfId="0" applyBorder="1" applyAlignment="1">
      <alignment horizontal="center"/>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182881</xdr:colOff>
      <xdr:row>3</xdr:row>
      <xdr:rowOff>76200</xdr:rowOff>
    </xdr:from>
    <xdr:to>
      <xdr:col>22</xdr:col>
      <xdr:colOff>306817</xdr:colOff>
      <xdr:row>24</xdr:row>
      <xdr:rowOff>174316</xdr:rowOff>
    </xdr:to>
    <xdr:pic>
      <xdr:nvPicPr>
        <xdr:cNvPr id="3" name="Picture 2">
          <a:extLst>
            <a:ext uri="{FF2B5EF4-FFF2-40B4-BE49-F238E27FC236}">
              <a16:creationId xmlns:a16="http://schemas.microsoft.com/office/drawing/2014/main" id="{E402082E-828F-9EDB-1FC4-86D589EADFDF}"/>
            </a:ext>
          </a:extLst>
        </xdr:cNvPr>
        <xdr:cNvPicPr>
          <a:picLocks noChangeAspect="1"/>
        </xdr:cNvPicPr>
      </xdr:nvPicPr>
      <xdr:blipFill>
        <a:blip xmlns:r="http://schemas.openxmlformats.org/officeDocument/2006/relationships" r:embed="rId1"/>
        <a:stretch>
          <a:fillRect/>
        </a:stretch>
      </xdr:blipFill>
      <xdr:spPr>
        <a:xfrm>
          <a:off x="11300461" y="640080"/>
          <a:ext cx="5267436" cy="4593916"/>
        </a:xfrm>
        <a:prstGeom prst="rect">
          <a:avLst/>
        </a:prstGeom>
      </xdr:spPr>
    </xdr:pic>
    <xdr:clientData/>
  </xdr:twoCellAnchor>
</xdr:wsDr>
</file>

<file path=xl/theme/theme1.xml><?xml version="1.0" encoding="utf-8"?>
<a:theme xmlns:a="http://schemas.openxmlformats.org/drawingml/2006/main" name="Office Theme">
  <a:themeElements>
    <a:clrScheme name="NiceColors">
      <a:dk1>
        <a:sysClr val="windowText" lastClr="000000"/>
      </a:dk1>
      <a:lt1>
        <a:sysClr val="window" lastClr="FFFFFF"/>
      </a:lt1>
      <a:dk2>
        <a:srgbClr val="455B69"/>
      </a:dk2>
      <a:lt2>
        <a:srgbClr val="E7E6E6"/>
      </a:lt2>
      <a:accent1>
        <a:srgbClr val="F59E00"/>
      </a:accent1>
      <a:accent2>
        <a:srgbClr val="A6B727"/>
      </a:accent2>
      <a:accent3>
        <a:srgbClr val="2E96A4"/>
      </a:accent3>
      <a:accent4>
        <a:srgbClr val="FEC306"/>
      </a:accent4>
      <a:accent5>
        <a:srgbClr val="997A9E"/>
      </a:accent5>
      <a:accent6>
        <a:srgbClr val="F4A6C9"/>
      </a:accent6>
      <a:hlink>
        <a:srgbClr val="000000"/>
      </a:hlink>
      <a:folHlink>
        <a:srgbClr val="F59E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0CC72-EBA3-4719-A48A-A46E6F4B8FB8}">
  <dimension ref="B1:AE48"/>
  <sheetViews>
    <sheetView tabSelected="1" zoomScaleNormal="100" workbookViewId="0">
      <selection activeCell="L23" sqref="L23"/>
    </sheetView>
  </sheetViews>
  <sheetFormatPr defaultColWidth="8.88671875" defaultRowHeight="14.4" x14ac:dyDescent="0.3"/>
  <cols>
    <col min="1" max="1" width="2.6640625" customWidth="1"/>
    <col min="2" max="2" width="22.33203125" bestFit="1" customWidth="1"/>
    <col min="3" max="3" width="17.77734375" customWidth="1"/>
    <col min="6" max="6" width="12.44140625" customWidth="1"/>
    <col min="7" max="13" width="9.33203125" customWidth="1"/>
    <col min="14" max="14" width="9.21875" customWidth="1"/>
    <col min="15" max="15" width="10.5546875" customWidth="1"/>
    <col min="16" max="16" width="9.21875" customWidth="1"/>
    <col min="17" max="19" width="9.109375" customWidth="1"/>
    <col min="20" max="20" width="9.6640625" bestFit="1" customWidth="1"/>
    <col min="21" max="24" width="9.109375" customWidth="1"/>
    <col min="25" max="25" width="10.5546875" bestFit="1" customWidth="1"/>
    <col min="26" max="26" width="10.21875" bestFit="1" customWidth="1"/>
  </cols>
  <sheetData>
    <row r="1" spans="2:14" ht="15" thickBot="1" x14ac:dyDescent="0.35"/>
    <row r="2" spans="2:14" ht="15" thickBot="1" x14ac:dyDescent="0.35">
      <c r="B2" s="10" t="s">
        <v>19</v>
      </c>
      <c r="C2" s="11"/>
      <c r="D2" s="11"/>
      <c r="E2" s="11"/>
      <c r="F2" s="11"/>
      <c r="G2" s="11"/>
      <c r="H2" s="11"/>
      <c r="I2" s="11"/>
      <c r="J2" s="11"/>
      <c r="K2" s="11"/>
      <c r="L2" s="11"/>
      <c r="M2" s="11"/>
      <c r="N2" s="12"/>
    </row>
    <row r="3" spans="2:14" x14ac:dyDescent="0.3">
      <c r="B3" s="21" t="s">
        <v>20</v>
      </c>
      <c r="C3" s="13" t="s">
        <v>65</v>
      </c>
      <c r="D3" s="3"/>
      <c r="E3" s="3"/>
      <c r="F3" s="3"/>
      <c r="G3" s="3"/>
      <c r="H3" s="3"/>
      <c r="I3" s="3"/>
      <c r="J3" s="3"/>
      <c r="K3" s="3"/>
      <c r="L3" s="3"/>
      <c r="M3" s="3"/>
      <c r="N3" s="4"/>
    </row>
    <row r="4" spans="2:14" x14ac:dyDescent="0.3">
      <c r="B4" s="22" t="s">
        <v>21</v>
      </c>
      <c r="C4" s="5" t="s">
        <v>52</v>
      </c>
      <c r="N4" s="6"/>
    </row>
    <row r="5" spans="2:14" x14ac:dyDescent="0.3">
      <c r="B5" s="22" t="s">
        <v>22</v>
      </c>
      <c r="C5" s="51">
        <v>2020</v>
      </c>
      <c r="N5" s="6"/>
    </row>
    <row r="6" spans="2:14" x14ac:dyDescent="0.3">
      <c r="B6" s="22" t="s">
        <v>23</v>
      </c>
      <c r="C6" s="5" t="s">
        <v>48</v>
      </c>
      <c r="N6" s="6"/>
    </row>
    <row r="7" spans="2:14" ht="59.4" customHeight="1" thickBot="1" x14ac:dyDescent="0.35">
      <c r="B7" s="16" t="s">
        <v>87</v>
      </c>
      <c r="C7" s="54" t="s">
        <v>88</v>
      </c>
      <c r="D7" s="55"/>
      <c r="E7" s="55"/>
      <c r="F7" s="55"/>
      <c r="G7" s="55"/>
      <c r="H7" s="55"/>
      <c r="I7" s="55"/>
      <c r="J7" s="55"/>
      <c r="K7" s="55"/>
      <c r="L7" s="55"/>
      <c r="M7" s="55"/>
      <c r="N7" s="56"/>
    </row>
    <row r="8" spans="2:14" ht="15" thickBot="1" x14ac:dyDescent="0.35"/>
    <row r="9" spans="2:14" ht="15" thickBot="1" x14ac:dyDescent="0.35">
      <c r="B9" s="10" t="s">
        <v>24</v>
      </c>
      <c r="C9" s="19"/>
      <c r="E9" s="10" t="s">
        <v>28</v>
      </c>
      <c r="F9" s="18"/>
      <c r="G9" s="18"/>
      <c r="H9" s="18"/>
      <c r="I9" s="18"/>
      <c r="J9" s="19"/>
    </row>
    <row r="10" spans="2:14" ht="15" thickBot="1" x14ac:dyDescent="0.35">
      <c r="B10" s="21" t="s">
        <v>25</v>
      </c>
      <c r="C10" s="6" t="s">
        <v>60</v>
      </c>
      <c r="E10" s="10" t="s">
        <v>55</v>
      </c>
      <c r="F10" s="11" t="s">
        <v>14</v>
      </c>
      <c r="G10" s="10" t="s">
        <v>55</v>
      </c>
      <c r="H10" s="12" t="s">
        <v>56</v>
      </c>
      <c r="I10" s="11" t="s">
        <v>56</v>
      </c>
      <c r="J10" s="12" t="s">
        <v>14</v>
      </c>
    </row>
    <row r="11" spans="2:14" ht="15" thickBot="1" x14ac:dyDescent="0.35">
      <c r="B11" s="22" t="s">
        <v>12</v>
      </c>
      <c r="C11" s="6" t="s">
        <v>49</v>
      </c>
      <c r="E11" s="52" t="s">
        <v>1</v>
      </c>
      <c r="F11" s="53"/>
      <c r="G11" s="52" t="s">
        <v>1</v>
      </c>
      <c r="H11" s="53"/>
      <c r="I11" s="52" t="s">
        <v>6</v>
      </c>
      <c r="J11" s="53"/>
    </row>
    <row r="12" spans="2:14" x14ac:dyDescent="0.3">
      <c r="B12" s="22" t="s">
        <v>26</v>
      </c>
      <c r="C12" s="6" t="s">
        <v>50</v>
      </c>
    </row>
    <row r="13" spans="2:14" x14ac:dyDescent="0.3">
      <c r="B13" s="22" t="s">
        <v>27</v>
      </c>
      <c r="C13" s="6" t="s">
        <v>61</v>
      </c>
    </row>
    <row r="14" spans="2:14" ht="15" thickBot="1" x14ac:dyDescent="0.35">
      <c r="B14" s="16" t="s">
        <v>28</v>
      </c>
      <c r="C14" s="9" t="s">
        <v>51</v>
      </c>
    </row>
    <row r="15" spans="2:14" ht="15" thickBot="1" x14ac:dyDescent="0.35">
      <c r="B15" s="1"/>
    </row>
    <row r="16" spans="2:14" ht="15" thickBot="1" x14ac:dyDescent="0.35">
      <c r="B16" s="10" t="s">
        <v>29</v>
      </c>
      <c r="C16" s="18"/>
      <c r="D16" s="19"/>
      <c r="F16" s="10" t="s">
        <v>30</v>
      </c>
      <c r="G16" s="18"/>
      <c r="H16" s="19"/>
    </row>
    <row r="17" spans="2:31" x14ac:dyDescent="0.3">
      <c r="B17" s="21" t="s">
        <v>31</v>
      </c>
      <c r="C17" s="3">
        <v>0.6</v>
      </c>
      <c r="D17" s="4" t="s">
        <v>7</v>
      </c>
      <c r="F17" s="21" t="s">
        <v>15</v>
      </c>
      <c r="G17" s="29">
        <v>0.03</v>
      </c>
      <c r="H17" s="6" t="s">
        <v>32</v>
      </c>
    </row>
    <row r="18" spans="2:31" x14ac:dyDescent="0.3">
      <c r="B18" s="22" t="s">
        <v>33</v>
      </c>
      <c r="C18">
        <v>0.15</v>
      </c>
      <c r="D18" s="6" t="s">
        <v>7</v>
      </c>
      <c r="F18" s="22" t="s">
        <v>34</v>
      </c>
      <c r="G18">
        <v>0.03</v>
      </c>
      <c r="H18" s="6" t="s">
        <v>53</v>
      </c>
    </row>
    <row r="19" spans="2:31" ht="15" thickBot="1" x14ac:dyDescent="0.35">
      <c r="B19" s="22" t="s">
        <v>36</v>
      </c>
      <c r="C19" s="33">
        <f>C22*C20+(C22+1)*C21</f>
        <v>6.8400000000000002E-2</v>
      </c>
      <c r="D19" s="6" t="s">
        <v>7</v>
      </c>
      <c r="F19" s="16" t="s">
        <v>37</v>
      </c>
      <c r="G19" s="8">
        <v>2</v>
      </c>
      <c r="H19" s="9" t="s">
        <v>35</v>
      </c>
    </row>
    <row r="20" spans="2:31" x14ac:dyDescent="0.3">
      <c r="B20" s="22" t="s">
        <v>11</v>
      </c>
      <c r="C20">
        <f>3*0.001</f>
        <v>3.0000000000000001E-3</v>
      </c>
      <c r="D20" s="6" t="s">
        <v>7</v>
      </c>
    </row>
    <row r="21" spans="2:31" x14ac:dyDescent="0.3">
      <c r="B21" s="22" t="s">
        <v>16</v>
      </c>
      <c r="C21">
        <f>(200+200)*0.000001</f>
        <v>3.9999999999999996E-4</v>
      </c>
      <c r="D21" s="6" t="s">
        <v>7</v>
      </c>
    </row>
    <row r="22" spans="2:31" ht="15" thickBot="1" x14ac:dyDescent="0.35">
      <c r="B22" s="16" t="s">
        <v>13</v>
      </c>
      <c r="C22" s="8">
        <v>20</v>
      </c>
      <c r="D22" s="9" t="s">
        <v>3</v>
      </c>
    </row>
    <row r="23" spans="2:31" ht="15" thickBot="1" x14ac:dyDescent="0.35">
      <c r="B23" s="1"/>
    </row>
    <row r="24" spans="2:31" ht="15" thickBot="1" x14ac:dyDescent="0.35">
      <c r="B24" s="2" t="s">
        <v>38</v>
      </c>
      <c r="C24" s="3"/>
      <c r="D24" s="4"/>
      <c r="F24" s="10" t="s">
        <v>59</v>
      </c>
      <c r="G24" s="18"/>
      <c r="H24" s="19"/>
    </row>
    <row r="25" spans="2:31" x14ac:dyDescent="0.3">
      <c r="B25" s="2" t="s">
        <v>39</v>
      </c>
      <c r="C25" s="45" t="s">
        <v>79</v>
      </c>
      <c r="D25" s="4" t="s">
        <v>17</v>
      </c>
      <c r="F25" s="21" t="s">
        <v>57</v>
      </c>
      <c r="G25" s="3" t="s">
        <v>62</v>
      </c>
      <c r="H25" s="4"/>
    </row>
    <row r="26" spans="2:31" x14ac:dyDescent="0.3">
      <c r="B26" s="20" t="s">
        <v>40</v>
      </c>
      <c r="C26" s="46" t="s">
        <v>80</v>
      </c>
      <c r="D26" s="6" t="s">
        <v>17</v>
      </c>
      <c r="F26" s="22" t="s">
        <v>58</v>
      </c>
      <c r="G26" t="s">
        <v>63</v>
      </c>
      <c r="H26" s="6"/>
    </row>
    <row r="27" spans="2:31" ht="29.4" thickBot="1" x14ac:dyDescent="0.35">
      <c r="B27" s="30" t="s">
        <v>41</v>
      </c>
      <c r="C27" s="50" t="s">
        <v>81</v>
      </c>
      <c r="D27" s="31" t="s">
        <v>18</v>
      </c>
      <c r="F27" s="16" t="s">
        <v>0</v>
      </c>
      <c r="G27" s="8" t="s">
        <v>64</v>
      </c>
      <c r="H27" s="9"/>
    </row>
    <row r="28" spans="2:31" ht="15" thickBot="1" x14ac:dyDescent="0.35">
      <c r="B28" s="14" t="s">
        <v>42</v>
      </c>
      <c r="C28" s="7">
        <v>0</v>
      </c>
      <c r="D28" s="9" t="s">
        <v>43</v>
      </c>
      <c r="F28" s="1"/>
      <c r="I28" s="32"/>
      <c r="J28" s="32"/>
      <c r="K28" s="32"/>
      <c r="L28" s="32"/>
    </row>
    <row r="31" spans="2:31" x14ac:dyDescent="0.3">
      <c r="AA31" s="1"/>
      <c r="AB31" s="1"/>
      <c r="AC31" s="1"/>
      <c r="AD31" s="1"/>
      <c r="AE31" s="1"/>
    </row>
    <row r="32" spans="2:31" x14ac:dyDescent="0.3">
      <c r="AA32" s="40"/>
      <c r="AB32" s="40"/>
      <c r="AC32" s="40"/>
      <c r="AD32" s="35"/>
      <c r="AE32" s="23"/>
    </row>
    <row r="33" spans="27:31" x14ac:dyDescent="0.3">
      <c r="AA33" s="40"/>
      <c r="AB33" s="40"/>
      <c r="AC33" s="40"/>
      <c r="AD33" s="35"/>
      <c r="AE33" s="23"/>
    </row>
    <row r="34" spans="27:31" x14ac:dyDescent="0.3">
      <c r="AA34" s="40"/>
      <c r="AB34" s="40"/>
      <c r="AC34" s="40"/>
      <c r="AD34" s="35"/>
      <c r="AE34" s="23"/>
    </row>
    <row r="35" spans="27:31" x14ac:dyDescent="0.3">
      <c r="AA35" s="40"/>
      <c r="AB35" s="40"/>
      <c r="AC35" s="40"/>
      <c r="AD35" s="35"/>
      <c r="AE35" s="23"/>
    </row>
    <row r="36" spans="27:31" x14ac:dyDescent="0.3">
      <c r="AA36" s="40"/>
      <c r="AB36" s="40"/>
      <c r="AC36" s="40"/>
      <c r="AD36" s="35"/>
      <c r="AE36" s="23"/>
    </row>
    <row r="37" spans="27:31" x14ac:dyDescent="0.3">
      <c r="AA37" s="40"/>
      <c r="AB37" s="40"/>
      <c r="AC37" s="40"/>
      <c r="AD37" s="35"/>
      <c r="AE37" s="23"/>
    </row>
    <row r="38" spans="27:31" x14ac:dyDescent="0.3">
      <c r="AA38" s="40"/>
      <c r="AB38" s="40"/>
      <c r="AC38" s="40"/>
      <c r="AD38" s="35"/>
      <c r="AE38" s="23"/>
    </row>
    <row r="39" spans="27:31" x14ac:dyDescent="0.3">
      <c r="AA39" s="40"/>
      <c r="AB39" s="40"/>
      <c r="AC39" s="40"/>
      <c r="AD39" s="35"/>
      <c r="AE39" s="23"/>
    </row>
    <row r="40" spans="27:31" x14ac:dyDescent="0.3">
      <c r="AA40" s="40"/>
      <c r="AB40" s="40"/>
      <c r="AC40" s="40"/>
      <c r="AD40" s="35"/>
      <c r="AE40" s="23"/>
    </row>
    <row r="41" spans="27:31" x14ac:dyDescent="0.3">
      <c r="AA41" s="40"/>
      <c r="AB41" s="40"/>
      <c r="AC41" s="40"/>
      <c r="AD41" s="35"/>
      <c r="AE41" s="23"/>
    </row>
    <row r="42" spans="27:31" x14ac:dyDescent="0.3">
      <c r="AA42" s="40"/>
      <c r="AB42" s="40"/>
      <c r="AC42" s="40"/>
      <c r="AD42" s="35"/>
      <c r="AE42" s="23"/>
    </row>
    <row r="43" spans="27:31" x14ac:dyDescent="0.3">
      <c r="AA43" s="40"/>
      <c r="AB43" s="40"/>
      <c r="AC43" s="40"/>
      <c r="AD43" s="35"/>
      <c r="AE43" s="23"/>
    </row>
    <row r="44" spans="27:31" x14ac:dyDescent="0.3">
      <c r="AA44" s="40"/>
      <c r="AB44" s="40"/>
      <c r="AC44" s="40"/>
      <c r="AD44" s="35"/>
      <c r="AE44" s="23"/>
    </row>
    <row r="45" spans="27:31" x14ac:dyDescent="0.3">
      <c r="AA45" s="40"/>
      <c r="AB45" s="40"/>
      <c r="AC45" s="40"/>
      <c r="AD45" s="35"/>
      <c r="AE45" s="23"/>
    </row>
    <row r="46" spans="27:31" x14ac:dyDescent="0.3">
      <c r="AA46" s="40"/>
      <c r="AB46" s="40"/>
      <c r="AC46" s="40"/>
      <c r="AD46" s="35"/>
      <c r="AE46" s="23"/>
    </row>
    <row r="47" spans="27:31" x14ac:dyDescent="0.3">
      <c r="AA47" s="40"/>
      <c r="AB47" s="40"/>
      <c r="AC47" s="40"/>
      <c r="AD47" s="35"/>
      <c r="AE47" s="23"/>
    </row>
    <row r="48" spans="27:31" x14ac:dyDescent="0.3">
      <c r="AA48" s="40"/>
      <c r="AB48" s="40"/>
      <c r="AC48" s="40"/>
      <c r="AD48" s="35"/>
      <c r="AE48" s="23"/>
    </row>
  </sheetData>
  <mergeCells count="4">
    <mergeCell ref="E11:F11"/>
    <mergeCell ref="G11:H11"/>
    <mergeCell ref="I11:J11"/>
    <mergeCell ref="C7:N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20FCC-BEB1-46A0-ABF0-56ED078EBBE5}">
  <dimension ref="A1:Y19"/>
  <sheetViews>
    <sheetView workbookViewId="0">
      <selection activeCell="S31" sqref="S31"/>
    </sheetView>
  </sheetViews>
  <sheetFormatPr defaultRowHeight="14.4" x14ac:dyDescent="0.3"/>
  <cols>
    <col min="24" max="24" width="10.5546875" bestFit="1" customWidth="1"/>
    <col min="25" max="25" width="10.21875" bestFit="1" customWidth="1"/>
  </cols>
  <sheetData>
    <row r="1" spans="1:25" ht="15" thickBot="1" x14ac:dyDescent="0.35">
      <c r="A1" s="2"/>
      <c r="B1" s="10" t="s">
        <v>44</v>
      </c>
      <c r="C1" s="11"/>
      <c r="D1" s="11"/>
      <c r="E1" s="11"/>
      <c r="F1" s="11"/>
      <c r="G1" s="11"/>
      <c r="H1" s="11"/>
      <c r="I1" s="11"/>
      <c r="J1" s="11"/>
      <c r="K1" s="12"/>
      <c r="L1" s="10" t="s">
        <v>45</v>
      </c>
      <c r="M1" s="11"/>
      <c r="N1" s="11"/>
      <c r="O1" s="11"/>
      <c r="P1" s="11"/>
      <c r="Q1" s="11"/>
      <c r="R1" s="11"/>
      <c r="S1" s="12"/>
      <c r="T1" s="12" t="s">
        <v>46</v>
      </c>
      <c r="U1" s="3"/>
      <c r="V1" s="3"/>
      <c r="W1" s="18"/>
      <c r="X1" s="3"/>
      <c r="Y1" s="4"/>
    </row>
    <row r="2" spans="1:25" ht="15" thickBot="1" x14ac:dyDescent="0.35">
      <c r="A2" s="14" t="s">
        <v>47</v>
      </c>
      <c r="B2" s="10" t="s">
        <v>54</v>
      </c>
      <c r="C2" s="15" t="s">
        <v>5</v>
      </c>
      <c r="D2" s="15" t="s">
        <v>10</v>
      </c>
      <c r="E2" s="15" t="s">
        <v>8</v>
      </c>
      <c r="F2" s="15" t="s">
        <v>84</v>
      </c>
      <c r="G2" s="15" t="s">
        <v>66</v>
      </c>
      <c r="H2" s="15" t="s">
        <v>83</v>
      </c>
      <c r="I2" s="15" t="s">
        <v>82</v>
      </c>
      <c r="J2" s="15" t="s">
        <v>85</v>
      </c>
      <c r="K2" s="24" t="s">
        <v>86</v>
      </c>
      <c r="L2" s="10" t="s">
        <v>68</v>
      </c>
      <c r="M2" s="11" t="s">
        <v>69</v>
      </c>
      <c r="N2" s="11" t="s">
        <v>70</v>
      </c>
      <c r="O2" s="11" t="s">
        <v>71</v>
      </c>
      <c r="P2" s="11" t="s">
        <v>72</v>
      </c>
      <c r="Q2" s="15" t="s">
        <v>73</v>
      </c>
      <c r="R2" s="15" t="s">
        <v>74</v>
      </c>
      <c r="S2" s="24" t="s">
        <v>67</v>
      </c>
      <c r="T2" s="11" t="s">
        <v>75</v>
      </c>
      <c r="U2" s="11" t="s">
        <v>76</v>
      </c>
      <c r="V2" s="11" t="s">
        <v>77</v>
      </c>
      <c r="W2" s="11" t="s">
        <v>78</v>
      </c>
      <c r="X2" s="11" t="s">
        <v>2</v>
      </c>
      <c r="Y2" s="12" t="s">
        <v>4</v>
      </c>
    </row>
    <row r="3" spans="1:25" x14ac:dyDescent="0.3">
      <c r="A3" s="13">
        <v>1</v>
      </c>
      <c r="B3" s="13" t="s">
        <v>57</v>
      </c>
      <c r="C3" s="3">
        <f>Characteritics!$C$17</f>
        <v>0.6</v>
      </c>
      <c r="D3" s="3">
        <f>Characteritics!$C$20</f>
        <v>3.0000000000000001E-3</v>
      </c>
      <c r="E3" s="3">
        <v>0.5</v>
      </c>
      <c r="F3" s="3">
        <v>1</v>
      </c>
      <c r="G3" s="3">
        <v>0.33</v>
      </c>
      <c r="H3" s="43">
        <v>763.36696197243202</v>
      </c>
      <c r="I3" s="3">
        <v>7.54</v>
      </c>
      <c r="J3" s="28">
        <v>32.914929218101001</v>
      </c>
      <c r="K3" s="25">
        <v>32.914929218101001</v>
      </c>
      <c r="L3" s="37">
        <v>30</v>
      </c>
      <c r="M3" s="38">
        <v>1.0999999999999999E-2</v>
      </c>
      <c r="N3" s="3">
        <v>2</v>
      </c>
      <c r="O3" s="34">
        <v>19</v>
      </c>
      <c r="P3" s="38">
        <v>1.0999999999999999E-2</v>
      </c>
      <c r="Q3" s="28">
        <v>0.66</v>
      </c>
      <c r="R3" s="47" t="s">
        <v>9</v>
      </c>
      <c r="S3" s="3">
        <v>0</v>
      </c>
      <c r="T3" s="37">
        <v>19</v>
      </c>
      <c r="U3" s="38">
        <v>1.0999999999999999E-2</v>
      </c>
      <c r="V3" s="34">
        <v>27.3</v>
      </c>
      <c r="W3" s="47">
        <v>2.1060302743500254E-2</v>
      </c>
      <c r="X3" s="28">
        <v>1.13579066827933</v>
      </c>
      <c r="Y3" s="25">
        <v>0.75505531137483095</v>
      </c>
    </row>
    <row r="4" spans="1:25" x14ac:dyDescent="0.3">
      <c r="A4" s="5">
        <v>2</v>
      </c>
      <c r="B4" s="5" t="s">
        <v>57</v>
      </c>
      <c r="C4">
        <f>Characteritics!$C$17</f>
        <v>0.6</v>
      </c>
      <c r="D4">
        <f>Characteritics!$C$20</f>
        <v>3.0000000000000001E-3</v>
      </c>
      <c r="E4">
        <v>0.5</v>
      </c>
      <c r="F4">
        <v>1</v>
      </c>
      <c r="G4">
        <v>0.33</v>
      </c>
      <c r="H4" s="40">
        <v>756.437815775437</v>
      </c>
      <c r="I4">
        <v>7.54</v>
      </c>
      <c r="J4" s="32">
        <v>33.055958575794399</v>
      </c>
      <c r="K4" s="26">
        <v>33.055958575794399</v>
      </c>
      <c r="L4" s="36">
        <v>32.471064133204798</v>
      </c>
      <c r="M4" s="33">
        <v>1.0999999999999999E-2</v>
      </c>
      <c r="N4">
        <v>2</v>
      </c>
      <c r="O4" s="35">
        <v>19.600000000000001</v>
      </c>
      <c r="P4" s="33">
        <v>1.0999999999999999E-2</v>
      </c>
      <c r="Q4" s="32">
        <v>0.66</v>
      </c>
      <c r="R4" s="48" t="s">
        <v>9</v>
      </c>
      <c r="S4">
        <v>0</v>
      </c>
      <c r="T4" s="36">
        <v>19.600000000000001</v>
      </c>
      <c r="U4" s="33">
        <v>1.0999999999999999E-2</v>
      </c>
      <c r="V4" s="35">
        <v>29</v>
      </c>
      <c r="W4" s="48">
        <v>2.2882419616678647E-2</v>
      </c>
      <c r="X4" s="32">
        <v>1.12858141779693</v>
      </c>
      <c r="Y4" s="26">
        <v>0.75577955450783696</v>
      </c>
    </row>
    <row r="5" spans="1:25" x14ac:dyDescent="0.3">
      <c r="A5" s="5">
        <v>3</v>
      </c>
      <c r="B5" s="5" t="s">
        <v>57</v>
      </c>
      <c r="C5">
        <f>Characteritics!$C$17</f>
        <v>0.6</v>
      </c>
      <c r="D5">
        <f>Characteritics!$C$20</f>
        <v>3.0000000000000001E-3</v>
      </c>
      <c r="E5">
        <v>0.5</v>
      </c>
      <c r="F5">
        <v>1</v>
      </c>
      <c r="G5">
        <v>0.33</v>
      </c>
      <c r="H5" s="40">
        <v>749.48211524870703</v>
      </c>
      <c r="I5">
        <v>7.54</v>
      </c>
      <c r="J5" s="32">
        <v>33.199392538200897</v>
      </c>
      <c r="K5" s="26">
        <v>33.199392538200897</v>
      </c>
      <c r="L5" s="36">
        <v>35</v>
      </c>
      <c r="M5" s="33">
        <v>1.0999999999999999E-2</v>
      </c>
      <c r="N5">
        <v>2</v>
      </c>
      <c r="O5" s="35">
        <v>20.2</v>
      </c>
      <c r="P5" s="33">
        <v>1.0999999999999999E-2</v>
      </c>
      <c r="Q5" s="32">
        <v>0.66</v>
      </c>
      <c r="R5" s="48" t="s">
        <v>9</v>
      </c>
      <c r="S5">
        <v>0</v>
      </c>
      <c r="T5" s="36">
        <v>20.2</v>
      </c>
      <c r="U5" s="33">
        <v>1.0999999999999999E-2</v>
      </c>
      <c r="V5" s="35">
        <v>31.8</v>
      </c>
      <c r="W5" s="48">
        <v>2.4319009534009201E-2</v>
      </c>
      <c r="X5" s="32">
        <v>1.12146019131417</v>
      </c>
      <c r="Y5" s="26">
        <v>0.75631874404059396</v>
      </c>
    </row>
    <row r="6" spans="1:25" x14ac:dyDescent="0.3">
      <c r="A6" s="5">
        <v>4</v>
      </c>
      <c r="B6" s="5" t="s">
        <v>57</v>
      </c>
      <c r="C6">
        <f>Characteritics!$C$17</f>
        <v>0.6</v>
      </c>
      <c r="D6">
        <f>Characteritics!$C$20</f>
        <v>3.0000000000000001E-3</v>
      </c>
      <c r="E6">
        <v>0.5</v>
      </c>
      <c r="F6">
        <v>1</v>
      </c>
      <c r="G6">
        <v>0.33</v>
      </c>
      <c r="H6" s="40">
        <v>743.11941299992702</v>
      </c>
      <c r="I6">
        <v>7.54</v>
      </c>
      <c r="J6" s="32">
        <v>33.332269676830002</v>
      </c>
      <c r="K6" s="26">
        <v>33.332269676830002</v>
      </c>
      <c r="L6" s="36">
        <v>37.503599487673803</v>
      </c>
      <c r="M6" s="33">
        <v>1.0999999999999999E-2</v>
      </c>
      <c r="N6">
        <v>2</v>
      </c>
      <c r="O6" s="35">
        <v>20.6</v>
      </c>
      <c r="P6" s="33">
        <v>1.0999999999999999E-2</v>
      </c>
      <c r="Q6" s="32">
        <v>0.66</v>
      </c>
      <c r="R6" s="48" t="s">
        <v>9</v>
      </c>
      <c r="S6">
        <v>0</v>
      </c>
      <c r="T6" s="36">
        <v>20.6</v>
      </c>
      <c r="U6" s="33">
        <v>1.0999999999999999E-2</v>
      </c>
      <c r="V6" s="35">
        <v>33.700000000000003</v>
      </c>
      <c r="W6" s="48">
        <v>2.6251092183565132E-2</v>
      </c>
      <c r="X6" s="32">
        <v>1.1278491473960901</v>
      </c>
      <c r="Y6" s="26">
        <v>0.76579847453780103</v>
      </c>
    </row>
    <row r="7" spans="1:25" x14ac:dyDescent="0.3">
      <c r="A7" s="5">
        <v>5</v>
      </c>
      <c r="B7" s="5" t="s">
        <v>57</v>
      </c>
      <c r="C7">
        <f>Characteritics!$C$17</f>
        <v>0.6</v>
      </c>
      <c r="D7">
        <f>Characteritics!$C$20</f>
        <v>3.0000000000000001E-3</v>
      </c>
      <c r="E7">
        <v>0.5</v>
      </c>
      <c r="F7">
        <v>1</v>
      </c>
      <c r="G7">
        <v>0.33</v>
      </c>
      <c r="H7" s="40">
        <v>737.073806497085</v>
      </c>
      <c r="I7">
        <v>7.54</v>
      </c>
      <c r="J7" s="32">
        <v>33.4600354893239</v>
      </c>
      <c r="K7" s="26">
        <v>33.4600354893239</v>
      </c>
      <c r="L7" s="36">
        <v>40</v>
      </c>
      <c r="M7" s="33">
        <v>1.0999999999999999E-2</v>
      </c>
      <c r="N7">
        <v>2</v>
      </c>
      <c r="O7" s="35">
        <v>20.9</v>
      </c>
      <c r="P7" s="33">
        <v>1.0999999999999999E-2</v>
      </c>
      <c r="Q7" s="32">
        <v>0.66</v>
      </c>
      <c r="R7" s="48" t="s">
        <v>9</v>
      </c>
      <c r="S7">
        <v>0</v>
      </c>
      <c r="T7" s="36">
        <v>20.9</v>
      </c>
      <c r="U7" s="33">
        <v>1.0999999999999999E-2</v>
      </c>
      <c r="V7" s="35">
        <v>35.700000000000003</v>
      </c>
      <c r="W7" s="48">
        <v>2.8209192326480229E-2</v>
      </c>
      <c r="X7" s="32">
        <v>1.1375206379045</v>
      </c>
      <c r="Y7" s="26">
        <v>0.777419215417953</v>
      </c>
    </row>
    <row r="8" spans="1:25" x14ac:dyDescent="0.3">
      <c r="A8" s="5">
        <v>6</v>
      </c>
      <c r="B8" s="5" t="s">
        <v>58</v>
      </c>
      <c r="C8">
        <f>Characteritics!$C$17</f>
        <v>0.6</v>
      </c>
      <c r="D8">
        <f>Characteritics!$C$20</f>
        <v>3.0000000000000001E-3</v>
      </c>
      <c r="E8">
        <v>0.5</v>
      </c>
      <c r="F8">
        <v>1</v>
      </c>
      <c r="G8">
        <v>0.33</v>
      </c>
      <c r="H8" s="40">
        <v>418.00533730104002</v>
      </c>
      <c r="I8">
        <v>7.54</v>
      </c>
      <c r="J8" s="32">
        <v>33.121494204384803</v>
      </c>
      <c r="K8" s="26">
        <v>33.121494204384803</v>
      </c>
      <c r="L8" s="5">
        <v>35</v>
      </c>
      <c r="M8" s="33">
        <v>1.0999999999999999E-2</v>
      </c>
      <c r="N8" s="32">
        <v>1.10987387387387</v>
      </c>
      <c r="O8" s="35">
        <v>18.5</v>
      </c>
      <c r="P8" s="33">
        <v>1.0999999999999999E-2</v>
      </c>
      <c r="Q8" s="32">
        <v>0.36625837837837716</v>
      </c>
      <c r="R8" s="48" t="s">
        <v>9</v>
      </c>
      <c r="S8">
        <v>0</v>
      </c>
      <c r="T8" s="36">
        <v>18.5</v>
      </c>
      <c r="U8" s="33">
        <v>1.0999999999999999E-2</v>
      </c>
      <c r="V8" s="35">
        <v>32.1</v>
      </c>
      <c r="W8" s="48">
        <v>2.5578364113620713E-2</v>
      </c>
      <c r="X8" s="32">
        <v>1.2502765646408001</v>
      </c>
      <c r="Y8" s="26">
        <v>0.84319319436958096</v>
      </c>
    </row>
    <row r="9" spans="1:25" x14ac:dyDescent="0.3">
      <c r="A9" s="5">
        <v>7</v>
      </c>
      <c r="B9" s="5" t="s">
        <v>58</v>
      </c>
      <c r="C9">
        <f>Characteritics!$C$17</f>
        <v>0.6</v>
      </c>
      <c r="D9">
        <f>Characteritics!$C$20</f>
        <v>3.0000000000000001E-3</v>
      </c>
      <c r="E9">
        <v>0.5</v>
      </c>
      <c r="F9">
        <v>1</v>
      </c>
      <c r="G9">
        <v>0.33</v>
      </c>
      <c r="H9" s="40">
        <v>498.18502790174898</v>
      </c>
      <c r="I9">
        <v>7.54</v>
      </c>
      <c r="J9" s="32">
        <v>33.135246425337002</v>
      </c>
      <c r="K9" s="26">
        <v>33.135246425337002</v>
      </c>
      <c r="L9" s="5">
        <v>35</v>
      </c>
      <c r="M9" s="33">
        <v>1.0999999999999999E-2</v>
      </c>
      <c r="N9" s="32">
        <v>1.32393640699523</v>
      </c>
      <c r="O9" s="35">
        <v>18.8</v>
      </c>
      <c r="P9" s="33">
        <v>1.0999999999999999E-2</v>
      </c>
      <c r="Q9" s="32">
        <v>0.43689901430842593</v>
      </c>
      <c r="R9" s="48" t="s">
        <v>9</v>
      </c>
      <c r="S9">
        <v>0</v>
      </c>
      <c r="T9" s="36">
        <v>18.8</v>
      </c>
      <c r="U9" s="33">
        <v>1.0999999999999999E-2</v>
      </c>
      <c r="V9" s="35">
        <v>32.299999999999997</v>
      </c>
      <c r="W9" s="48">
        <v>2.525229252195919E-2</v>
      </c>
      <c r="X9" s="32">
        <v>1.22754426346551</v>
      </c>
      <c r="Y9" s="26">
        <v>0.82786240901740704</v>
      </c>
    </row>
    <row r="10" spans="1:25" x14ac:dyDescent="0.3">
      <c r="A10" s="5">
        <v>8</v>
      </c>
      <c r="B10" s="5" t="s">
        <v>58</v>
      </c>
      <c r="C10">
        <f>Characteritics!$C$17</f>
        <v>0.6</v>
      </c>
      <c r="D10">
        <f>Characteritics!$C$20</f>
        <v>3.0000000000000001E-3</v>
      </c>
      <c r="E10">
        <v>0.5</v>
      </c>
      <c r="F10">
        <v>1</v>
      </c>
      <c r="G10">
        <v>0.33</v>
      </c>
      <c r="H10" s="40">
        <v>578.05274426378105</v>
      </c>
      <c r="I10">
        <v>7.54</v>
      </c>
      <c r="J10" s="32">
        <v>33.153579080270099</v>
      </c>
      <c r="K10" s="26">
        <v>33.153579080270099</v>
      </c>
      <c r="L10" s="5">
        <v>35</v>
      </c>
      <c r="M10" s="33">
        <v>1.0999999999999999E-2</v>
      </c>
      <c r="N10" s="32">
        <v>1.5380004542357399</v>
      </c>
      <c r="O10" s="35">
        <v>19.2</v>
      </c>
      <c r="P10" s="33">
        <v>1.0999999999999999E-2</v>
      </c>
      <c r="Q10" s="32">
        <v>0.50754014989779417</v>
      </c>
      <c r="R10" s="48" t="s">
        <v>9</v>
      </c>
      <c r="S10">
        <v>0</v>
      </c>
      <c r="T10" s="36">
        <v>19.2</v>
      </c>
      <c r="U10" s="33">
        <v>1.0999999999999999E-2</v>
      </c>
      <c r="V10" s="35">
        <v>32.1</v>
      </c>
      <c r="W10" s="48">
        <v>2.5009162251375616E-2</v>
      </c>
      <c r="X10" s="32">
        <v>1.19723452856513</v>
      </c>
      <c r="Y10" s="26">
        <v>0.80742136188117497</v>
      </c>
    </row>
    <row r="11" spans="1:25" x14ac:dyDescent="0.3">
      <c r="A11" s="5">
        <v>9</v>
      </c>
      <c r="B11" s="5" t="s">
        <v>58</v>
      </c>
      <c r="C11">
        <f>Characteritics!$C$17</f>
        <v>0.6</v>
      </c>
      <c r="D11">
        <f>Characteritics!$C$20</f>
        <v>3.0000000000000001E-3</v>
      </c>
      <c r="E11">
        <v>0.5</v>
      </c>
      <c r="F11">
        <v>1</v>
      </c>
      <c r="G11">
        <v>0.33</v>
      </c>
      <c r="H11" s="40">
        <v>651.66722588286802</v>
      </c>
      <c r="I11">
        <v>7.54</v>
      </c>
      <c r="J11" s="32">
        <v>33.181070269588403</v>
      </c>
      <c r="K11" s="26">
        <v>33.181070269588403</v>
      </c>
      <c r="L11" s="5">
        <v>35</v>
      </c>
      <c r="M11" s="33">
        <v>1.0999999999999999E-2</v>
      </c>
      <c r="N11" s="32">
        <v>1.7369326974032799</v>
      </c>
      <c r="O11" s="35">
        <v>19.8</v>
      </c>
      <c r="P11" s="33">
        <v>1.0999999999999999E-2</v>
      </c>
      <c r="Q11" s="32">
        <v>0.57318779014308241</v>
      </c>
      <c r="R11" s="48" t="s">
        <v>9</v>
      </c>
      <c r="S11">
        <v>0</v>
      </c>
      <c r="T11" s="36">
        <v>19.8</v>
      </c>
      <c r="U11" s="33">
        <v>1.0999999999999999E-2</v>
      </c>
      <c r="V11" s="35">
        <v>32.1</v>
      </c>
      <c r="W11" s="48">
        <v>2.4521274940879821E-2</v>
      </c>
      <c r="X11" s="32">
        <v>1.15176992621456</v>
      </c>
      <c r="Y11" s="26">
        <v>0.77675979117682603</v>
      </c>
    </row>
    <row r="12" spans="1:25" x14ac:dyDescent="0.3">
      <c r="A12" s="5">
        <v>10</v>
      </c>
      <c r="B12" s="5" t="s">
        <v>58</v>
      </c>
      <c r="C12">
        <f>Characteritics!$C$17</f>
        <v>0.6</v>
      </c>
      <c r="D12">
        <f>Characteritics!$C$20</f>
        <v>3.0000000000000001E-3</v>
      </c>
      <c r="E12">
        <v>0.5</v>
      </c>
      <c r="F12">
        <v>1</v>
      </c>
      <c r="G12">
        <v>0.33</v>
      </c>
      <c r="H12" s="40">
        <v>733.33399821357204</v>
      </c>
      <c r="I12">
        <v>7.54</v>
      </c>
      <c r="J12" s="32">
        <v>33.203972456924603</v>
      </c>
      <c r="K12" s="26">
        <v>33.203972456924603</v>
      </c>
      <c r="L12" s="5">
        <v>35</v>
      </c>
      <c r="M12" s="33">
        <v>1.0999999999999999E-2</v>
      </c>
      <c r="N12" s="32">
        <v>1.9574847452494499</v>
      </c>
      <c r="O12" s="35">
        <v>20.3</v>
      </c>
      <c r="P12" s="33">
        <v>1.0999999999999999E-2</v>
      </c>
      <c r="Q12" s="32">
        <v>0.64596996593231848</v>
      </c>
      <c r="R12" s="48" t="s">
        <v>9</v>
      </c>
      <c r="S12">
        <v>0</v>
      </c>
      <c r="T12" s="36">
        <v>20.3</v>
      </c>
      <c r="U12" s="33">
        <v>1.0999999999999999E-2</v>
      </c>
      <c r="V12" s="35">
        <v>31.9</v>
      </c>
      <c r="W12" s="48">
        <v>2.4196679983876961E-2</v>
      </c>
      <c r="X12" s="32">
        <v>1.11388275758908</v>
      </c>
      <c r="Y12" s="26">
        <v>0.75120848225653603</v>
      </c>
    </row>
    <row r="13" spans="1:25" x14ac:dyDescent="0.3">
      <c r="A13" s="5">
        <v>11</v>
      </c>
      <c r="B13" s="5" t="s">
        <v>0</v>
      </c>
      <c r="C13">
        <v>0.6</v>
      </c>
      <c r="D13">
        <v>3.0000000000000001E-3</v>
      </c>
      <c r="E13">
        <v>0.5</v>
      </c>
      <c r="F13">
        <v>1</v>
      </c>
      <c r="G13">
        <v>0.22</v>
      </c>
      <c r="H13" s="40">
        <v>742.47482317224603</v>
      </c>
      <c r="I13">
        <v>7.54</v>
      </c>
      <c r="J13" s="32">
        <v>33.3458215720486</v>
      </c>
      <c r="K13" s="26">
        <v>33.3458215720486</v>
      </c>
      <c r="L13" s="5">
        <v>35</v>
      </c>
      <c r="M13" s="33">
        <v>1.0999999999999999E-2</v>
      </c>
      <c r="N13">
        <v>2</v>
      </c>
      <c r="O13" s="35">
        <v>23.4</v>
      </c>
      <c r="P13" s="33">
        <v>1.0999999999999999E-2</v>
      </c>
      <c r="Q13" s="32">
        <v>0.44786119855527001</v>
      </c>
      <c r="R13" s="48" t="s">
        <v>9</v>
      </c>
      <c r="S13">
        <v>0</v>
      </c>
      <c r="T13" s="36">
        <v>23.4</v>
      </c>
      <c r="U13" s="33">
        <v>1.0999999999999999E-2</v>
      </c>
      <c r="V13" s="35">
        <v>33.799999999999997</v>
      </c>
      <c r="W13" s="48">
        <v>2.7931794482593413E-2</v>
      </c>
      <c r="X13" s="32">
        <v>0.878982312111108</v>
      </c>
      <c r="Y13" s="26">
        <v>0.59279036695073595</v>
      </c>
    </row>
    <row r="14" spans="1:25" x14ac:dyDescent="0.3">
      <c r="A14" s="5">
        <v>12</v>
      </c>
      <c r="B14" s="5" t="s">
        <v>0</v>
      </c>
      <c r="C14">
        <v>0.6</v>
      </c>
      <c r="D14">
        <v>3.0000000000000001E-3</v>
      </c>
      <c r="E14">
        <v>0.5</v>
      </c>
      <c r="F14">
        <v>1</v>
      </c>
      <c r="G14">
        <v>0.33</v>
      </c>
      <c r="H14" s="40">
        <v>749.923620183455</v>
      </c>
      <c r="I14">
        <v>7.54</v>
      </c>
      <c r="J14" s="32">
        <v>33.190231922733602</v>
      </c>
      <c r="K14" s="26">
        <v>33.190231922733602</v>
      </c>
      <c r="L14" s="5">
        <v>35</v>
      </c>
      <c r="M14" s="33">
        <v>1.0999999999999999E-2</v>
      </c>
      <c r="N14">
        <v>2</v>
      </c>
      <c r="O14" s="35">
        <v>20</v>
      </c>
      <c r="P14" s="33">
        <v>1.0999999999999999E-2</v>
      </c>
      <c r="Q14" s="32">
        <v>0.65328143344880596</v>
      </c>
      <c r="R14" s="48" t="s">
        <v>9</v>
      </c>
      <c r="S14">
        <v>0</v>
      </c>
      <c r="T14" s="36">
        <v>20</v>
      </c>
      <c r="U14" s="33">
        <v>1.0999999999999999E-2</v>
      </c>
      <c r="V14" s="35">
        <v>32.200000000000003</v>
      </c>
      <c r="W14" s="48">
        <v>2.4317648334137461E-2</v>
      </c>
      <c r="X14" s="32">
        <v>1.13661505876436</v>
      </c>
      <c r="Y14" s="26">
        <v>0.76653926760871005</v>
      </c>
    </row>
    <row r="15" spans="1:25" x14ac:dyDescent="0.3">
      <c r="A15" s="5">
        <v>13</v>
      </c>
      <c r="B15" s="5" t="s">
        <v>0</v>
      </c>
      <c r="C15">
        <v>0.6</v>
      </c>
      <c r="D15">
        <v>3.0000000000000001E-3</v>
      </c>
      <c r="E15">
        <v>0.5</v>
      </c>
      <c r="F15">
        <v>1</v>
      </c>
      <c r="G15">
        <v>0.4</v>
      </c>
      <c r="H15" s="40">
        <v>752.58150658824502</v>
      </c>
      <c r="I15">
        <v>7.54</v>
      </c>
      <c r="J15" s="32">
        <v>33.135246425337002</v>
      </c>
      <c r="K15" s="26">
        <v>33.135246425337002</v>
      </c>
      <c r="L15" s="5">
        <v>35</v>
      </c>
      <c r="M15" s="33">
        <v>1.0999999999999999E-2</v>
      </c>
      <c r="N15">
        <v>2</v>
      </c>
      <c r="O15" s="35">
        <v>18.8</v>
      </c>
      <c r="P15" s="33">
        <v>1.0999999999999999E-2</v>
      </c>
      <c r="Q15" s="32">
        <v>0.80278767737914203</v>
      </c>
      <c r="R15" s="48" t="s">
        <v>9</v>
      </c>
      <c r="S15">
        <v>0</v>
      </c>
      <c r="T15" s="36">
        <v>18.8</v>
      </c>
      <c r="U15" s="33">
        <v>1.0999999999999999E-2</v>
      </c>
      <c r="V15" s="35">
        <v>30.5</v>
      </c>
      <c r="W15" s="48">
        <v>2.254766880117039E-2</v>
      </c>
      <c r="X15" s="32">
        <v>1.22754426346551</v>
      </c>
      <c r="Y15" s="26">
        <v>0.82786240901740704</v>
      </c>
    </row>
    <row r="16" spans="1:25" x14ac:dyDescent="0.3">
      <c r="A16" s="5">
        <v>14</v>
      </c>
      <c r="B16" s="5" t="s">
        <v>0</v>
      </c>
      <c r="C16">
        <v>0.6</v>
      </c>
      <c r="D16">
        <v>3.0000000000000001E-3</v>
      </c>
      <c r="E16">
        <v>0.5</v>
      </c>
      <c r="F16">
        <v>1</v>
      </c>
      <c r="G16">
        <v>0.5</v>
      </c>
      <c r="H16" s="40">
        <v>755.47811863158995</v>
      </c>
      <c r="I16">
        <v>7.54</v>
      </c>
      <c r="J16" s="32">
        <v>33.075636551789401</v>
      </c>
      <c r="K16" s="26">
        <v>33.075636551789401</v>
      </c>
      <c r="L16" s="5">
        <v>35</v>
      </c>
      <c r="M16" s="33">
        <v>1.0999999999999999E-2</v>
      </c>
      <c r="N16">
        <v>2</v>
      </c>
      <c r="O16" s="35">
        <v>17.5</v>
      </c>
      <c r="P16" s="33">
        <v>1.0999999999999999E-2</v>
      </c>
      <c r="Q16" s="32">
        <v>1.000907633051652</v>
      </c>
      <c r="R16" s="48" t="s">
        <v>9</v>
      </c>
      <c r="S16">
        <v>0</v>
      </c>
      <c r="T16" s="36">
        <v>17.5</v>
      </c>
      <c r="U16" s="33">
        <v>1.0999999999999999E-2</v>
      </c>
      <c r="V16" s="35">
        <v>28.4</v>
      </c>
      <c r="W16" s="48">
        <v>2.0677622083939907E-2</v>
      </c>
      <c r="X16" s="32">
        <v>1.3260509018917599</v>
      </c>
      <c r="Y16" s="26">
        <v>0.89429581221016197</v>
      </c>
    </row>
    <row r="17" spans="1:25" x14ac:dyDescent="0.3">
      <c r="A17" s="5">
        <v>15</v>
      </c>
      <c r="B17" s="5" t="s">
        <v>0</v>
      </c>
      <c r="C17">
        <v>0.6</v>
      </c>
      <c r="D17">
        <v>3.0000000000000001E-3</v>
      </c>
      <c r="E17">
        <v>0.5</v>
      </c>
      <c r="F17">
        <v>1</v>
      </c>
      <c r="G17">
        <v>0.6</v>
      </c>
      <c r="H17" s="40">
        <v>757.49404398081504</v>
      </c>
      <c r="I17">
        <v>7.54</v>
      </c>
      <c r="J17" s="32">
        <v>33.034342383247498</v>
      </c>
      <c r="K17" s="26">
        <v>33.034342383247498</v>
      </c>
      <c r="L17" s="5">
        <v>35</v>
      </c>
      <c r="M17" s="33">
        <v>1.0999999999999999E-2</v>
      </c>
      <c r="N17">
        <v>2</v>
      </c>
      <c r="O17" s="35">
        <v>16.600000000000001</v>
      </c>
      <c r="P17" s="33">
        <v>1.0999999999999999E-2</v>
      </c>
      <c r="Q17" s="32">
        <v>1.1931441025593721</v>
      </c>
      <c r="R17" s="48" t="s">
        <v>9</v>
      </c>
      <c r="S17">
        <v>0</v>
      </c>
      <c r="T17" s="36">
        <v>16.600000000000001</v>
      </c>
      <c r="U17" s="33">
        <v>1.0999999999999999E-2</v>
      </c>
      <c r="V17" s="35">
        <v>26</v>
      </c>
      <c r="W17" s="48">
        <v>1.9554504189852783E-2</v>
      </c>
      <c r="X17" s="32">
        <v>1.3942478054176199</v>
      </c>
      <c r="Y17" s="26">
        <v>0.94028816826668504</v>
      </c>
    </row>
    <row r="18" spans="1:25" x14ac:dyDescent="0.3">
      <c r="A18" s="5">
        <v>16</v>
      </c>
      <c r="B18" s="5" t="s">
        <v>0</v>
      </c>
      <c r="C18">
        <v>0.6</v>
      </c>
      <c r="D18">
        <v>3.0000000000000001E-3</v>
      </c>
      <c r="E18">
        <v>0.5</v>
      </c>
      <c r="F18">
        <v>1</v>
      </c>
      <c r="G18">
        <v>0.7</v>
      </c>
      <c r="H18" s="40">
        <v>758.39280487680196</v>
      </c>
      <c r="I18">
        <v>7.54</v>
      </c>
      <c r="J18" s="32">
        <v>33.015982634313502</v>
      </c>
      <c r="K18" s="26">
        <v>33.015982634313502</v>
      </c>
      <c r="L18" s="5">
        <v>35</v>
      </c>
      <c r="M18" s="33">
        <v>1.0999999999999999E-2</v>
      </c>
      <c r="N18">
        <v>2</v>
      </c>
      <c r="O18" s="35">
        <v>16.2</v>
      </c>
      <c r="P18" s="33">
        <v>1.0999999999999999E-2</v>
      </c>
      <c r="Q18" s="32">
        <v>1.395708403116628</v>
      </c>
      <c r="R18" s="48" t="s">
        <v>9</v>
      </c>
      <c r="S18">
        <v>0</v>
      </c>
      <c r="T18" s="36">
        <v>16.2</v>
      </c>
      <c r="U18" s="33">
        <v>1.0999999999999999E-2</v>
      </c>
      <c r="V18" s="35">
        <v>24.1</v>
      </c>
      <c r="W18" s="48">
        <v>1.863586165284949E-2</v>
      </c>
      <c r="X18" s="32">
        <v>1.424557540318</v>
      </c>
      <c r="Y18" s="26">
        <v>0.960729215402917</v>
      </c>
    </row>
    <row r="19" spans="1:25" ht="15" thickBot="1" x14ac:dyDescent="0.35">
      <c r="A19" s="7">
        <v>17</v>
      </c>
      <c r="B19" s="7" t="s">
        <v>0</v>
      </c>
      <c r="C19" s="8">
        <v>0.6</v>
      </c>
      <c r="D19" s="8">
        <v>3.0000000000000001E-3</v>
      </c>
      <c r="E19" s="8">
        <v>0.5</v>
      </c>
      <c r="F19" s="8">
        <v>1</v>
      </c>
      <c r="G19" s="8">
        <v>0.9</v>
      </c>
      <c r="H19" s="44">
        <v>759.06800789258796</v>
      </c>
      <c r="I19" s="8">
        <v>7.54</v>
      </c>
      <c r="J19" s="17">
        <v>33.002210079769597</v>
      </c>
      <c r="K19" s="27">
        <v>33.002210079769597</v>
      </c>
      <c r="L19" s="7">
        <v>35</v>
      </c>
      <c r="M19" s="41">
        <v>1.0999999999999999E-2</v>
      </c>
      <c r="N19" s="8">
        <v>2</v>
      </c>
      <c r="O19" s="39">
        <v>15.9</v>
      </c>
      <c r="P19" s="41">
        <v>1.0999999999999999E-2</v>
      </c>
      <c r="Q19" s="17">
        <v>1.589437986973198</v>
      </c>
      <c r="R19" s="49" t="s">
        <v>9</v>
      </c>
      <c r="S19" s="8">
        <v>0</v>
      </c>
      <c r="T19" s="42">
        <v>15.9</v>
      </c>
      <c r="U19" s="41">
        <v>1.0999999999999999E-2</v>
      </c>
      <c r="V19" s="39">
        <v>23.6</v>
      </c>
      <c r="W19" s="49">
        <v>1.6448645684663345E-2</v>
      </c>
      <c r="X19" s="17">
        <v>1.44728984149329</v>
      </c>
      <c r="Y19" s="27">
        <v>0.97606000075509103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0A631236513B9418E5AF68A800ACA79" ma:contentTypeVersion="6" ma:contentTypeDescription="Crée un document." ma:contentTypeScope="" ma:versionID="ad3ecf216e08acb36b19aa337e871f12">
  <xsd:schema xmlns:xsd="http://www.w3.org/2001/XMLSchema" xmlns:xs="http://www.w3.org/2001/XMLSchema" xmlns:p="http://schemas.microsoft.com/office/2006/metadata/properties" xmlns:ns2="fbd837e5-054a-49eb-b52b-3e79ba6bda81" xmlns:ns3="16cc8f85-dc4c-4d27-a03f-db68d60dd571" targetNamespace="http://schemas.microsoft.com/office/2006/metadata/properties" ma:root="true" ma:fieldsID="d7cb4eca1a466029dd2fc18150b16dd5" ns2:_="" ns3:_="">
    <xsd:import namespace="fbd837e5-054a-49eb-b52b-3e79ba6bda81"/>
    <xsd:import namespace="16cc8f85-dc4c-4d27-a03f-db68d60dd57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d837e5-054a-49eb-b52b-3e79ba6bda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c8f85-dc4c-4d27-a03f-db68d60dd571"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BF5B01B-DE67-44CC-B4C3-E4CCF84B6011}">
  <ds:schemaRefs>
    <ds:schemaRef ds:uri="http://schemas.microsoft.com/office/2006/metadata/properties"/>
    <ds:schemaRef ds:uri="http://schemas.microsoft.com/office/infopath/2007/PartnerControls"/>
    <ds:schemaRef ds:uri="http://purl.org/dc/dcmitype/"/>
    <ds:schemaRef ds:uri="http://purl.org/dc/terms/"/>
    <ds:schemaRef ds:uri="http://purl.org/dc/elements/1.1/"/>
    <ds:schemaRef ds:uri="http://schemas.openxmlformats.org/package/2006/metadata/core-properties"/>
    <ds:schemaRef ds:uri="http://schemas.microsoft.com/office/2006/documentManagement/types"/>
    <ds:schemaRef ds:uri="16cc8f85-dc4c-4d27-a03f-db68d60dd571"/>
    <ds:schemaRef ds:uri="fbd837e5-054a-49eb-b52b-3e79ba6bda81"/>
    <ds:schemaRef ds:uri="http://www.w3.org/XML/1998/namespace"/>
  </ds:schemaRefs>
</ds:datastoreItem>
</file>

<file path=customXml/itemProps2.xml><?xml version="1.0" encoding="utf-8"?>
<ds:datastoreItem xmlns:ds="http://schemas.openxmlformats.org/officeDocument/2006/customXml" ds:itemID="{C912D4EC-DADE-4A96-BF02-5A15107DDA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d837e5-054a-49eb-b52b-3e79ba6bda81"/>
    <ds:schemaRef ds:uri="16cc8f85-dc4c-4d27-a03f-db68d60dd5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2E9B0F2-0F1F-4FE4-8066-C13DC92A4B3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Characteritics</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Zeoli Alanis</dc:creator>
  <cp:keywords/>
  <dc:description/>
  <cp:lastModifiedBy>Zeoli Alanis</cp:lastModifiedBy>
  <cp:revision/>
  <dcterms:created xsi:type="dcterms:W3CDTF">2023-10-02T08:13:39Z</dcterms:created>
  <dcterms:modified xsi:type="dcterms:W3CDTF">2026-01-28T07:53:32Z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0x010100D0A631236513B9418E5AF68A800ACA79</vt:lpwstr>
  </property>
</Properties>
</file>