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Z\alaniszeo_git\EC-generic-model\Database_for_model_validation\D-IEC\"/>
    </mc:Choice>
  </mc:AlternateContent>
  <xr:revisionPtr revIDLastSave="0" documentId="13_ncr:1_{FC105954-AD1F-4F4C-9A79-4CE127408A2B}" xr6:coauthVersionLast="47" xr6:coauthVersionMax="47" xr10:uidLastSave="{00000000-0000-0000-0000-000000000000}"/>
  <bookViews>
    <workbookView xWindow="-108" yWindow="-108" windowWidth="30936" windowHeight="16776" xr2:uid="{1306219A-737B-4B5D-BCFD-98C34D3C77CC}"/>
  </bookViews>
  <sheets>
    <sheet name="Liu2019" sheetId="1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12" l="1"/>
  <c r="F47" i="12"/>
  <c r="F46" i="12"/>
  <c r="F45" i="12"/>
  <c r="F44" i="12"/>
  <c r="F43" i="12"/>
  <c r="F42" i="12"/>
  <c r="F41" i="12"/>
  <c r="F40" i="12"/>
  <c r="F39" i="12"/>
  <c r="F38" i="12"/>
  <c r="F37" i="12"/>
  <c r="F36" i="12"/>
  <c r="F35" i="12"/>
  <c r="F34" i="12"/>
  <c r="F33" i="12"/>
  <c r="F32" i="12"/>
  <c r="E48" i="12"/>
  <c r="E47" i="12"/>
  <c r="E46" i="12"/>
  <c r="E45" i="12"/>
  <c r="E44" i="12"/>
  <c r="E43" i="12"/>
  <c r="E42" i="12"/>
  <c r="E41" i="12"/>
  <c r="E40" i="12"/>
  <c r="E39" i="12"/>
  <c r="E38" i="12"/>
  <c r="E37" i="12"/>
  <c r="E36" i="12"/>
  <c r="E35" i="12"/>
  <c r="E34" i="12"/>
  <c r="E33" i="12"/>
  <c r="E32" i="12"/>
  <c r="D48" i="12"/>
  <c r="D47" i="12"/>
  <c r="D46" i="12"/>
  <c r="D45" i="12"/>
  <c r="D44" i="12"/>
  <c r="D43" i="12"/>
  <c r="D42" i="12"/>
  <c r="D41" i="12"/>
  <c r="D40" i="12"/>
  <c r="D39" i="12"/>
  <c r="D38" i="12"/>
  <c r="D37" i="12"/>
  <c r="D36" i="12"/>
  <c r="D35" i="12"/>
  <c r="D34" i="12"/>
  <c r="D33" i="12"/>
  <c r="D32" i="12"/>
  <c r="C22" i="12" l="1"/>
</calcChain>
</file>

<file path=xl/sharedStrings.xml><?xml version="1.0" encoding="utf-8"?>
<sst xmlns="http://schemas.openxmlformats.org/spreadsheetml/2006/main" count="144" uniqueCount="83">
  <si>
    <t>counterflow</t>
  </si>
  <si>
    <t>epsilon_wb</t>
  </si>
  <si>
    <t>-</t>
  </si>
  <si>
    <t>epsilon_dp</t>
  </si>
  <si>
    <t>L</t>
  </si>
  <si>
    <t>parallel</t>
  </si>
  <si>
    <t>m</t>
  </si>
  <si>
    <t>W</t>
  </si>
  <si>
    <t>NA</t>
  </si>
  <si>
    <t>h_ch</t>
  </si>
  <si>
    <t>Channel height</t>
  </si>
  <si>
    <t>Water injection type</t>
  </si>
  <si>
    <t>Number of channels</t>
  </si>
  <si>
    <t>wf</t>
  </si>
  <si>
    <t>Temperature</t>
  </si>
  <si>
    <t>Wall thickness</t>
  </si>
  <si>
    <t>m/s</t>
  </si>
  <si>
    <t>kg/kg</t>
  </si>
  <si>
    <t>Paper information</t>
  </si>
  <si>
    <t>Authors</t>
  </si>
  <si>
    <t>Title</t>
  </si>
  <si>
    <t>Year</t>
  </si>
  <si>
    <t>Data type</t>
  </si>
  <si>
    <t>HEX characteristics</t>
  </si>
  <si>
    <t>HEX type</t>
  </si>
  <si>
    <t>Water recirculation</t>
  </si>
  <si>
    <t>Wall material</t>
  </si>
  <si>
    <t>Configuration</t>
  </si>
  <si>
    <t>Geometry</t>
  </si>
  <si>
    <t>Measurement uncertainties</t>
  </si>
  <si>
    <t>Length</t>
  </si>
  <si>
    <t>K</t>
  </si>
  <si>
    <t>Width</t>
  </si>
  <si>
    <t>Humidity</t>
  </si>
  <si>
    <t>%</t>
  </si>
  <si>
    <t>Height</t>
  </si>
  <si>
    <t>Air flow</t>
  </si>
  <si>
    <t>Operating conditions</t>
  </si>
  <si>
    <t>Primary fluid velocity</t>
  </si>
  <si>
    <t>Secondary fluid velocity</t>
  </si>
  <si>
    <t>Secondary-to-Primary flow rate ratio</t>
  </si>
  <si>
    <t>Water supplied</t>
  </si>
  <si>
    <t>kg/s</t>
  </si>
  <si>
    <t>Testing conditions</t>
  </si>
  <si>
    <t>Inlet conditions</t>
  </si>
  <si>
    <t>Outlet conditions</t>
  </si>
  <si>
    <t>Run</t>
  </si>
  <si>
    <t>Yes</t>
  </si>
  <si>
    <t>PCC</t>
  </si>
  <si>
    <t>Sprayed-water theory</t>
  </si>
  <si>
    <t>Experimental and numerical investigation of a high-eﬃciency dew-point evaporative cooler</t>
  </si>
  <si>
    <t>Experimental data, extracted from table</t>
  </si>
  <si>
    <t>Test</t>
  </si>
  <si>
    <t>Aluminium</t>
  </si>
  <si>
    <t>pd</t>
  </si>
  <si>
    <t>sw</t>
  </si>
  <si>
    <t>A</t>
  </si>
  <si>
    <t>D-IEC</t>
  </si>
  <si>
    <t>Liu et al.</t>
  </si>
  <si>
    <t>SPR</t>
  </si>
  <si>
    <t>m_dot_wf</t>
  </si>
  <si>
    <t>T_pdi</t>
  </si>
  <si>
    <t>w_pdi</t>
  </si>
  <si>
    <t>v_pdi</t>
  </si>
  <si>
    <t>T_swi</t>
  </si>
  <si>
    <t>w_swi</t>
  </si>
  <si>
    <t>v_swi</t>
  </si>
  <si>
    <t>T_wfi</t>
  </si>
  <si>
    <t>T_pdo</t>
  </si>
  <si>
    <t>w_pdo</t>
  </si>
  <si>
    <t>T_swo</t>
  </si>
  <si>
    <t>w_swo</t>
  </si>
  <si>
    <t>1.6-2.5</t>
  </si>
  <si>
    <t>0.75-1</t>
  </si>
  <si>
    <t>0.1 - 0.266</t>
  </si>
  <si>
    <t>0.36-0.54</t>
  </si>
  <si>
    <t>Nu</t>
  </si>
  <si>
    <t>Re</t>
  </si>
  <si>
    <t>WWR</t>
  </si>
  <si>
    <t>h_T_pd</t>
  </si>
  <si>
    <t>h_T_sw</t>
  </si>
  <si>
    <t>Description</t>
  </si>
  <si>
    <t>D-IEC similar to a cooling tower to investigate the effect of water temperature and water flow rate on the primary air outlet temperature. Core of the exchanger made of 235 vertical aluminium plates, coated with a high-wettability porous fiber on the wet channel side, with water distribution in the wet channels by spraying. The temperature and water flow rate should be adjusted to optimise the performance of the D-IEC for large water-to-air flow rate ratios.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</si>
</sst>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9">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0" fontId="1" fillId="0" borderId="8" xfId="0" applyFont="1" applyBorder="1"/>
    <xf numFmtId="2" fontId="0" fillId="0" borderId="3" xfId="0" applyNumberFormat="1" applyBorder="1"/>
    <xf numFmtId="2" fontId="0" fillId="0" borderId="5" xfId="0" applyNumberFormat="1" applyBorder="1"/>
    <xf numFmtId="2" fontId="0" fillId="0" borderId="8" xfId="0" applyNumberFormat="1" applyBorder="1"/>
    <xf numFmtId="164" fontId="0" fillId="0" borderId="2" xfId="0" applyNumberFormat="1" applyBorder="1"/>
    <xf numFmtId="2" fontId="0" fillId="0" borderId="2" xfId="0" applyNumberFormat="1" applyBorder="1"/>
    <xf numFmtId="0" fontId="0" fillId="0" borderId="0" xfId="0" quotePrefix="1"/>
    <xf numFmtId="0" fontId="1" fillId="0" borderId="4" xfId="0" applyFont="1" applyBorder="1" applyAlignment="1">
      <alignment wrapText="1"/>
    </xf>
    <xf numFmtId="0" fontId="0" fillId="0" borderId="5" xfId="0" applyBorder="1" applyAlignment="1">
      <alignment vertical="center"/>
    </xf>
    <xf numFmtId="2" fontId="0" fillId="0" borderId="0" xfId="0" applyNumberFormat="1"/>
    <xf numFmtId="165" fontId="0" fillId="0" borderId="0" xfId="0" applyNumberFormat="1"/>
    <xf numFmtId="165" fontId="0" fillId="0" borderId="2" xfId="0" applyNumberFormat="1" applyBorder="1"/>
    <xf numFmtId="1" fontId="0" fillId="0" borderId="0" xfId="0" applyNumberFormat="1"/>
    <xf numFmtId="0" fontId="0" fillId="0" borderId="0" xfId="0" applyAlignment="1">
      <alignment vertical="center"/>
    </xf>
    <xf numFmtId="165" fontId="0" fillId="0" borderId="7" xfId="0" applyNumberFormat="1" applyBorder="1"/>
    <xf numFmtId="166" fontId="0" fillId="0" borderId="3" xfId="0" applyNumberFormat="1" applyBorder="1"/>
    <xf numFmtId="166" fontId="0" fillId="0" borderId="5" xfId="0" applyNumberFormat="1" applyBorder="1"/>
    <xf numFmtId="1" fontId="0" fillId="0" borderId="2" xfId="0" applyNumberFormat="1" applyBorder="1"/>
    <xf numFmtId="1" fontId="0" fillId="0" borderId="7" xfId="0" applyNumberFormat="1" applyBorder="1"/>
    <xf numFmtId="166" fontId="0" fillId="0" borderId="8" xfId="0" applyNumberFormat="1" applyBorder="1"/>
    <xf numFmtId="0" fontId="0" fillId="0" borderId="1" xfId="0" applyBorder="1" applyAlignment="1">
      <alignment horizontal="right"/>
    </xf>
    <xf numFmtId="0" fontId="0" fillId="0" borderId="4" xfId="0"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0" fontId="0" fillId="0" borderId="4" xfId="0" applyBorder="1" applyAlignment="1">
      <alignment horizontal="right" vertical="center"/>
    </xf>
    <xf numFmtId="0" fontId="0" fillId="0" borderId="0" xfId="0" applyAlignment="1">
      <alignment horizontal="right"/>
    </xf>
    <xf numFmtId="0" fontId="0" fillId="0" borderId="6" xfId="0" applyBorder="1" applyAlignment="1">
      <alignment horizontal="right" vertical="center"/>
    </xf>
    <xf numFmtId="0" fontId="0" fillId="0" borderId="4" xfId="0" applyBorder="1" applyAlignment="1">
      <alignment horizontal="left"/>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center"/>
    </xf>
    <xf numFmtId="0" fontId="0" fillId="0" borderId="9" xfId="0" applyBorder="1" applyAlignment="1">
      <alignment horizontal="center"/>
    </xf>
    <xf numFmtId="0" fontId="0" fillId="0" borderId="1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167640</xdr:colOff>
      <xdr:row>6</xdr:row>
      <xdr:rowOff>132209</xdr:rowOff>
    </xdr:from>
    <xdr:to>
      <xdr:col>24</xdr:col>
      <xdr:colOff>391799</xdr:colOff>
      <xdr:row>24</xdr:row>
      <xdr:rowOff>150852</xdr:rowOff>
    </xdr:to>
    <xdr:pic>
      <xdr:nvPicPr>
        <xdr:cNvPr id="2" name="Image 1">
          <a:extLst>
            <a:ext uri="{FF2B5EF4-FFF2-40B4-BE49-F238E27FC236}">
              <a16:creationId xmlns:a16="http://schemas.microsoft.com/office/drawing/2014/main" id="{1ED515C6-35F6-17D6-6E33-8B0B1655E1E7}"/>
            </a:ext>
          </a:extLst>
        </xdr:cNvPr>
        <xdr:cNvPicPr>
          <a:picLocks noChangeAspect="1"/>
        </xdr:cNvPicPr>
      </xdr:nvPicPr>
      <xdr:blipFill>
        <a:blip xmlns:r="http://schemas.openxmlformats.org/officeDocument/2006/relationships" r:embed="rId1"/>
        <a:stretch>
          <a:fillRect/>
        </a:stretch>
      </xdr:blipFill>
      <xdr:spPr>
        <a:xfrm>
          <a:off x="11148060" y="1244729"/>
          <a:ext cx="5885819" cy="3965803"/>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890-E284-42EA-AA4A-F7C2FA3BED20}">
  <dimension ref="B1:AB49"/>
  <sheetViews>
    <sheetView tabSelected="1" zoomScaleNormal="100" workbookViewId="0">
      <selection activeCell="M19" sqref="M19"/>
    </sheetView>
  </sheetViews>
  <sheetFormatPr defaultColWidth="8.88671875" defaultRowHeight="14.4" x14ac:dyDescent="0.3"/>
  <cols>
    <col min="1" max="1" width="2.6640625" customWidth="1"/>
    <col min="2" max="2" width="22.33203125" bestFit="1" customWidth="1"/>
    <col min="3" max="3" width="19.5546875" customWidth="1"/>
    <col min="6" max="6" width="12.44140625" customWidth="1"/>
    <col min="7" max="12" width="9.33203125" customWidth="1"/>
    <col min="13" max="14" width="9.6640625" customWidth="1"/>
    <col min="15" max="15" width="10" customWidth="1"/>
    <col min="16" max="19" width="9.109375" customWidth="1"/>
    <col min="20" max="20" width="9.6640625" bestFit="1" customWidth="1"/>
    <col min="21" max="24" width="9.109375" customWidth="1"/>
    <col min="25" max="25" width="10.5546875" bestFit="1" customWidth="1"/>
    <col min="26" max="26" width="10.21875" bestFit="1" customWidth="1"/>
  </cols>
  <sheetData>
    <row r="1" spans="2:14" ht="15" thickBot="1" x14ac:dyDescent="0.35"/>
    <row r="2" spans="2:14" ht="15" thickBot="1" x14ac:dyDescent="0.35">
      <c r="B2" s="10" t="s">
        <v>18</v>
      </c>
      <c r="C2" s="11"/>
      <c r="D2" s="11"/>
      <c r="E2" s="11"/>
      <c r="F2" s="11"/>
      <c r="G2" s="11"/>
      <c r="H2" s="11"/>
      <c r="I2" s="11"/>
      <c r="J2" s="11"/>
      <c r="K2" s="11"/>
      <c r="L2" s="11"/>
      <c r="M2" s="11"/>
      <c r="N2" s="12"/>
    </row>
    <row r="3" spans="2:14" x14ac:dyDescent="0.3">
      <c r="B3" s="21" t="s">
        <v>19</v>
      </c>
      <c r="C3" s="13" t="s">
        <v>58</v>
      </c>
      <c r="D3" s="3"/>
      <c r="E3" s="3"/>
      <c r="F3" s="3"/>
      <c r="G3" s="3"/>
      <c r="H3" s="3"/>
      <c r="I3" s="3"/>
      <c r="J3" s="3"/>
      <c r="K3" s="3"/>
      <c r="L3" s="3"/>
      <c r="M3" s="3"/>
      <c r="N3" s="4"/>
    </row>
    <row r="4" spans="2:14" x14ac:dyDescent="0.3">
      <c r="B4" s="22" t="s">
        <v>20</v>
      </c>
      <c r="C4" s="5" t="s">
        <v>50</v>
      </c>
      <c r="N4" s="6"/>
    </row>
    <row r="5" spans="2:14" x14ac:dyDescent="0.3">
      <c r="B5" s="22" t="s">
        <v>21</v>
      </c>
      <c r="C5" s="52">
        <v>2019</v>
      </c>
      <c r="N5" s="6"/>
    </row>
    <row r="6" spans="2:14" x14ac:dyDescent="0.3">
      <c r="B6" s="22" t="s">
        <v>22</v>
      </c>
      <c r="C6" s="5" t="s">
        <v>51</v>
      </c>
      <c r="N6" s="6"/>
    </row>
    <row r="7" spans="2:14" ht="59.4" customHeight="1" thickBot="1" x14ac:dyDescent="0.35">
      <c r="B7" s="16" t="s">
        <v>81</v>
      </c>
      <c r="C7" s="53" t="s">
        <v>82</v>
      </c>
      <c r="D7" s="54"/>
      <c r="E7" s="54"/>
      <c r="F7" s="54"/>
      <c r="G7" s="54"/>
      <c r="H7" s="54"/>
      <c r="I7" s="54"/>
      <c r="J7" s="54"/>
      <c r="K7" s="54"/>
      <c r="L7" s="54"/>
      <c r="M7" s="54"/>
      <c r="N7" s="55"/>
    </row>
    <row r="8" spans="2:14" ht="15" thickBot="1" x14ac:dyDescent="0.35"/>
    <row r="9" spans="2:14" ht="15" thickBot="1" x14ac:dyDescent="0.35">
      <c r="B9" s="10" t="s">
        <v>23</v>
      </c>
      <c r="C9" s="19"/>
      <c r="E9" s="10" t="s">
        <v>27</v>
      </c>
      <c r="F9" s="18"/>
      <c r="G9" s="18"/>
      <c r="H9" s="18"/>
      <c r="I9" s="18"/>
      <c r="J9" s="19"/>
    </row>
    <row r="10" spans="2:14" ht="15" thickBot="1" x14ac:dyDescent="0.35">
      <c r="B10" s="21" t="s">
        <v>24</v>
      </c>
      <c r="C10" s="6" t="s">
        <v>57</v>
      </c>
      <c r="E10" s="10" t="s">
        <v>54</v>
      </c>
      <c r="F10" s="11" t="s">
        <v>13</v>
      </c>
      <c r="G10" s="10" t="s">
        <v>54</v>
      </c>
      <c r="H10" s="12" t="s">
        <v>55</v>
      </c>
      <c r="I10" s="11" t="s">
        <v>55</v>
      </c>
      <c r="J10" s="12" t="s">
        <v>13</v>
      </c>
    </row>
    <row r="11" spans="2:14" ht="15" thickBot="1" x14ac:dyDescent="0.35">
      <c r="B11" s="22" t="s">
        <v>11</v>
      </c>
      <c r="C11" s="6" t="s">
        <v>49</v>
      </c>
      <c r="E11" s="57" t="s">
        <v>0</v>
      </c>
      <c r="F11" s="58"/>
      <c r="G11" s="57" t="s">
        <v>0</v>
      </c>
      <c r="H11" s="58"/>
      <c r="I11" s="57" t="s">
        <v>5</v>
      </c>
      <c r="J11" s="58"/>
    </row>
    <row r="12" spans="2:14" x14ac:dyDescent="0.3">
      <c r="B12" s="22" t="s">
        <v>25</v>
      </c>
      <c r="C12" s="6" t="s">
        <v>47</v>
      </c>
    </row>
    <row r="13" spans="2:14" x14ac:dyDescent="0.3">
      <c r="B13" s="22" t="s">
        <v>26</v>
      </c>
      <c r="C13" s="6" t="s">
        <v>53</v>
      </c>
      <c r="E13" s="1"/>
      <c r="F13" s="1"/>
      <c r="G13" s="1"/>
      <c r="H13" s="1"/>
      <c r="I13" s="1"/>
      <c r="J13" s="1"/>
    </row>
    <row r="14" spans="2:14" ht="15" thickBot="1" x14ac:dyDescent="0.35">
      <c r="B14" s="16" t="s">
        <v>27</v>
      </c>
      <c r="C14" s="9" t="s">
        <v>48</v>
      </c>
      <c r="E14" s="56"/>
      <c r="F14" s="56"/>
      <c r="G14" s="56"/>
      <c r="H14" s="56"/>
      <c r="I14" s="56"/>
      <c r="J14" s="56"/>
    </row>
    <row r="15" spans="2:14" ht="15" thickBot="1" x14ac:dyDescent="0.35">
      <c r="B15" s="1"/>
    </row>
    <row r="16" spans="2:14" ht="15" thickBot="1" x14ac:dyDescent="0.35">
      <c r="B16" s="10" t="s">
        <v>28</v>
      </c>
      <c r="C16" s="18"/>
      <c r="D16" s="19"/>
      <c r="F16" s="10" t="s">
        <v>29</v>
      </c>
      <c r="G16" s="18"/>
      <c r="H16" s="19"/>
    </row>
    <row r="17" spans="2:28" x14ac:dyDescent="0.3">
      <c r="B17" s="21" t="s">
        <v>30</v>
      </c>
      <c r="C17" s="3">
        <v>1.05</v>
      </c>
      <c r="D17" s="4" t="s">
        <v>6</v>
      </c>
      <c r="F17" s="21" t="s">
        <v>14</v>
      </c>
      <c r="G17" s="31">
        <v>0.1</v>
      </c>
      <c r="H17" s="6" t="s">
        <v>31</v>
      </c>
    </row>
    <row r="18" spans="2:28" x14ac:dyDescent="0.3">
      <c r="B18" s="22" t="s">
        <v>32</v>
      </c>
      <c r="C18">
        <v>0.71599999999999997</v>
      </c>
      <c r="D18" s="6" t="s">
        <v>6</v>
      </c>
      <c r="F18" s="22" t="s">
        <v>33</v>
      </c>
      <c r="G18" s="37">
        <v>3.2441052663735577</v>
      </c>
      <c r="H18" s="6" t="s">
        <v>34</v>
      </c>
    </row>
    <row r="19" spans="2:28" ht="15" thickBot="1" x14ac:dyDescent="0.35">
      <c r="B19" s="22" t="s">
        <v>35</v>
      </c>
      <c r="C19" s="34">
        <v>1.0062</v>
      </c>
      <c r="D19" s="6" t="s">
        <v>6</v>
      </c>
      <c r="F19" s="16" t="s">
        <v>36</v>
      </c>
      <c r="G19" s="8">
        <v>6.3</v>
      </c>
      <c r="H19" s="9" t="s">
        <v>34</v>
      </c>
    </row>
    <row r="20" spans="2:28" x14ac:dyDescent="0.3">
      <c r="B20" s="22" t="s">
        <v>10</v>
      </c>
      <c r="C20">
        <v>4.3E-3</v>
      </c>
      <c r="D20" s="6" t="s">
        <v>6</v>
      </c>
    </row>
    <row r="21" spans="2:28" x14ac:dyDescent="0.3">
      <c r="B21" s="22" t="s">
        <v>15</v>
      </c>
      <c r="C21" s="50" t="s">
        <v>8</v>
      </c>
      <c r="D21" s="6" t="s">
        <v>6</v>
      </c>
    </row>
    <row r="22" spans="2:28" ht="15" thickBot="1" x14ac:dyDescent="0.35">
      <c r="B22" s="16" t="s">
        <v>12</v>
      </c>
      <c r="C22" s="8">
        <f>2*117</f>
        <v>234</v>
      </c>
      <c r="D22" s="9" t="s">
        <v>2</v>
      </c>
    </row>
    <row r="23" spans="2:28" ht="15" thickBot="1" x14ac:dyDescent="0.35">
      <c r="B23" s="1"/>
      <c r="D23" s="6"/>
    </row>
    <row r="24" spans="2:28" ht="15" thickBot="1" x14ac:dyDescent="0.35">
      <c r="B24" s="2" t="s">
        <v>37</v>
      </c>
      <c r="C24" s="3"/>
      <c r="D24" s="4"/>
    </row>
    <row r="25" spans="2:28" x14ac:dyDescent="0.3">
      <c r="B25" s="2" t="s">
        <v>38</v>
      </c>
      <c r="C25" s="45" t="s">
        <v>72</v>
      </c>
      <c r="D25" s="4" t="s">
        <v>16</v>
      </c>
    </row>
    <row r="26" spans="2:28" x14ac:dyDescent="0.3">
      <c r="B26" s="20" t="s">
        <v>39</v>
      </c>
      <c r="C26" s="46" t="s">
        <v>73</v>
      </c>
      <c r="D26" s="6" t="s">
        <v>16</v>
      </c>
    </row>
    <row r="27" spans="2:28" ht="28.8" x14ac:dyDescent="0.3">
      <c r="B27" s="32" t="s">
        <v>40</v>
      </c>
      <c r="C27" s="49" t="s">
        <v>75</v>
      </c>
      <c r="D27" s="33" t="s">
        <v>17</v>
      </c>
      <c r="E27" s="38"/>
      <c r="G27" s="23"/>
      <c r="H27" s="23"/>
      <c r="Q27" s="23"/>
    </row>
    <row r="28" spans="2:28" ht="15" thickBot="1" x14ac:dyDescent="0.35">
      <c r="B28" s="14" t="s">
        <v>41</v>
      </c>
      <c r="C28" s="51" t="s">
        <v>74</v>
      </c>
      <c r="D28" s="9" t="s">
        <v>42</v>
      </c>
      <c r="I28" s="34"/>
      <c r="J28" s="34"/>
      <c r="K28" s="34"/>
      <c r="L28" s="34"/>
    </row>
    <row r="29" spans="2:28" ht="15" thickBot="1" x14ac:dyDescent="0.35"/>
    <row r="30" spans="2:28" ht="15" thickBot="1" x14ac:dyDescent="0.35">
      <c r="B30" s="2"/>
      <c r="C30" s="10" t="s">
        <v>43</v>
      </c>
      <c r="D30" s="11"/>
      <c r="E30" s="11"/>
      <c r="F30" s="11"/>
      <c r="G30" s="11"/>
      <c r="H30" s="11"/>
      <c r="I30" s="11"/>
      <c r="J30" s="11"/>
      <c r="K30" s="11"/>
      <c r="L30" s="12"/>
      <c r="M30" s="10" t="s">
        <v>44</v>
      </c>
      <c r="N30" s="11"/>
      <c r="O30" s="11"/>
      <c r="P30" s="11"/>
      <c r="Q30" s="11"/>
      <c r="R30" s="11"/>
      <c r="S30" s="11"/>
      <c r="T30" s="12"/>
      <c r="U30" s="12" t="s">
        <v>45</v>
      </c>
      <c r="V30" s="3"/>
      <c r="W30" s="3"/>
      <c r="X30" s="18"/>
      <c r="Y30" s="3"/>
      <c r="Z30" s="4"/>
    </row>
    <row r="31" spans="2:28" ht="15" thickBot="1" x14ac:dyDescent="0.35">
      <c r="B31" s="14" t="s">
        <v>46</v>
      </c>
      <c r="C31" s="14" t="s">
        <v>52</v>
      </c>
      <c r="D31" s="15" t="s">
        <v>4</v>
      </c>
      <c r="E31" s="15" t="s">
        <v>9</v>
      </c>
      <c r="F31" s="15" t="s">
        <v>7</v>
      </c>
      <c r="G31" s="15" t="s">
        <v>78</v>
      </c>
      <c r="H31" s="15" t="s">
        <v>59</v>
      </c>
      <c r="I31" s="15" t="s">
        <v>77</v>
      </c>
      <c r="J31" s="15" t="s">
        <v>76</v>
      </c>
      <c r="K31" s="15" t="s">
        <v>79</v>
      </c>
      <c r="L31" s="25" t="s">
        <v>80</v>
      </c>
      <c r="M31" s="10" t="s">
        <v>61</v>
      </c>
      <c r="N31" s="11" t="s">
        <v>62</v>
      </c>
      <c r="O31" s="11" t="s">
        <v>63</v>
      </c>
      <c r="P31" s="11" t="s">
        <v>64</v>
      </c>
      <c r="Q31" s="11" t="s">
        <v>65</v>
      </c>
      <c r="R31" s="15" t="s">
        <v>66</v>
      </c>
      <c r="S31" s="15" t="s">
        <v>67</v>
      </c>
      <c r="T31" s="25" t="s">
        <v>60</v>
      </c>
      <c r="U31" s="10" t="s">
        <v>68</v>
      </c>
      <c r="V31" s="11" t="s">
        <v>69</v>
      </c>
      <c r="W31" s="11" t="s">
        <v>70</v>
      </c>
      <c r="X31" s="11" t="s">
        <v>71</v>
      </c>
      <c r="Y31" s="11" t="s">
        <v>1</v>
      </c>
      <c r="Z31" s="12" t="s">
        <v>3</v>
      </c>
    </row>
    <row r="32" spans="2:28" x14ac:dyDescent="0.3">
      <c r="B32" s="5">
        <v>1</v>
      </c>
      <c r="C32" s="13" t="s">
        <v>56</v>
      </c>
      <c r="D32" s="3">
        <f>$C$17</f>
        <v>1.05</v>
      </c>
      <c r="E32" s="3">
        <f>$C$20</f>
        <v>4.3E-3</v>
      </c>
      <c r="F32" s="36">
        <f>$C$18</f>
        <v>0.71599999999999997</v>
      </c>
      <c r="G32" s="3">
        <v>1.1000000000000001</v>
      </c>
      <c r="H32" s="3">
        <v>0.40300000000000002</v>
      </c>
      <c r="I32" s="42">
        <v>1165.1947218170601</v>
      </c>
      <c r="J32" s="3">
        <v>8.23</v>
      </c>
      <c r="K32" s="30">
        <v>28.0597520322249</v>
      </c>
      <c r="L32" s="26">
        <v>28.0597520322249</v>
      </c>
      <c r="M32" s="13">
        <v>38.299999999999997</v>
      </c>
      <c r="N32" s="29">
        <v>1.0741779419395201E-2</v>
      </c>
      <c r="O32" s="30">
        <v>2.4313872241636303</v>
      </c>
      <c r="P32" s="3">
        <v>23.4</v>
      </c>
      <c r="Q32" s="29">
        <v>1.0741779419395201E-2</v>
      </c>
      <c r="R32" s="30">
        <v>0.97984905133794298</v>
      </c>
      <c r="S32" s="3">
        <v>26</v>
      </c>
      <c r="T32" s="40">
        <v>2.2792022792022791E-3</v>
      </c>
      <c r="U32" s="5">
        <v>23.4</v>
      </c>
      <c r="V32" s="29">
        <v>1.0741779419395201E-2</v>
      </c>
      <c r="W32" s="47" t="s">
        <v>8</v>
      </c>
      <c r="X32" s="47" t="s">
        <v>8</v>
      </c>
      <c r="Y32" s="30">
        <v>0.95499999999999996</v>
      </c>
      <c r="Z32" s="26">
        <v>0.64800000000000002</v>
      </c>
      <c r="AA32" s="34"/>
      <c r="AB32" s="23"/>
    </row>
    <row r="33" spans="2:27" x14ac:dyDescent="0.3">
      <c r="B33" s="5">
        <v>2</v>
      </c>
      <c r="C33" s="5" t="s">
        <v>56</v>
      </c>
      <c r="D33">
        <f t="shared" ref="D33:D48" si="0">$C$17</f>
        <v>1.05</v>
      </c>
      <c r="E33">
        <f t="shared" ref="E33:E48" si="1">$C$20</f>
        <v>4.3E-3</v>
      </c>
      <c r="F33" s="35">
        <f t="shared" ref="F33:F48" si="2">$C$18</f>
        <v>0.71599999999999997</v>
      </c>
      <c r="G33">
        <v>1.1000000000000001</v>
      </c>
      <c r="H33">
        <v>0.437</v>
      </c>
      <c r="I33" s="37">
        <v>1084.27316369697</v>
      </c>
      <c r="J33">
        <v>8.23</v>
      </c>
      <c r="K33" s="34">
        <v>28.0374963946918</v>
      </c>
      <c r="L33" s="27">
        <v>28.0374963946918</v>
      </c>
      <c r="M33" s="5">
        <v>38.1</v>
      </c>
      <c r="N33" s="23">
        <v>1.0454159324088001E-2</v>
      </c>
      <c r="O33" s="34">
        <v>2.2578819512689847</v>
      </c>
      <c r="P33">
        <v>23</v>
      </c>
      <c r="Q33" s="23">
        <v>1.0454159324088001E-2</v>
      </c>
      <c r="R33" s="34">
        <v>0.98669441270454628</v>
      </c>
      <c r="S33">
        <v>26</v>
      </c>
      <c r="T33" s="41">
        <v>2.2792022792022791E-3</v>
      </c>
      <c r="U33" s="5">
        <v>23</v>
      </c>
      <c r="V33" s="23">
        <v>1.0454159324088001E-2</v>
      </c>
      <c r="W33" s="47" t="s">
        <v>8</v>
      </c>
      <c r="X33" s="47" t="s">
        <v>8</v>
      </c>
      <c r="Y33" s="34">
        <v>0.96199999999999997</v>
      </c>
      <c r="Z33" s="27">
        <v>0.65100000000000002</v>
      </c>
      <c r="AA33" s="23"/>
    </row>
    <row r="34" spans="2:27" x14ac:dyDescent="0.3">
      <c r="B34" s="5">
        <v>3</v>
      </c>
      <c r="C34" s="5" t="s">
        <v>56</v>
      </c>
      <c r="D34">
        <f t="shared" si="0"/>
        <v>1.05</v>
      </c>
      <c r="E34">
        <f t="shared" si="1"/>
        <v>4.3E-3</v>
      </c>
      <c r="F34" s="35">
        <f t="shared" si="2"/>
        <v>0.71599999999999997</v>
      </c>
      <c r="G34">
        <v>1.1000000000000001</v>
      </c>
      <c r="H34">
        <v>0.437</v>
      </c>
      <c r="I34" s="37">
        <v>1085.85462188172</v>
      </c>
      <c r="J34">
        <v>8.23</v>
      </c>
      <c r="K34" s="34">
        <v>28.018357558767899</v>
      </c>
      <c r="L34" s="27">
        <v>28.018357558767899</v>
      </c>
      <c r="M34" s="5">
        <v>38.1</v>
      </c>
      <c r="N34" s="23">
        <v>1.0454159324088001E-2</v>
      </c>
      <c r="O34" s="34">
        <v>2.2578819512689847</v>
      </c>
      <c r="P34">
        <v>22.5</v>
      </c>
      <c r="Q34" s="23">
        <v>1.0454159324088001E-2</v>
      </c>
      <c r="R34" s="34">
        <v>0.98669441270454628</v>
      </c>
      <c r="S34">
        <v>26</v>
      </c>
      <c r="T34" s="41">
        <v>8.547008547008547E-4</v>
      </c>
      <c r="U34" s="5">
        <v>22.5</v>
      </c>
      <c r="V34" s="23">
        <v>1.0454159324088001E-2</v>
      </c>
      <c r="W34" s="47" t="s">
        <v>8</v>
      </c>
      <c r="X34" s="47" t="s">
        <v>8</v>
      </c>
      <c r="Y34" s="34">
        <v>0.96899999999999997</v>
      </c>
      <c r="Z34" s="27">
        <v>0.64700000000000002</v>
      </c>
      <c r="AA34" s="23"/>
    </row>
    <row r="35" spans="2:27" x14ac:dyDescent="0.3">
      <c r="B35" s="5">
        <v>4</v>
      </c>
      <c r="C35" s="5" t="s">
        <v>56</v>
      </c>
      <c r="D35">
        <f t="shared" si="0"/>
        <v>1.05</v>
      </c>
      <c r="E35">
        <f t="shared" si="1"/>
        <v>4.3E-3</v>
      </c>
      <c r="F35" s="35">
        <f t="shared" si="2"/>
        <v>0.71599999999999997</v>
      </c>
      <c r="G35">
        <v>1.1000000000000001</v>
      </c>
      <c r="H35">
        <v>0.44500000000000001</v>
      </c>
      <c r="I35" s="37">
        <v>1104.11621666259</v>
      </c>
      <c r="J35">
        <v>8.23</v>
      </c>
      <c r="K35" s="34">
        <v>28.004343576172499</v>
      </c>
      <c r="L35" s="27">
        <v>28.004343576172499</v>
      </c>
      <c r="M35" s="5">
        <v>38.1</v>
      </c>
      <c r="N35" s="23">
        <v>9.9018882101399308E-3</v>
      </c>
      <c r="O35" s="34">
        <v>2.2918118713017157</v>
      </c>
      <c r="P35">
        <v>22.1</v>
      </c>
      <c r="Q35" s="23">
        <v>9.9018882101399308E-3</v>
      </c>
      <c r="R35" s="34">
        <v>1.0198562827292634</v>
      </c>
      <c r="S35">
        <v>26</v>
      </c>
      <c r="T35" s="41">
        <v>9.1168091168091175E-4</v>
      </c>
      <c r="U35" s="5">
        <v>22.1</v>
      </c>
      <c r="V35" s="23">
        <v>9.9018882101399308E-3</v>
      </c>
      <c r="W35" s="47" t="s">
        <v>8</v>
      </c>
      <c r="X35" s="47" t="s">
        <v>8</v>
      </c>
      <c r="Y35" s="34">
        <v>0.99399999999999999</v>
      </c>
      <c r="Z35" s="27">
        <v>0.66400000000000003</v>
      </c>
      <c r="AA35" s="23"/>
    </row>
    <row r="36" spans="2:27" x14ac:dyDescent="0.3">
      <c r="B36" s="5">
        <v>5</v>
      </c>
      <c r="C36" s="5" t="s">
        <v>56</v>
      </c>
      <c r="D36">
        <f t="shared" si="0"/>
        <v>1.05</v>
      </c>
      <c r="E36">
        <f t="shared" si="1"/>
        <v>4.3E-3</v>
      </c>
      <c r="F36" s="35">
        <f t="shared" si="2"/>
        <v>0.71599999999999997</v>
      </c>
      <c r="G36">
        <v>1.1000000000000001</v>
      </c>
      <c r="H36">
        <v>0.46300000000000002</v>
      </c>
      <c r="I36" s="37">
        <v>1054.1074608762699</v>
      </c>
      <c r="J36">
        <v>8.23</v>
      </c>
      <c r="K36" s="34">
        <v>28.025479615268701</v>
      </c>
      <c r="L36" s="27">
        <v>28.025479615268701</v>
      </c>
      <c r="M36" s="5">
        <v>38.4</v>
      </c>
      <c r="N36" s="23">
        <v>9.0751996707636503E-3</v>
      </c>
      <c r="O36" s="34">
        <v>2.1892509766573252</v>
      </c>
      <c r="P36">
        <v>22.3</v>
      </c>
      <c r="Q36" s="23">
        <v>9.0751996707636503E-3</v>
      </c>
      <c r="R36" s="34">
        <v>1.0136232021923417</v>
      </c>
      <c r="S36">
        <v>25.2</v>
      </c>
      <c r="T36" s="41">
        <v>2.0512820512820513E-3</v>
      </c>
      <c r="U36" s="5">
        <v>22.3</v>
      </c>
      <c r="V36" s="23">
        <v>9.0751996707636503E-3</v>
      </c>
      <c r="W36" s="47" t="s">
        <v>8</v>
      </c>
      <c r="X36" s="47" t="s">
        <v>8</v>
      </c>
      <c r="Y36" s="34">
        <v>0.95499999999999996</v>
      </c>
      <c r="Z36" s="27">
        <v>0.626</v>
      </c>
      <c r="AA36" s="23"/>
    </row>
    <row r="37" spans="2:27" x14ac:dyDescent="0.3">
      <c r="B37" s="5">
        <v>6</v>
      </c>
      <c r="C37" s="5" t="s">
        <v>56</v>
      </c>
      <c r="D37">
        <f t="shared" si="0"/>
        <v>1.05</v>
      </c>
      <c r="E37">
        <f t="shared" si="1"/>
        <v>4.3E-3</v>
      </c>
      <c r="F37" s="35">
        <f t="shared" si="2"/>
        <v>0.71599999999999997</v>
      </c>
      <c r="G37">
        <v>1.1000000000000001</v>
      </c>
      <c r="H37">
        <v>0.45300000000000001</v>
      </c>
      <c r="I37" s="37">
        <v>1037.41996169097</v>
      </c>
      <c r="J37">
        <v>8.23</v>
      </c>
      <c r="K37" s="34">
        <v>28.003366941084799</v>
      </c>
      <c r="L37" s="27">
        <v>28.003366941084799</v>
      </c>
      <c r="M37" s="5">
        <v>38.4</v>
      </c>
      <c r="N37" s="23">
        <v>8.6882007306675092E-3</v>
      </c>
      <c r="O37" s="34">
        <v>2.1499231148012057</v>
      </c>
      <c r="P37">
        <v>21.7</v>
      </c>
      <c r="Q37" s="23">
        <v>8.6882007306675092E-3</v>
      </c>
      <c r="R37" s="34">
        <v>0.97391517100494618</v>
      </c>
      <c r="S37">
        <v>25.2</v>
      </c>
      <c r="T37" s="41">
        <v>1.8233618233618235E-3</v>
      </c>
      <c r="U37" s="5">
        <v>21.7</v>
      </c>
      <c r="V37" s="23">
        <v>8.6882007306675092E-3</v>
      </c>
      <c r="W37" s="47" t="s">
        <v>8</v>
      </c>
      <c r="X37" s="47" t="s">
        <v>8</v>
      </c>
      <c r="Y37" s="34">
        <v>0.97699999999999998</v>
      </c>
      <c r="Z37" s="27">
        <v>0.63500000000000001</v>
      </c>
      <c r="AA37" s="23"/>
    </row>
    <row r="38" spans="2:27" x14ac:dyDescent="0.3">
      <c r="B38" s="5">
        <v>7</v>
      </c>
      <c r="C38" s="5" t="s">
        <v>56</v>
      </c>
      <c r="D38">
        <f t="shared" si="0"/>
        <v>1.05</v>
      </c>
      <c r="E38">
        <f t="shared" si="1"/>
        <v>4.3E-3</v>
      </c>
      <c r="F38" s="35">
        <f t="shared" si="2"/>
        <v>0.71599999999999997</v>
      </c>
      <c r="G38">
        <v>1.1000000000000001</v>
      </c>
      <c r="H38">
        <v>0.45500000000000002</v>
      </c>
      <c r="I38" s="37">
        <v>1043.7654451891201</v>
      </c>
      <c r="J38">
        <v>8.23</v>
      </c>
      <c r="K38" s="34">
        <v>27.982724081825001</v>
      </c>
      <c r="L38" s="27">
        <v>27.982724081825001</v>
      </c>
      <c r="M38" s="5">
        <v>38.799999999999997</v>
      </c>
      <c r="N38" s="23">
        <v>7.6524395972919898E-3</v>
      </c>
      <c r="O38" s="34">
        <v>2.1568633257169916</v>
      </c>
      <c r="P38">
        <v>20.7</v>
      </c>
      <c r="Q38" s="23">
        <v>7.6524395972919898E-3</v>
      </c>
      <c r="R38" s="34">
        <v>0.98137281320123115</v>
      </c>
      <c r="S38">
        <v>24.4</v>
      </c>
      <c r="T38" s="41">
        <v>1.8233618233618235E-3</v>
      </c>
      <c r="U38" s="5">
        <v>20.7</v>
      </c>
      <c r="V38" s="23">
        <v>7.6524395972919898E-3</v>
      </c>
      <c r="W38" s="47" t="s">
        <v>8</v>
      </c>
      <c r="X38" s="47" t="s">
        <v>8</v>
      </c>
      <c r="Y38" s="34">
        <v>0.996</v>
      </c>
      <c r="Z38" s="27">
        <v>0.63300000000000001</v>
      </c>
      <c r="AA38" s="23"/>
    </row>
    <row r="39" spans="2:27" x14ac:dyDescent="0.3">
      <c r="B39" s="5">
        <v>8</v>
      </c>
      <c r="C39" s="5" t="s">
        <v>56</v>
      </c>
      <c r="D39">
        <f t="shared" si="0"/>
        <v>1.05</v>
      </c>
      <c r="E39">
        <f t="shared" si="1"/>
        <v>4.3E-3</v>
      </c>
      <c r="F39" s="35">
        <f t="shared" si="2"/>
        <v>0.71599999999999997</v>
      </c>
      <c r="G39">
        <v>1.1000000000000001</v>
      </c>
      <c r="H39">
        <v>0.437</v>
      </c>
      <c r="I39" s="37">
        <v>1016.5696961411001</v>
      </c>
      <c r="J39">
        <v>8.23</v>
      </c>
      <c r="K39" s="34">
        <v>27.964364864230902</v>
      </c>
      <c r="L39" s="27">
        <v>27.964364864230902</v>
      </c>
      <c r="M39" s="5">
        <v>38.6</v>
      </c>
      <c r="N39" s="23">
        <v>7.2665867827907101E-3</v>
      </c>
      <c r="O39" s="34">
        <v>2.0967148311135144</v>
      </c>
      <c r="P39">
        <v>20.399999999999999</v>
      </c>
      <c r="Q39" s="23">
        <v>7.2665867827907101E-3</v>
      </c>
      <c r="R39" s="34">
        <v>0.9162643811966058</v>
      </c>
      <c r="S39">
        <v>24</v>
      </c>
      <c r="T39" s="41">
        <v>1.8233618233618235E-3</v>
      </c>
      <c r="U39" s="5">
        <v>20.399999999999999</v>
      </c>
      <c r="V39" s="23">
        <v>7.2665867827907101E-3</v>
      </c>
      <c r="W39" s="47" t="s">
        <v>8</v>
      </c>
      <c r="X39" s="47" t="s">
        <v>8</v>
      </c>
      <c r="Y39" s="34">
        <v>0.96299999999999997</v>
      </c>
      <c r="Z39" s="27">
        <v>0.59299999999999997</v>
      </c>
      <c r="AA39" s="23"/>
    </row>
    <row r="40" spans="2:27" x14ac:dyDescent="0.3">
      <c r="B40" s="5">
        <v>9</v>
      </c>
      <c r="C40" s="5" t="s">
        <v>56</v>
      </c>
      <c r="D40">
        <f t="shared" si="0"/>
        <v>1.05</v>
      </c>
      <c r="E40">
        <f t="shared" si="1"/>
        <v>4.3E-3</v>
      </c>
      <c r="F40" s="35">
        <f t="shared" si="2"/>
        <v>0.71599999999999997</v>
      </c>
      <c r="G40">
        <v>1.1000000000000001</v>
      </c>
      <c r="H40">
        <v>0.38100000000000001</v>
      </c>
      <c r="I40" s="37">
        <v>1211.3177939181201</v>
      </c>
      <c r="J40">
        <v>8.23</v>
      </c>
      <c r="K40" s="34">
        <v>27.962427649539102</v>
      </c>
      <c r="L40" s="27">
        <v>27.962427649539102</v>
      </c>
      <c r="M40" s="5">
        <v>37.6</v>
      </c>
      <c r="N40" s="23">
        <v>6.4298957076500103E-3</v>
      </c>
      <c r="O40" s="34">
        <v>2.4953913914980994</v>
      </c>
      <c r="P40">
        <v>21.3</v>
      </c>
      <c r="Q40" s="23">
        <v>6.4298957076500103E-3</v>
      </c>
      <c r="R40" s="34">
        <v>0.95074412016077592</v>
      </c>
      <c r="S40">
        <v>24.5</v>
      </c>
      <c r="T40" s="41">
        <v>1.8233618233618235E-3</v>
      </c>
      <c r="U40" s="5">
        <v>21.3</v>
      </c>
      <c r="V40" s="23">
        <v>6.4298957076500103E-3</v>
      </c>
      <c r="W40" s="47" t="s">
        <v>8</v>
      </c>
      <c r="X40" s="47" t="s">
        <v>8</v>
      </c>
      <c r="Y40" s="34">
        <v>0.89200000000000002</v>
      </c>
      <c r="Z40" s="27">
        <v>0.54400000000000004</v>
      </c>
      <c r="AA40" s="23"/>
    </row>
    <row r="41" spans="2:27" x14ac:dyDescent="0.3">
      <c r="B41" s="5">
        <v>10</v>
      </c>
      <c r="C41" s="5" t="s">
        <v>56</v>
      </c>
      <c r="D41">
        <f t="shared" si="0"/>
        <v>1.05</v>
      </c>
      <c r="E41">
        <f t="shared" si="1"/>
        <v>4.3E-3</v>
      </c>
      <c r="F41" s="35">
        <f t="shared" si="2"/>
        <v>0.71599999999999997</v>
      </c>
      <c r="G41">
        <v>1.1000000000000001</v>
      </c>
      <c r="H41">
        <v>0.53600000000000003</v>
      </c>
      <c r="I41" s="37">
        <v>913.44753225551005</v>
      </c>
      <c r="J41">
        <v>8.23</v>
      </c>
      <c r="K41" s="34">
        <v>27.927546269095799</v>
      </c>
      <c r="L41" s="27">
        <v>27.927546269095799</v>
      </c>
      <c r="M41" s="5">
        <v>37.799999999999997</v>
      </c>
      <c r="N41" s="23">
        <v>6.5007881603096401E-3</v>
      </c>
      <c r="O41" s="34">
        <v>1.8769414854469635</v>
      </c>
      <c r="P41">
        <v>20.2</v>
      </c>
      <c r="Q41" s="23">
        <v>6.5007881603096401E-3</v>
      </c>
      <c r="R41" s="34">
        <v>1.0060406361995724</v>
      </c>
      <c r="S41">
        <v>23.9</v>
      </c>
      <c r="T41" s="41">
        <v>2.2792022792022791E-3</v>
      </c>
      <c r="U41" s="5">
        <v>20.2</v>
      </c>
      <c r="V41" s="23">
        <v>6.5007881603096401E-3</v>
      </c>
      <c r="W41" s="47" t="s">
        <v>8</v>
      </c>
      <c r="X41" s="47" t="s">
        <v>8</v>
      </c>
      <c r="Y41" s="34">
        <v>0.95899999999999996</v>
      </c>
      <c r="Z41" s="27">
        <v>0.58699999999999997</v>
      </c>
      <c r="AA41" s="23"/>
    </row>
    <row r="42" spans="2:27" x14ac:dyDescent="0.3">
      <c r="B42" s="5">
        <v>11</v>
      </c>
      <c r="C42" s="5" t="s">
        <v>56</v>
      </c>
      <c r="D42">
        <f t="shared" si="0"/>
        <v>1.05</v>
      </c>
      <c r="E42">
        <f t="shared" si="1"/>
        <v>4.3E-3</v>
      </c>
      <c r="F42" s="35">
        <f t="shared" si="2"/>
        <v>0.71599999999999997</v>
      </c>
      <c r="G42">
        <v>1.1000000000000001</v>
      </c>
      <c r="H42">
        <v>0.46100000000000002</v>
      </c>
      <c r="I42" s="37">
        <v>830.39927467058499</v>
      </c>
      <c r="J42">
        <v>8.23</v>
      </c>
      <c r="K42" s="34">
        <v>27.3315787828898</v>
      </c>
      <c r="L42" s="27">
        <v>27.3315787828898</v>
      </c>
      <c r="M42" s="5">
        <v>25.4</v>
      </c>
      <c r="N42" s="23">
        <v>5.8577429796421903E-3</v>
      </c>
      <c r="O42" s="34">
        <v>1.6286361615710712</v>
      </c>
      <c r="P42">
        <v>17.2</v>
      </c>
      <c r="Q42" s="23">
        <v>5.8577429796421903E-3</v>
      </c>
      <c r="R42" s="34">
        <v>0.75080127048426382</v>
      </c>
      <c r="S42">
        <v>20</v>
      </c>
      <c r="T42" s="41">
        <v>2.2792022792022791E-3</v>
      </c>
      <c r="U42" s="5">
        <v>17.2</v>
      </c>
      <c r="V42" s="23">
        <v>5.8577429796421903E-3</v>
      </c>
      <c r="W42" s="47" t="s">
        <v>8</v>
      </c>
      <c r="X42" s="47" t="s">
        <v>8</v>
      </c>
      <c r="Y42" s="34">
        <v>0.749</v>
      </c>
      <c r="Z42" s="27">
        <v>0.42899999999999999</v>
      </c>
      <c r="AA42" s="23"/>
    </row>
    <row r="43" spans="2:27" x14ac:dyDescent="0.3">
      <c r="B43" s="5">
        <v>12</v>
      </c>
      <c r="C43" s="5" t="s">
        <v>56</v>
      </c>
      <c r="D43">
        <f t="shared" si="0"/>
        <v>1.05</v>
      </c>
      <c r="E43">
        <f t="shared" si="1"/>
        <v>4.3E-3</v>
      </c>
      <c r="F43" s="35">
        <f t="shared" si="2"/>
        <v>0.71599999999999997</v>
      </c>
      <c r="G43">
        <v>1.1000000000000001</v>
      </c>
      <c r="H43">
        <v>0.36099999999999999</v>
      </c>
      <c r="I43" s="37">
        <v>1169.90545396629</v>
      </c>
      <c r="J43">
        <v>8.23</v>
      </c>
      <c r="K43" s="34">
        <v>28.0972992673981</v>
      </c>
      <c r="L43" s="27">
        <v>28.0972992673981</v>
      </c>
      <c r="M43" s="5">
        <v>38.4</v>
      </c>
      <c r="N43" s="23">
        <v>1.25361802851232E-2</v>
      </c>
      <c r="O43" s="34">
        <v>2.4537501260033845</v>
      </c>
      <c r="P43">
        <v>24.4</v>
      </c>
      <c r="Q43" s="23">
        <v>1.25361802851232E-2</v>
      </c>
      <c r="R43" s="34">
        <v>0.88580379548722177</v>
      </c>
      <c r="S43">
        <v>25</v>
      </c>
      <c r="T43" s="41">
        <v>2.2792022792022791E-3</v>
      </c>
      <c r="U43" s="5">
        <v>24.4</v>
      </c>
      <c r="V43" s="23">
        <v>1.25361802851232E-2</v>
      </c>
      <c r="W43" s="47" t="s">
        <v>8</v>
      </c>
      <c r="X43" s="47" t="s">
        <v>8</v>
      </c>
      <c r="Y43" s="34">
        <v>0.96599999999999997</v>
      </c>
      <c r="Z43" s="27">
        <v>0.71399999999999997</v>
      </c>
      <c r="AA43" s="23"/>
    </row>
    <row r="44" spans="2:27" x14ac:dyDescent="0.3">
      <c r="B44" s="5">
        <v>13</v>
      </c>
      <c r="C44" s="5" t="s">
        <v>56</v>
      </c>
      <c r="D44">
        <f t="shared" si="0"/>
        <v>1.05</v>
      </c>
      <c r="E44">
        <f t="shared" si="1"/>
        <v>4.3E-3</v>
      </c>
      <c r="F44" s="35">
        <f t="shared" si="2"/>
        <v>0.71599999999999997</v>
      </c>
      <c r="G44">
        <v>1.1000000000000001</v>
      </c>
      <c r="H44">
        <v>0.46200000000000002</v>
      </c>
      <c r="I44" s="37">
        <v>1011.56550414039</v>
      </c>
      <c r="J44">
        <v>8.23</v>
      </c>
      <c r="K44" s="34">
        <v>28.037216246787001</v>
      </c>
      <c r="L44" s="27">
        <v>28.037216246787001</v>
      </c>
      <c r="M44" s="5">
        <v>38.6</v>
      </c>
      <c r="N44" s="23">
        <v>1.0570390611453401E-2</v>
      </c>
      <c r="O44" s="34">
        <v>2.1067395802140938</v>
      </c>
      <c r="P44">
        <v>22.5</v>
      </c>
      <c r="Q44" s="23">
        <v>1.0570390611453401E-2</v>
      </c>
      <c r="R44" s="34">
        <v>0.97331368605891133</v>
      </c>
      <c r="S44">
        <v>25</v>
      </c>
      <c r="T44" s="41">
        <v>2.2792022792022791E-3</v>
      </c>
      <c r="U44" s="5">
        <v>22.5</v>
      </c>
      <c r="V44" s="23">
        <v>1.0570390611453401E-2</v>
      </c>
      <c r="W44" s="47" t="s">
        <v>8</v>
      </c>
      <c r="X44" s="47" t="s">
        <v>8</v>
      </c>
      <c r="Y44" s="34">
        <v>1.006</v>
      </c>
      <c r="Z44" s="27">
        <v>0.68200000000000005</v>
      </c>
      <c r="AA44" s="23"/>
    </row>
    <row r="45" spans="2:27" x14ac:dyDescent="0.3">
      <c r="B45" s="5">
        <v>14</v>
      </c>
      <c r="C45" s="5" t="s">
        <v>56</v>
      </c>
      <c r="D45">
        <f t="shared" si="0"/>
        <v>1.05</v>
      </c>
      <c r="E45">
        <f t="shared" si="1"/>
        <v>4.3E-3</v>
      </c>
      <c r="F45" s="35">
        <f t="shared" si="2"/>
        <v>0.71599999999999997</v>
      </c>
      <c r="G45">
        <v>1.1000000000000001</v>
      </c>
      <c r="H45">
        <v>0.44700000000000001</v>
      </c>
      <c r="I45" s="37">
        <v>966.41002946789501</v>
      </c>
      <c r="J45">
        <v>8.23</v>
      </c>
      <c r="K45" s="34">
        <v>28.036755794206702</v>
      </c>
      <c r="L45" s="27">
        <v>28.036755794206702</v>
      </c>
      <c r="M45" s="5">
        <v>37.299999999999997</v>
      </c>
      <c r="N45" s="23">
        <v>1.39300706405851E-2</v>
      </c>
      <c r="O45" s="34">
        <v>2.021143645586069</v>
      </c>
      <c r="P45">
        <v>24</v>
      </c>
      <c r="Q45" s="23">
        <v>1.39300706405851E-2</v>
      </c>
      <c r="R45" s="34">
        <v>0.90345120957697289</v>
      </c>
      <c r="S45">
        <v>25</v>
      </c>
      <c r="T45" s="41">
        <v>2.2792022792022791E-3</v>
      </c>
      <c r="U45" s="5">
        <v>24</v>
      </c>
      <c r="V45" s="23">
        <v>1.39300706405851E-2</v>
      </c>
      <c r="W45" s="47" t="s">
        <v>8</v>
      </c>
      <c r="X45" s="47" t="s">
        <v>8</v>
      </c>
      <c r="Y45" s="34">
        <v>1.0389999999999999</v>
      </c>
      <c r="Z45" s="27">
        <v>0.73899999999999999</v>
      </c>
      <c r="AA45" s="23"/>
    </row>
    <row r="46" spans="2:27" x14ac:dyDescent="0.3">
      <c r="B46" s="5">
        <v>15</v>
      </c>
      <c r="C46" s="5" t="s">
        <v>56</v>
      </c>
      <c r="D46">
        <f t="shared" si="0"/>
        <v>1.05</v>
      </c>
      <c r="E46">
        <f t="shared" si="1"/>
        <v>4.3E-3</v>
      </c>
      <c r="F46" s="35">
        <f t="shared" si="2"/>
        <v>0.71599999999999997</v>
      </c>
      <c r="G46">
        <v>1.1000000000000001</v>
      </c>
      <c r="H46">
        <v>0.39500000000000002</v>
      </c>
      <c r="I46" s="37">
        <v>1070.81765381173</v>
      </c>
      <c r="J46">
        <v>8.23</v>
      </c>
      <c r="K46" s="34">
        <v>28.073696254674299</v>
      </c>
      <c r="L46" s="27">
        <v>28.073696254674299</v>
      </c>
      <c r="M46" s="5">
        <v>38.299999999999997</v>
      </c>
      <c r="N46" s="23">
        <v>1.43762928217429E-2</v>
      </c>
      <c r="O46" s="34">
        <v>2.2470860676222069</v>
      </c>
      <c r="P46">
        <v>24</v>
      </c>
      <c r="Q46" s="23">
        <v>1.43762928217429E-2</v>
      </c>
      <c r="R46" s="34">
        <v>0.8875989967107718</v>
      </c>
      <c r="S46">
        <v>25</v>
      </c>
      <c r="T46" s="41">
        <v>2.2792022792022791E-3</v>
      </c>
      <c r="U46" s="5">
        <v>24</v>
      </c>
      <c r="V46" s="23">
        <v>1.43762928217429E-2</v>
      </c>
      <c r="W46" s="47" t="s">
        <v>8</v>
      </c>
      <c r="X46" s="47" t="s">
        <v>8</v>
      </c>
      <c r="Y46" s="34">
        <v>1.075</v>
      </c>
      <c r="Z46" s="27">
        <v>0.77300000000000002</v>
      </c>
      <c r="AA46" s="23"/>
    </row>
    <row r="47" spans="2:27" x14ac:dyDescent="0.3">
      <c r="B47" s="5">
        <v>16</v>
      </c>
      <c r="C47" s="5" t="s">
        <v>56</v>
      </c>
      <c r="D47">
        <f t="shared" si="0"/>
        <v>1.05</v>
      </c>
      <c r="E47">
        <f t="shared" si="1"/>
        <v>4.3E-3</v>
      </c>
      <c r="F47" s="35">
        <f t="shared" si="2"/>
        <v>0.71599999999999997</v>
      </c>
      <c r="G47">
        <v>1.1000000000000001</v>
      </c>
      <c r="H47">
        <v>0.40200000000000002</v>
      </c>
      <c r="I47" s="37">
        <v>1167.5734943007201</v>
      </c>
      <c r="J47">
        <v>8.23</v>
      </c>
      <c r="K47" s="34">
        <v>28.141240040683499</v>
      </c>
      <c r="L47" s="27">
        <v>28.141240040683499</v>
      </c>
      <c r="M47" s="5">
        <v>38.700000000000003</v>
      </c>
      <c r="N47" s="23">
        <v>1.46972911569645E-2</v>
      </c>
      <c r="O47" s="34">
        <v>2.4637748751039643</v>
      </c>
      <c r="P47">
        <v>25.4</v>
      </c>
      <c r="Q47" s="23">
        <v>1.46972911569645E-2</v>
      </c>
      <c r="R47" s="34">
        <v>0.99043749979179374</v>
      </c>
      <c r="S47">
        <v>27</v>
      </c>
      <c r="T47" s="41">
        <v>2.2792022792022791E-3</v>
      </c>
      <c r="U47" s="5">
        <v>25.4</v>
      </c>
      <c r="V47" s="23">
        <v>1.46972911569645E-2</v>
      </c>
      <c r="W47" s="47" t="s">
        <v>8</v>
      </c>
      <c r="X47" s="47" t="s">
        <v>8</v>
      </c>
      <c r="Y47" s="34">
        <v>0.99299999999999999</v>
      </c>
      <c r="Z47" s="27">
        <v>0.71499999999999997</v>
      </c>
      <c r="AA47" s="23"/>
    </row>
    <row r="48" spans="2:27" ht="15" thickBot="1" x14ac:dyDescent="0.35">
      <c r="B48" s="5">
        <v>17</v>
      </c>
      <c r="C48" s="7" t="s">
        <v>56</v>
      </c>
      <c r="D48" s="8">
        <f t="shared" si="0"/>
        <v>1.05</v>
      </c>
      <c r="E48" s="8">
        <f t="shared" si="1"/>
        <v>4.3E-3</v>
      </c>
      <c r="F48" s="39">
        <f t="shared" si="2"/>
        <v>0.71599999999999997</v>
      </c>
      <c r="G48" s="8">
        <v>1.1000000000000001</v>
      </c>
      <c r="H48" s="8">
        <v>0.39100000000000001</v>
      </c>
      <c r="I48" s="43">
        <v>1206.94049429855</v>
      </c>
      <c r="J48" s="8">
        <v>8.23</v>
      </c>
      <c r="K48" s="17">
        <v>28.091197399565001</v>
      </c>
      <c r="L48" s="28">
        <v>28.091197399565001</v>
      </c>
      <c r="M48" s="7">
        <v>37.6</v>
      </c>
      <c r="N48" s="24">
        <v>1.3453334748545801E-2</v>
      </c>
      <c r="O48" s="17">
        <v>2.5331769842618224</v>
      </c>
      <c r="P48" s="8">
        <v>25.1</v>
      </c>
      <c r="Q48" s="24">
        <v>1.3453334748545801E-2</v>
      </c>
      <c r="R48" s="17">
        <v>0.99047220084637255</v>
      </c>
      <c r="S48" s="8">
        <v>27</v>
      </c>
      <c r="T48" s="44">
        <v>2.2792022792022791E-3</v>
      </c>
      <c r="U48" s="7">
        <v>25.1</v>
      </c>
      <c r="V48" s="24">
        <v>1.3453334748545801E-2</v>
      </c>
      <c r="W48" s="48" t="s">
        <v>8</v>
      </c>
      <c r="X48" s="48" t="s">
        <v>8</v>
      </c>
      <c r="Y48" s="17">
        <v>0.99299999999999999</v>
      </c>
      <c r="Z48" s="28">
        <v>0.71099999999999997</v>
      </c>
      <c r="AA48" s="23"/>
    </row>
    <row r="49" spans="2:2" x14ac:dyDescent="0.3">
      <c r="B49" s="3"/>
    </row>
  </sheetData>
  <mergeCells count="7">
    <mergeCell ref="C7:N7"/>
    <mergeCell ref="E14:F14"/>
    <mergeCell ref="G14:H14"/>
    <mergeCell ref="I14:J14"/>
    <mergeCell ref="E11:F11"/>
    <mergeCell ref="G11:H11"/>
    <mergeCell ref="I11:J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2.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3.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Liu2019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2025-08-12T08:57:22Z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