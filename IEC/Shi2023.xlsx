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AZ\alaniszeo_git\EC-generic-model\Database_for_model_validation\IEC\"/>
    </mc:Choice>
  </mc:AlternateContent>
  <xr:revisionPtr revIDLastSave="0" documentId="13_ncr:1_{29458CE7-E3AA-4787-BD3D-6F2C31508B41}" xr6:coauthVersionLast="47" xr6:coauthVersionMax="47" xr10:uidLastSave="{00000000-0000-0000-0000-000000000000}"/>
  <bookViews>
    <workbookView xWindow="-108" yWindow="-108" windowWidth="30936" windowHeight="16776" activeTab="1" xr2:uid="{1306219A-737B-4B5D-BCFD-98C34D3C77CC}"/>
  </bookViews>
  <sheets>
    <sheet name="Ren2006" sheetId="10" r:id="rId1"/>
    <sheet name="Shi2023" sheetId="1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3" i="11" l="1"/>
  <c r="B34" i="11" s="1"/>
  <c r="B35" i="11" s="1"/>
  <c r="B36" i="11" s="1"/>
  <c r="B37" i="11" s="1"/>
  <c r="B38" i="11" s="1"/>
  <c r="B39" i="11" s="1"/>
  <c r="B40" i="11" s="1"/>
  <c r="B41" i="11" s="1"/>
  <c r="B42" i="11" s="1"/>
  <c r="B43" i="11" s="1"/>
  <c r="B44" i="11" s="1"/>
  <c r="B45" i="11" s="1"/>
  <c r="B46" i="11" s="1"/>
  <c r="B47" i="11" s="1"/>
  <c r="B48" i="11" s="1"/>
  <c r="B49" i="11" s="1"/>
  <c r="B50" i="11" s="1"/>
  <c r="B51" i="11" s="1"/>
  <c r="B52" i="11" s="1"/>
  <c r="B53" i="11" s="1"/>
  <c r="B54" i="11" s="1"/>
  <c r="B55" i="11" s="1"/>
  <c r="B56" i="11" s="1"/>
  <c r="B57" i="11" s="1"/>
  <c r="B58" i="11" s="1"/>
  <c r="B59" i="11" s="1"/>
  <c r="B60" i="11" s="1"/>
  <c r="B61" i="11" s="1"/>
  <c r="B62" i="11" s="1"/>
  <c r="B63" i="11" s="1"/>
  <c r="B64" i="11" s="1"/>
  <c r="B65" i="11" s="1"/>
  <c r="B66" i="11" s="1"/>
  <c r="B67" i="11" s="1"/>
  <c r="B68" i="11" s="1"/>
  <c r="B69" i="11" s="1"/>
  <c r="B70" i="11" s="1"/>
  <c r="B71" i="11" s="1"/>
  <c r="B72" i="11" s="1"/>
  <c r="B73" i="11" s="1"/>
  <c r="B74" i="11" s="1"/>
  <c r="B75" i="11" s="1"/>
  <c r="B76" i="11" s="1"/>
  <c r="B77" i="11" s="1"/>
  <c r="B78" i="11" s="1"/>
  <c r="B79" i="11" s="1"/>
  <c r="B80" i="11" s="1"/>
  <c r="B81" i="11" s="1"/>
  <c r="B82" i="11" s="1"/>
  <c r="B83" i="11" s="1"/>
  <c r="B84" i="11" s="1"/>
  <c r="B85" i="11" s="1"/>
  <c r="B86" i="11" s="1"/>
  <c r="B87" i="11" s="1"/>
  <c r="B88" i="11" s="1"/>
  <c r="B89" i="11" s="1"/>
  <c r="B90" i="11" s="1"/>
  <c r="B91" i="11" s="1"/>
  <c r="B92" i="11" s="1"/>
  <c r="B93" i="11" s="1"/>
  <c r="B94" i="11" s="1"/>
  <c r="B95" i="11" s="1"/>
  <c r="B96" i="11" s="1"/>
  <c r="B97" i="11" s="1"/>
  <c r="B98" i="11" s="1"/>
  <c r="B99" i="11" s="1"/>
  <c r="V33" i="11"/>
  <c r="V34" i="11"/>
  <c r="V35" i="11"/>
  <c r="V36" i="11"/>
  <c r="V37" i="11"/>
  <c r="V38" i="11"/>
  <c r="V39" i="11"/>
  <c r="V40" i="11"/>
  <c r="V41" i="11"/>
  <c r="V42" i="11"/>
  <c r="V43" i="11"/>
  <c r="V44" i="11"/>
  <c r="V45" i="11"/>
  <c r="V46" i="11"/>
  <c r="V47" i="11"/>
  <c r="V48" i="11"/>
  <c r="V49" i="11"/>
  <c r="V50" i="11"/>
  <c r="V51" i="11"/>
  <c r="V52" i="11"/>
  <c r="V53" i="11"/>
  <c r="V54" i="11"/>
  <c r="V55" i="11"/>
  <c r="V56" i="11"/>
  <c r="V57" i="11"/>
  <c r="V58" i="11"/>
  <c r="V59" i="11"/>
  <c r="V60" i="11"/>
  <c r="V61" i="11"/>
  <c r="V62" i="11"/>
  <c r="V63" i="11"/>
  <c r="V64" i="11"/>
  <c r="V65" i="11"/>
  <c r="V66" i="11"/>
  <c r="V67" i="11"/>
  <c r="V68" i="11"/>
  <c r="V69" i="11"/>
  <c r="V70" i="11"/>
  <c r="V71" i="11"/>
  <c r="V72" i="11"/>
  <c r="V73" i="11"/>
  <c r="V74" i="11"/>
  <c r="V75" i="11"/>
  <c r="V76" i="11"/>
  <c r="V77" i="11"/>
  <c r="V78" i="11"/>
  <c r="V79" i="11"/>
  <c r="V80" i="11"/>
  <c r="V81" i="11"/>
  <c r="V82" i="11"/>
  <c r="V83" i="11"/>
  <c r="V84" i="11"/>
  <c r="V85" i="11"/>
  <c r="V86" i="11"/>
  <c r="V87" i="11"/>
  <c r="V88" i="11"/>
  <c r="V89" i="11"/>
  <c r="V90" i="11"/>
  <c r="V91" i="11"/>
  <c r="V92" i="11"/>
  <c r="V93" i="11"/>
  <c r="V94" i="11"/>
  <c r="V95" i="11"/>
  <c r="V96" i="11"/>
  <c r="V97" i="11"/>
  <c r="V98" i="11"/>
  <c r="V99" i="11"/>
  <c r="V32" i="11"/>
  <c r="B32" i="10" l="1"/>
  <c r="B33" i="10" s="1"/>
  <c r="B34" i="10" s="1"/>
  <c r="B35" i="10" s="1"/>
  <c r="B36" i="10" s="1"/>
  <c r="B37" i="10" s="1"/>
  <c r="B38" i="10" s="1"/>
  <c r="B39" i="10" s="1"/>
  <c r="B40" i="10" s="1"/>
  <c r="B41" i="10" s="1"/>
  <c r="B42" i="10" s="1"/>
  <c r="B43" i="10" s="1"/>
  <c r="B44" i="10" s="1"/>
  <c r="B45" i="10" s="1"/>
  <c r="B46" i="10" s="1"/>
</calcChain>
</file>

<file path=xl/sharedStrings.xml><?xml version="1.0" encoding="utf-8"?>
<sst xmlns="http://schemas.openxmlformats.org/spreadsheetml/2006/main" count="578" uniqueCount="98">
  <si>
    <t>Authors</t>
  </si>
  <si>
    <t>Title</t>
  </si>
  <si>
    <t>Year</t>
  </si>
  <si>
    <t>HEX characteristics</t>
  </si>
  <si>
    <t>Data type</t>
  </si>
  <si>
    <t>L</t>
  </si>
  <si>
    <t>m/s</t>
  </si>
  <si>
    <t>-</t>
  </si>
  <si>
    <t>m</t>
  </si>
  <si>
    <t>Configuration</t>
  </si>
  <si>
    <t>Water recirculation</t>
  </si>
  <si>
    <t>Run</t>
  </si>
  <si>
    <t>epsilon_wb</t>
  </si>
  <si>
    <t>Inlet conditions</t>
  </si>
  <si>
    <t>Outlet conditions</t>
  </si>
  <si>
    <t>HEX type</t>
  </si>
  <si>
    <t>Water injection type</t>
  </si>
  <si>
    <t>wf</t>
  </si>
  <si>
    <t>counterflow</t>
  </si>
  <si>
    <t>Geometry</t>
  </si>
  <si>
    <t>Length</t>
  </si>
  <si>
    <t>Height</t>
  </si>
  <si>
    <t>Channel width</t>
  </si>
  <si>
    <t>Paper information</t>
  </si>
  <si>
    <t>Operating conditions</t>
  </si>
  <si>
    <t>Water supplied</t>
  </si>
  <si>
    <t>Wall thickness</t>
  </si>
  <si>
    <t>Primary fluid velocity</t>
  </si>
  <si>
    <t>Secondary fluid velocity</t>
  </si>
  <si>
    <t>epsilon_dp</t>
  </si>
  <si>
    <t>kg/kg</t>
  </si>
  <si>
    <t>C</t>
  </si>
  <si>
    <t>P</t>
  </si>
  <si>
    <t>parallel</t>
  </si>
  <si>
    <t>NA</t>
  </si>
  <si>
    <t>Testing conditions</t>
  </si>
  <si>
    <t>W</t>
  </si>
  <si>
    <t>h_ch</t>
  </si>
  <si>
    <t>Channel height</t>
  </si>
  <si>
    <t>crossflow</t>
  </si>
  <si>
    <t>Number of channels</t>
  </si>
  <si>
    <t>SPR</t>
  </si>
  <si>
    <t>pd</t>
  </si>
  <si>
    <t>sw</t>
  </si>
  <si>
    <t>Wall material</t>
  </si>
  <si>
    <t>Width</t>
  </si>
  <si>
    <t>Secondary-to-Primary flow rate ratio</t>
  </si>
  <si>
    <t>kg/s</t>
  </si>
  <si>
    <t>Test</t>
  </si>
  <si>
    <t>T_pdi</t>
  </si>
  <si>
    <t>w_pdi</t>
  </si>
  <si>
    <t>v_pdi</t>
  </si>
  <si>
    <t>T_swi</t>
  </si>
  <si>
    <t>w_swi</t>
  </si>
  <si>
    <t>v_swi</t>
  </si>
  <si>
    <t>T_wfi</t>
  </si>
  <si>
    <t>m_dot_wf</t>
  </si>
  <si>
    <t>T_pdo</t>
  </si>
  <si>
    <t>w_pdo</t>
  </si>
  <si>
    <t>T_swo</t>
  </si>
  <si>
    <t>w_wso</t>
  </si>
  <si>
    <t>IEC</t>
  </si>
  <si>
    <t>Yes</t>
  </si>
  <si>
    <t>w_swo</t>
  </si>
  <si>
    <t>No</t>
  </si>
  <si>
    <r>
      <t xml:space="preserve">Shi </t>
    </r>
    <r>
      <rPr>
        <i/>
        <sz val="11"/>
        <color theme="1"/>
        <rFont val="Calibri"/>
        <family val="2"/>
        <scheme val="minor"/>
      </rPr>
      <t>et al.</t>
    </r>
  </si>
  <si>
    <t>A novel indirect evaporative cooler with porous media under dual spraying modes: A comparative analysis from energy, exergy, and environmental perspectives</t>
  </si>
  <si>
    <t>Numerical data, extracted from graphs</t>
  </si>
  <si>
    <t>Ren &amp; Yang</t>
  </si>
  <si>
    <t>An analytical model for the heat and mass transfer processes in indirect evaporative cooling with parallel/counter flow configurations</t>
  </si>
  <si>
    <t>Numerical and analytical, raw data, under the format used in their paper</t>
  </si>
  <si>
    <t>Water film</t>
  </si>
  <si>
    <t>PPC</t>
  </si>
  <si>
    <t>Important note : For the nomenclature refer to the original paper</t>
  </si>
  <si>
    <t>Given conditions</t>
  </si>
  <si>
    <t>Analytical results</t>
  </si>
  <si>
    <t>Numerical results</t>
  </si>
  <si>
    <t>C_star_w</t>
  </si>
  <si>
    <t>C_star_f</t>
  </si>
  <si>
    <t>r</t>
  </si>
  <si>
    <t>sigma_Lef</t>
  </si>
  <si>
    <t>NTU</t>
  </si>
  <si>
    <t>Wet surface</t>
  </si>
  <si>
    <t>Stainless steel with porous material layer</t>
  </si>
  <si>
    <t>XPC</t>
  </si>
  <si>
    <t>2-2.5</t>
  </si>
  <si>
    <t>Continuous spraying</t>
  </si>
  <si>
    <t>Periodic spraying: spray 120s then stop until T_pdo rises by 0.5 K</t>
  </si>
  <si>
    <t>1.5-3.5</t>
  </si>
  <si>
    <t>1-3</t>
  </si>
  <si>
    <t>WWR</t>
  </si>
  <si>
    <t>Re</t>
  </si>
  <si>
    <t>Nu</t>
  </si>
  <si>
    <t>0.33-1.33</t>
  </si>
  <si>
    <t>h_T_pd</t>
  </si>
  <si>
    <t>h_T_sw</t>
  </si>
  <si>
    <t>Description</t>
  </si>
  <si>
    <t>Numerical model validated based on the work of De Antonellis et al. (2019). Investigation of the effect of two water spraying techniques on the IEC performance. Contrary to De Antonellis et al., who focused on the effect of the secondary air conditions on the primary air outlet temperature, Shi et al. considered variable conditions for the primary air inlet temperature.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</si>
</sst>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
    <numFmt numFmtId="166" formatCode="0.0"/>
  </numFmts>
  <fonts count="4" x14ac:knownFonts="1">
    <font>
      <sz val="11"/>
      <color theme="1"/>
      <name val="Calibri"/>
      <family val="2"/>
      <scheme val="minor"/>
    </font>
    <font>
      <b/>
      <sz val="11"/>
      <color theme="1"/>
      <name val="Calibri"/>
      <family val="2"/>
      <scheme val="minor"/>
    </font>
    <font>
      <i/>
      <sz val="11"/>
      <color theme="1"/>
      <name val="Calibri"/>
      <family val="2"/>
      <scheme val="minor"/>
    </font>
    <font>
      <b/>
      <sz val="11"/>
      <color rgb="FFC00000"/>
      <name val="Calibri"/>
      <family val="2"/>
      <scheme val="minor"/>
    </font>
  </fonts>
  <fills count="3">
    <fill>
      <patternFill patternType="none"/>
    </fill>
    <fill>
      <patternFill patternType="gray125"/>
    </fill>
    <fill>
      <patternFill patternType="solid">
        <fgColor rgb="FFFFCCCC"/>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75">
    <xf numFmtId="0" fontId="0" fillId="0" borderId="0" xfId="0"/>
    <xf numFmtId="0" fontId="1" fillId="0" borderId="0" xfId="0" applyFont="1"/>
    <xf numFmtId="0" fontId="1" fillId="0" borderId="2" xfId="0" applyFont="1"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0" borderId="10" xfId="0" applyFont="1" applyBorder="1"/>
    <xf numFmtId="0" fontId="1" fillId="0" borderId="11" xfId="0" applyFont="1" applyBorder="1"/>
    <xf numFmtId="0" fontId="1" fillId="0" borderId="12" xfId="0" applyFont="1" applyBorder="1"/>
    <xf numFmtId="0" fontId="0" fillId="0" borderId="2" xfId="0" applyBorder="1"/>
    <xf numFmtId="0" fontId="1" fillId="0" borderId="3" xfId="0" applyFont="1" applyBorder="1"/>
    <xf numFmtId="0" fontId="1" fillId="0" borderId="7" xfId="0" applyFont="1" applyBorder="1"/>
    <xf numFmtId="0" fontId="1" fillId="0" borderId="15" xfId="0" applyFont="1" applyBorder="1"/>
    <xf numFmtId="2" fontId="0" fillId="0" borderId="0" xfId="0" applyNumberFormat="1"/>
    <xf numFmtId="0" fontId="1" fillId="0" borderId="1" xfId="0" applyFont="1" applyBorder="1"/>
    <xf numFmtId="0" fontId="0" fillId="0" borderId="11" xfId="0" applyBorder="1"/>
    <xf numFmtId="0" fontId="0" fillId="0" borderId="12" xfId="0" applyBorder="1"/>
    <xf numFmtId="0" fontId="1" fillId="0" borderId="5" xfId="0" applyFont="1" applyBorder="1"/>
    <xf numFmtId="0" fontId="1" fillId="0" borderId="13" xfId="0" applyFont="1" applyBorder="1"/>
    <xf numFmtId="0" fontId="1" fillId="0" borderId="14" xfId="0" applyFont="1" applyBorder="1"/>
    <xf numFmtId="164" fontId="0" fillId="0" borderId="0" xfId="0" applyNumberFormat="1"/>
    <xf numFmtId="164" fontId="0" fillId="0" borderId="8" xfId="0" applyNumberFormat="1" applyBorder="1"/>
    <xf numFmtId="164" fontId="0" fillId="0" borderId="3" xfId="0" applyNumberFormat="1" applyBorder="1"/>
    <xf numFmtId="0" fontId="0" fillId="0" borderId="0" xfId="0" quotePrefix="1"/>
    <xf numFmtId="0" fontId="1" fillId="0" borderId="5" xfId="0" applyFont="1" applyBorder="1" applyAlignment="1">
      <alignment wrapText="1"/>
    </xf>
    <xf numFmtId="0" fontId="0" fillId="0" borderId="6" xfId="0" applyBorder="1" applyAlignment="1">
      <alignment vertical="center"/>
    </xf>
    <xf numFmtId="166" fontId="0" fillId="0" borderId="0" xfId="0" applyNumberFormat="1"/>
    <xf numFmtId="166" fontId="0" fillId="0" borderId="8" xfId="0" applyNumberFormat="1" applyBorder="1"/>
    <xf numFmtId="166" fontId="0" fillId="0" borderId="2" xfId="0" applyNumberFormat="1" applyBorder="1"/>
    <xf numFmtId="166" fontId="0" fillId="0" borderId="5" xfId="0" applyNumberFormat="1" applyBorder="1"/>
    <xf numFmtId="166" fontId="0" fillId="0" borderId="7" xfId="0" applyNumberFormat="1" applyBorder="1"/>
    <xf numFmtId="0" fontId="0" fillId="0" borderId="13" xfId="0" applyBorder="1"/>
    <xf numFmtId="0" fontId="0" fillId="0" borderId="15" xfId="0" applyBorder="1"/>
    <xf numFmtId="2" fontId="0" fillId="0" borderId="4" xfId="0" applyNumberFormat="1" applyBorder="1"/>
    <xf numFmtId="2" fontId="0" fillId="0" borderId="6" xfId="0" applyNumberFormat="1" applyBorder="1"/>
    <xf numFmtId="0" fontId="1" fillId="0" borderId="4" xfId="0" applyFont="1" applyBorder="1"/>
    <xf numFmtId="0" fontId="0" fillId="0" borderId="14" xfId="0" applyBorder="1"/>
    <xf numFmtId="0" fontId="1" fillId="2" borderId="0" xfId="0" applyFont="1" applyFill="1"/>
    <xf numFmtId="0" fontId="3" fillId="2" borderId="0" xfId="0" applyFont="1" applyFill="1"/>
    <xf numFmtId="0" fontId="0" fillId="0" borderId="6" xfId="0" applyBorder="1" applyAlignment="1">
      <alignment wrapText="1"/>
    </xf>
    <xf numFmtId="0" fontId="1" fillId="0" borderId="14" xfId="0" applyFont="1" applyBorder="1" applyAlignment="1">
      <alignment vertical="top"/>
    </xf>
    <xf numFmtId="0" fontId="0" fillId="0" borderId="0" xfId="0" applyAlignment="1">
      <alignment horizontal="right"/>
    </xf>
    <xf numFmtId="0" fontId="0" fillId="0" borderId="8" xfId="0" applyBorder="1" applyAlignment="1">
      <alignment horizontal="right"/>
    </xf>
    <xf numFmtId="0" fontId="0" fillId="0" borderId="3" xfId="0" applyBorder="1" applyAlignment="1">
      <alignment horizontal="right"/>
    </xf>
    <xf numFmtId="0" fontId="0" fillId="0" borderId="2" xfId="0" applyBorder="1" applyAlignment="1">
      <alignment horizontal="right"/>
    </xf>
    <xf numFmtId="0" fontId="0" fillId="0" borderId="5" xfId="0" applyBorder="1" applyAlignment="1">
      <alignment horizontal="right"/>
    </xf>
    <xf numFmtId="0" fontId="0" fillId="0" borderId="5" xfId="0" applyBorder="1" applyAlignment="1">
      <alignment horizontal="right" vertical="center"/>
    </xf>
    <xf numFmtId="0" fontId="0" fillId="0" borderId="7" xfId="0" applyBorder="1" applyAlignment="1">
      <alignment horizontal="right"/>
    </xf>
    <xf numFmtId="2" fontId="0" fillId="0" borderId="3" xfId="0" applyNumberFormat="1" applyBorder="1"/>
    <xf numFmtId="2" fontId="0" fillId="0" borderId="8" xfId="0" applyNumberFormat="1" applyBorder="1"/>
    <xf numFmtId="2" fontId="0" fillId="0" borderId="9" xfId="0" applyNumberFormat="1" applyBorder="1"/>
    <xf numFmtId="0" fontId="1" fillId="0" borderId="6" xfId="0" applyFont="1" applyBorder="1"/>
    <xf numFmtId="165" fontId="0" fillId="0" borderId="3" xfId="0" applyNumberFormat="1" applyBorder="1" applyAlignment="1">
      <alignment horizontal="right"/>
    </xf>
    <xf numFmtId="165" fontId="0" fillId="0" borderId="0" xfId="0" applyNumberFormat="1" applyAlignment="1">
      <alignment horizontal="right"/>
    </xf>
    <xf numFmtId="165" fontId="0" fillId="0" borderId="8" xfId="0" applyNumberFormat="1" applyBorder="1" applyAlignment="1">
      <alignment horizontal="right"/>
    </xf>
    <xf numFmtId="16" fontId="0" fillId="0" borderId="5" xfId="0" quotePrefix="1" applyNumberFormat="1" applyBorder="1" applyAlignment="1">
      <alignment horizontal="right"/>
    </xf>
    <xf numFmtId="1" fontId="0" fillId="0" borderId="3" xfId="0" applyNumberFormat="1" applyBorder="1" applyAlignment="1">
      <alignment horizontal="right"/>
    </xf>
    <xf numFmtId="1" fontId="0" fillId="0" borderId="8" xfId="0" applyNumberFormat="1" applyBorder="1" applyAlignment="1">
      <alignment horizontal="right"/>
    </xf>
    <xf numFmtId="1" fontId="0" fillId="0" borderId="0" xfId="0" applyNumberFormat="1" applyAlignment="1">
      <alignment horizontal="right"/>
    </xf>
    <xf numFmtId="0" fontId="0" fillId="0" borderId="10" xfId="0" applyBorder="1" applyAlignment="1">
      <alignment horizontal="center"/>
    </xf>
    <xf numFmtId="0" fontId="0" fillId="0" borderId="12" xfId="0" applyBorder="1" applyAlignment="1">
      <alignment horizontal="center"/>
    </xf>
    <xf numFmtId="0" fontId="1" fillId="0" borderId="13" xfId="0" applyFont="1" applyBorder="1" applyAlignment="1">
      <alignment horizontal="left" vertical="top"/>
    </xf>
    <xf numFmtId="0" fontId="0" fillId="0" borderId="2" xfId="0" applyBorder="1" applyAlignment="1">
      <alignment horizontal="left" vertical="top"/>
    </xf>
    <xf numFmtId="0" fontId="0" fillId="0" borderId="3" xfId="0" applyBorder="1" applyAlignment="1">
      <alignment horizontal="left" vertical="top"/>
    </xf>
    <xf numFmtId="0" fontId="1" fillId="0" borderId="14" xfId="0" applyFont="1" applyBorder="1" applyAlignment="1">
      <alignment horizontal="left" vertical="top"/>
    </xf>
    <xf numFmtId="0" fontId="0" fillId="0" borderId="5" xfId="0" applyBorder="1" applyAlignment="1">
      <alignment horizontal="left" vertical="top"/>
    </xf>
    <xf numFmtId="0" fontId="1" fillId="0" borderId="15" xfId="0" applyFont="1" applyBorder="1" applyAlignment="1">
      <alignment horizontal="left" vertical="top"/>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0" xfId="0" applyBorder="1" applyAlignment="1">
      <alignment horizontal="left" vertical="top"/>
    </xf>
  </cellXfs>
  <cellStyles count="1">
    <cellStyle name="Normal" xfId="0" builtinId="0"/>
  </cellStyles>
  <dxfs count="0"/>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832DD-54CD-4090-949A-6BF1B3F8F691}">
  <dimension ref="B1:Q60"/>
  <sheetViews>
    <sheetView workbookViewId="0">
      <selection activeCell="I37" sqref="I37"/>
    </sheetView>
  </sheetViews>
  <sheetFormatPr defaultColWidth="8.88671875" defaultRowHeight="14.4" x14ac:dyDescent="0.3"/>
  <cols>
    <col min="1" max="1" width="2.6640625" customWidth="1"/>
    <col min="2" max="2" width="22.33203125" bestFit="1" customWidth="1"/>
    <col min="3" max="3" width="14.109375" customWidth="1"/>
    <col min="6" max="12" width="9.33203125" customWidth="1"/>
    <col min="13" max="14" width="10.5546875" bestFit="1" customWidth="1"/>
    <col min="15" max="15" width="10.33203125" bestFit="1" customWidth="1"/>
    <col min="16" max="16" width="10.5546875" bestFit="1" customWidth="1"/>
    <col min="17" max="17" width="10.33203125" bestFit="1" customWidth="1"/>
  </cols>
  <sheetData>
    <row r="1" spans="2:14" ht="15" thickBot="1" x14ac:dyDescent="0.35"/>
    <row r="2" spans="2:14" ht="15" thickBot="1" x14ac:dyDescent="0.35">
      <c r="B2" s="10" t="s">
        <v>23</v>
      </c>
      <c r="C2" s="11"/>
      <c r="D2" s="11"/>
      <c r="E2" s="11"/>
      <c r="F2" s="11"/>
      <c r="G2" s="11"/>
      <c r="H2" s="11"/>
      <c r="I2" s="11"/>
      <c r="J2" s="11"/>
      <c r="K2" s="11"/>
      <c r="L2" s="11"/>
      <c r="M2" s="11"/>
      <c r="N2" s="12"/>
    </row>
    <row r="3" spans="2:14" x14ac:dyDescent="0.3">
      <c r="B3" s="22" t="s">
        <v>0</v>
      </c>
      <c r="C3" s="3" t="s">
        <v>68</v>
      </c>
      <c r="D3" s="3"/>
      <c r="E3" s="3"/>
      <c r="F3" s="3"/>
      <c r="G3" s="3"/>
      <c r="H3" s="3"/>
      <c r="I3" s="3"/>
      <c r="J3" s="3"/>
      <c r="K3" s="3"/>
      <c r="L3" s="3"/>
      <c r="M3" s="3"/>
      <c r="N3" s="4"/>
    </row>
    <row r="4" spans="2:14" x14ac:dyDescent="0.3">
      <c r="B4" s="23" t="s">
        <v>1</v>
      </c>
      <c r="C4" t="s">
        <v>69</v>
      </c>
      <c r="N4" s="6"/>
    </row>
    <row r="5" spans="2:14" x14ac:dyDescent="0.3">
      <c r="B5" s="23" t="s">
        <v>2</v>
      </c>
      <c r="C5">
        <v>2006</v>
      </c>
      <c r="N5" s="6"/>
    </row>
    <row r="6" spans="2:14" ht="15" thickBot="1" x14ac:dyDescent="0.35">
      <c r="B6" s="16" t="s">
        <v>4</v>
      </c>
      <c r="C6" s="8" t="s">
        <v>70</v>
      </c>
      <c r="D6" s="8"/>
      <c r="E6" s="8"/>
      <c r="F6" s="8"/>
      <c r="G6" s="8"/>
      <c r="H6" s="8"/>
      <c r="I6" s="8"/>
      <c r="J6" s="8"/>
      <c r="K6" s="8"/>
      <c r="L6" s="8"/>
      <c r="M6" s="8"/>
      <c r="N6" s="9"/>
    </row>
    <row r="7" spans="2:14" ht="15" thickBot="1" x14ac:dyDescent="0.35"/>
    <row r="8" spans="2:14" ht="15" thickBot="1" x14ac:dyDescent="0.35">
      <c r="B8" s="10" t="s">
        <v>3</v>
      </c>
      <c r="C8" s="20"/>
      <c r="E8" s="10" t="s">
        <v>9</v>
      </c>
      <c r="F8" s="19"/>
      <c r="G8" s="19"/>
      <c r="H8" s="19"/>
      <c r="I8" s="19"/>
      <c r="J8" s="20"/>
    </row>
    <row r="9" spans="2:14" ht="15" thickBot="1" x14ac:dyDescent="0.35">
      <c r="B9" s="22" t="s">
        <v>15</v>
      </c>
      <c r="C9" s="6" t="s">
        <v>61</v>
      </c>
      <c r="E9" s="10" t="s">
        <v>42</v>
      </c>
      <c r="F9" s="11" t="s">
        <v>17</v>
      </c>
      <c r="G9" s="10" t="s">
        <v>42</v>
      </c>
      <c r="H9" s="12" t="s">
        <v>43</v>
      </c>
      <c r="I9" s="11" t="s">
        <v>43</v>
      </c>
      <c r="J9" s="12" t="s">
        <v>17</v>
      </c>
    </row>
    <row r="10" spans="2:14" ht="15" thickBot="1" x14ac:dyDescent="0.35">
      <c r="B10" s="23" t="s">
        <v>16</v>
      </c>
      <c r="C10" s="6" t="s">
        <v>71</v>
      </c>
      <c r="E10" s="63" t="s">
        <v>33</v>
      </c>
      <c r="F10" s="64"/>
      <c r="G10" s="63" t="s">
        <v>18</v>
      </c>
      <c r="H10" s="64"/>
      <c r="I10" s="63" t="s">
        <v>18</v>
      </c>
      <c r="J10" s="64"/>
    </row>
    <row r="11" spans="2:14" x14ac:dyDescent="0.3">
      <c r="B11" s="23" t="s">
        <v>10</v>
      </c>
      <c r="C11" s="6" t="s">
        <v>62</v>
      </c>
    </row>
    <row r="12" spans="2:14" ht="15" thickBot="1" x14ac:dyDescent="0.35">
      <c r="B12" s="16" t="s">
        <v>9</v>
      </c>
      <c r="C12" s="9" t="s">
        <v>72</v>
      </c>
      <c r="E12" s="1"/>
      <c r="F12" s="1"/>
      <c r="G12" s="1"/>
      <c r="H12" s="1"/>
      <c r="I12" s="1"/>
      <c r="J12" s="1"/>
    </row>
    <row r="13" spans="2:14" ht="15" thickBot="1" x14ac:dyDescent="0.35">
      <c r="B13" s="1"/>
    </row>
    <row r="14" spans="2:14" ht="15" thickBot="1" x14ac:dyDescent="0.35">
      <c r="B14" s="10" t="s">
        <v>19</v>
      </c>
      <c r="C14" s="19"/>
      <c r="D14" s="20"/>
    </row>
    <row r="15" spans="2:14" x14ac:dyDescent="0.3">
      <c r="B15" s="22" t="s">
        <v>20</v>
      </c>
      <c r="C15" s="47" t="s">
        <v>34</v>
      </c>
      <c r="D15" s="4" t="s">
        <v>8</v>
      </c>
    </row>
    <row r="16" spans="2:14" x14ac:dyDescent="0.3">
      <c r="B16" s="23" t="s">
        <v>45</v>
      </c>
      <c r="C16" s="45" t="s">
        <v>34</v>
      </c>
      <c r="D16" s="6" t="s">
        <v>8</v>
      </c>
      <c r="F16" s="1"/>
    </row>
    <row r="17" spans="2:17" x14ac:dyDescent="0.3">
      <c r="B17" s="23" t="s">
        <v>21</v>
      </c>
      <c r="C17" s="45" t="s">
        <v>34</v>
      </c>
      <c r="D17" s="6" t="s">
        <v>8</v>
      </c>
    </row>
    <row r="18" spans="2:17" x14ac:dyDescent="0.3">
      <c r="B18" s="23" t="s">
        <v>22</v>
      </c>
      <c r="C18" s="45" t="s">
        <v>34</v>
      </c>
      <c r="D18" s="6" t="s">
        <v>8</v>
      </c>
    </row>
    <row r="19" spans="2:17" x14ac:dyDescent="0.3">
      <c r="B19" s="23" t="s">
        <v>26</v>
      </c>
      <c r="C19" s="45" t="s">
        <v>34</v>
      </c>
      <c r="D19" s="6" t="s">
        <v>8</v>
      </c>
    </row>
    <row r="20" spans="2:17" ht="15" thickBot="1" x14ac:dyDescent="0.35">
      <c r="B20" s="16" t="s">
        <v>40</v>
      </c>
      <c r="C20" s="46" t="s">
        <v>34</v>
      </c>
      <c r="D20" s="9" t="s">
        <v>7</v>
      </c>
    </row>
    <row r="21" spans="2:17" ht="13.2" customHeight="1" thickBot="1" x14ac:dyDescent="0.35">
      <c r="B21" s="1"/>
    </row>
    <row r="22" spans="2:17" ht="15" thickBot="1" x14ac:dyDescent="0.35">
      <c r="B22" s="2" t="s">
        <v>24</v>
      </c>
      <c r="C22" s="3"/>
      <c r="D22" s="4"/>
    </row>
    <row r="23" spans="2:17" x14ac:dyDescent="0.3">
      <c r="B23" s="2" t="s">
        <v>27</v>
      </c>
      <c r="C23" s="48" t="s">
        <v>34</v>
      </c>
      <c r="D23" s="4"/>
    </row>
    <row r="24" spans="2:17" x14ac:dyDescent="0.3">
      <c r="B24" s="21" t="s">
        <v>28</v>
      </c>
      <c r="C24" s="49" t="s">
        <v>34</v>
      </c>
      <c r="D24" s="6"/>
    </row>
    <row r="25" spans="2:17" ht="28.8" x14ac:dyDescent="0.3">
      <c r="B25" s="28" t="s">
        <v>46</v>
      </c>
      <c r="C25" s="50" t="s">
        <v>34</v>
      </c>
      <c r="D25" s="29" t="s">
        <v>30</v>
      </c>
    </row>
    <row r="26" spans="2:17" ht="15" thickBot="1" x14ac:dyDescent="0.35">
      <c r="B26" s="15" t="s">
        <v>25</v>
      </c>
      <c r="C26" s="51" t="s">
        <v>34</v>
      </c>
      <c r="D26" s="9"/>
      <c r="K26" s="42" t="s">
        <v>73</v>
      </c>
      <c r="L26" s="41"/>
      <c r="M26" s="41"/>
      <c r="N26" s="41"/>
      <c r="O26" s="41"/>
      <c r="P26" s="41"/>
    </row>
    <row r="27" spans="2:17" x14ac:dyDescent="0.3">
      <c r="B27" s="1"/>
    </row>
    <row r="28" spans="2:17" ht="15" thickBot="1" x14ac:dyDescent="0.35"/>
    <row r="29" spans="2:17" ht="15" thickBot="1" x14ac:dyDescent="0.35">
      <c r="B29" s="2"/>
      <c r="C29" s="2" t="s">
        <v>74</v>
      </c>
      <c r="D29" s="14"/>
      <c r="E29" s="14"/>
      <c r="F29" s="14"/>
      <c r="G29" s="14"/>
      <c r="H29" s="14"/>
      <c r="I29" s="14"/>
      <c r="J29" s="39"/>
      <c r="K29" s="2" t="s">
        <v>75</v>
      </c>
      <c r="L29" s="14"/>
      <c r="M29" s="39"/>
      <c r="N29" s="2" t="s">
        <v>76</v>
      </c>
      <c r="O29" s="14"/>
      <c r="P29" s="39"/>
    </row>
    <row r="30" spans="2:17" ht="15" thickBot="1" x14ac:dyDescent="0.35">
      <c r="B30" s="15" t="s">
        <v>11</v>
      </c>
      <c r="C30" s="10" t="s">
        <v>49</v>
      </c>
      <c r="D30" s="11" t="s">
        <v>52</v>
      </c>
      <c r="E30" s="11" t="s">
        <v>53</v>
      </c>
      <c r="F30" s="11" t="s">
        <v>77</v>
      </c>
      <c r="G30" s="11" t="s">
        <v>78</v>
      </c>
      <c r="H30" s="11" t="s">
        <v>79</v>
      </c>
      <c r="I30" s="11" t="s">
        <v>80</v>
      </c>
      <c r="J30" s="12" t="s">
        <v>81</v>
      </c>
      <c r="K30" s="10" t="s">
        <v>57</v>
      </c>
      <c r="L30" s="11" t="s">
        <v>59</v>
      </c>
      <c r="M30" s="12" t="s">
        <v>63</v>
      </c>
      <c r="N30" s="10" t="s">
        <v>57</v>
      </c>
      <c r="O30" s="11" t="s">
        <v>59</v>
      </c>
      <c r="P30" s="12" t="s">
        <v>63</v>
      </c>
      <c r="Q30" s="1"/>
    </row>
    <row r="31" spans="2:17" x14ac:dyDescent="0.3">
      <c r="B31" s="40">
        <v>1</v>
      </c>
      <c r="C31" s="5">
        <v>36</v>
      </c>
      <c r="D31">
        <v>30</v>
      </c>
      <c r="E31">
        <v>1.6219999999999998E-2</v>
      </c>
      <c r="F31">
        <v>0</v>
      </c>
      <c r="G31">
        <v>3</v>
      </c>
      <c r="H31">
        <v>1</v>
      </c>
      <c r="I31">
        <v>0.8</v>
      </c>
      <c r="J31" s="6">
        <v>3</v>
      </c>
      <c r="K31" s="33">
        <v>30.36</v>
      </c>
      <c r="L31" s="30">
        <v>28.36</v>
      </c>
      <c r="M31" s="6">
        <v>2.3900000000000001E-2</v>
      </c>
      <c r="N31" s="33">
        <v>30.35</v>
      </c>
      <c r="O31" s="30">
        <v>28.35</v>
      </c>
      <c r="P31" s="6">
        <v>2.3900000000000001E-2</v>
      </c>
      <c r="Q31" s="17"/>
    </row>
    <row r="32" spans="2:17" x14ac:dyDescent="0.3">
      <c r="B32" s="40">
        <f t="shared" ref="B32:B46" si="0">1+B31</f>
        <v>2</v>
      </c>
      <c r="C32" s="5">
        <v>36</v>
      </c>
      <c r="D32">
        <v>30</v>
      </c>
      <c r="E32">
        <v>1.6219999999999998E-2</v>
      </c>
      <c r="F32">
        <v>0</v>
      </c>
      <c r="G32">
        <v>3</v>
      </c>
      <c r="H32">
        <v>1</v>
      </c>
      <c r="I32">
        <v>0.8</v>
      </c>
      <c r="J32" s="6">
        <v>1</v>
      </c>
      <c r="K32" s="33">
        <v>33.46</v>
      </c>
      <c r="L32" s="30">
        <v>28.27</v>
      </c>
      <c r="M32" s="6">
        <v>2.01E-2</v>
      </c>
      <c r="N32" s="33">
        <v>33.450000000000003</v>
      </c>
      <c r="O32" s="30">
        <v>28.26</v>
      </c>
      <c r="P32" s="6">
        <v>2.01E-2</v>
      </c>
      <c r="Q32" s="17"/>
    </row>
    <row r="33" spans="2:17" x14ac:dyDescent="0.3">
      <c r="B33" s="40">
        <f t="shared" si="0"/>
        <v>3</v>
      </c>
      <c r="C33" s="5">
        <v>36</v>
      </c>
      <c r="D33">
        <v>30</v>
      </c>
      <c r="E33">
        <v>1.6219999999999998E-2</v>
      </c>
      <c r="F33">
        <v>0</v>
      </c>
      <c r="G33">
        <v>3</v>
      </c>
      <c r="H33">
        <v>1</v>
      </c>
      <c r="I33">
        <v>0.5</v>
      </c>
      <c r="J33" s="6">
        <v>2</v>
      </c>
      <c r="K33" s="33">
        <v>32.07</v>
      </c>
      <c r="L33" s="30">
        <v>28.66</v>
      </c>
      <c r="M33" s="6">
        <v>2.1659999999999999E-2</v>
      </c>
      <c r="N33" s="33">
        <v>32.07</v>
      </c>
      <c r="O33" s="30">
        <v>28.65</v>
      </c>
      <c r="P33" s="6">
        <v>2.1659999999999999E-2</v>
      </c>
      <c r="Q33" s="17"/>
    </row>
    <row r="34" spans="2:17" x14ac:dyDescent="0.3">
      <c r="B34" s="40">
        <f t="shared" si="0"/>
        <v>4</v>
      </c>
      <c r="C34" s="5">
        <v>36</v>
      </c>
      <c r="D34">
        <v>30</v>
      </c>
      <c r="E34">
        <v>1.6219999999999998E-2</v>
      </c>
      <c r="F34">
        <v>0</v>
      </c>
      <c r="G34">
        <v>3</v>
      </c>
      <c r="H34">
        <v>1</v>
      </c>
      <c r="I34">
        <v>1.1000000000000001</v>
      </c>
      <c r="J34" s="6">
        <v>2</v>
      </c>
      <c r="K34" s="33">
        <v>31.45</v>
      </c>
      <c r="L34" s="30">
        <v>27.74</v>
      </c>
      <c r="M34" s="6">
        <v>2.281E-2</v>
      </c>
      <c r="N34" s="33">
        <v>31.45</v>
      </c>
      <c r="O34" s="30">
        <v>27.74</v>
      </c>
      <c r="P34" s="6">
        <v>2.281E-2</v>
      </c>
      <c r="Q34" s="17"/>
    </row>
    <row r="35" spans="2:17" x14ac:dyDescent="0.3">
      <c r="B35" s="40">
        <f t="shared" si="0"/>
        <v>5</v>
      </c>
      <c r="C35" s="5">
        <v>36</v>
      </c>
      <c r="D35">
        <v>30</v>
      </c>
      <c r="E35">
        <v>1.6219999999999998E-2</v>
      </c>
      <c r="F35">
        <v>0</v>
      </c>
      <c r="G35">
        <v>3</v>
      </c>
      <c r="H35">
        <v>2.8</v>
      </c>
      <c r="I35">
        <v>0.8</v>
      </c>
      <c r="J35" s="6">
        <v>2</v>
      </c>
      <c r="K35" s="33">
        <v>29.31</v>
      </c>
      <c r="L35" s="30">
        <v>29.66</v>
      </c>
      <c r="M35" s="6">
        <v>2.4660000000000001E-2</v>
      </c>
      <c r="N35" s="33">
        <v>29.3</v>
      </c>
      <c r="O35" s="30">
        <v>29.66</v>
      </c>
      <c r="P35" s="6">
        <v>2.4660000000000001E-2</v>
      </c>
      <c r="Q35" s="17"/>
    </row>
    <row r="36" spans="2:17" x14ac:dyDescent="0.3">
      <c r="B36" s="40">
        <f t="shared" si="0"/>
        <v>6</v>
      </c>
      <c r="C36" s="5">
        <v>36</v>
      </c>
      <c r="D36">
        <v>30</v>
      </c>
      <c r="E36">
        <v>1.6219999999999998E-2</v>
      </c>
      <c r="F36">
        <v>0</v>
      </c>
      <c r="G36">
        <v>0.75</v>
      </c>
      <c r="H36">
        <v>1</v>
      </c>
      <c r="I36">
        <v>0.8</v>
      </c>
      <c r="J36" s="6">
        <v>2</v>
      </c>
      <c r="K36" s="33">
        <v>25.87</v>
      </c>
      <c r="L36" s="30">
        <v>26.77</v>
      </c>
      <c r="M36" s="6">
        <v>2.0719999999999999E-2</v>
      </c>
      <c r="N36" s="33">
        <v>25.85</v>
      </c>
      <c r="O36" s="30">
        <v>26.77</v>
      </c>
      <c r="P36" s="6">
        <v>2.0719999999999999E-2</v>
      </c>
      <c r="Q36" s="17"/>
    </row>
    <row r="37" spans="2:17" x14ac:dyDescent="0.3">
      <c r="B37" s="40">
        <f t="shared" si="0"/>
        <v>7</v>
      </c>
      <c r="C37" s="5">
        <v>36</v>
      </c>
      <c r="D37">
        <v>30</v>
      </c>
      <c r="E37">
        <v>1.6219999999999998E-2</v>
      </c>
      <c r="F37">
        <v>0.5</v>
      </c>
      <c r="G37">
        <v>3</v>
      </c>
      <c r="H37">
        <v>1</v>
      </c>
      <c r="I37">
        <v>0.8</v>
      </c>
      <c r="J37" s="6">
        <v>3</v>
      </c>
      <c r="K37" s="33">
        <v>30.46</v>
      </c>
      <c r="L37" s="30">
        <v>28.26</v>
      </c>
      <c r="M37" s="6">
        <v>2.3820000000000001E-2</v>
      </c>
      <c r="N37" s="33">
        <v>30.45</v>
      </c>
      <c r="O37" s="30">
        <v>28.24</v>
      </c>
      <c r="P37" s="6">
        <v>2.3800000000000002E-2</v>
      </c>
      <c r="Q37" s="17"/>
    </row>
    <row r="38" spans="2:17" x14ac:dyDescent="0.3">
      <c r="B38" s="40">
        <f t="shared" si="0"/>
        <v>8</v>
      </c>
      <c r="C38" s="5">
        <v>36</v>
      </c>
      <c r="D38">
        <v>30</v>
      </c>
      <c r="E38">
        <v>1.6219999999999998E-2</v>
      </c>
      <c r="F38">
        <v>0.5</v>
      </c>
      <c r="G38">
        <v>3</v>
      </c>
      <c r="H38">
        <v>8</v>
      </c>
      <c r="I38">
        <v>0.8</v>
      </c>
      <c r="J38" s="6">
        <v>3</v>
      </c>
      <c r="K38" s="33">
        <v>26.73</v>
      </c>
      <c r="L38" s="30">
        <v>30.65</v>
      </c>
      <c r="M38" s="6">
        <v>2.7439999999999999E-2</v>
      </c>
      <c r="N38" s="33">
        <v>26.7</v>
      </c>
      <c r="O38" s="30">
        <v>30.63</v>
      </c>
      <c r="P38" s="6">
        <v>2.7400000000000001E-2</v>
      </c>
      <c r="Q38" s="17"/>
    </row>
    <row r="39" spans="2:17" x14ac:dyDescent="0.3">
      <c r="B39" s="40">
        <f t="shared" si="0"/>
        <v>9</v>
      </c>
      <c r="C39" s="5">
        <v>36</v>
      </c>
      <c r="D39">
        <v>30</v>
      </c>
      <c r="E39">
        <v>1.6219999999999998E-2</v>
      </c>
      <c r="F39">
        <v>1</v>
      </c>
      <c r="G39">
        <v>3</v>
      </c>
      <c r="H39">
        <v>1</v>
      </c>
      <c r="I39">
        <v>1</v>
      </c>
      <c r="J39" s="6">
        <v>5</v>
      </c>
      <c r="K39" s="33">
        <v>28.78</v>
      </c>
      <c r="L39" s="30">
        <v>28.84</v>
      </c>
      <c r="M39" s="6">
        <v>2.5649999999999999E-2</v>
      </c>
      <c r="N39" s="33">
        <v>28.77</v>
      </c>
      <c r="O39" s="30">
        <v>28.8</v>
      </c>
      <c r="P39" s="6">
        <v>2.562E-2</v>
      </c>
      <c r="Q39" s="17"/>
    </row>
    <row r="40" spans="2:17" x14ac:dyDescent="0.3">
      <c r="B40" s="40">
        <f t="shared" si="0"/>
        <v>10</v>
      </c>
      <c r="C40" s="5">
        <v>36</v>
      </c>
      <c r="D40">
        <v>30</v>
      </c>
      <c r="E40">
        <v>1.6219999999999998E-2</v>
      </c>
      <c r="F40">
        <v>4</v>
      </c>
      <c r="G40">
        <v>3</v>
      </c>
      <c r="H40">
        <v>8</v>
      </c>
      <c r="I40">
        <v>1</v>
      </c>
      <c r="J40" s="6">
        <v>2</v>
      </c>
      <c r="K40" s="33">
        <v>28.55</v>
      </c>
      <c r="L40" s="30">
        <v>29.7</v>
      </c>
      <c r="M40" s="6">
        <v>2.5590000000000002E-2</v>
      </c>
      <c r="N40" s="33">
        <v>28.56</v>
      </c>
      <c r="O40" s="30">
        <v>29.7</v>
      </c>
      <c r="P40" s="6">
        <v>2.554E-2</v>
      </c>
      <c r="Q40" s="17"/>
    </row>
    <row r="41" spans="2:17" x14ac:dyDescent="0.3">
      <c r="B41" s="40">
        <f t="shared" si="0"/>
        <v>11</v>
      </c>
      <c r="C41" s="5">
        <v>50</v>
      </c>
      <c r="D41">
        <v>35</v>
      </c>
      <c r="E41">
        <v>2.171E-2</v>
      </c>
      <c r="F41">
        <v>4</v>
      </c>
      <c r="G41">
        <v>3</v>
      </c>
      <c r="H41">
        <v>8</v>
      </c>
      <c r="I41">
        <v>1</v>
      </c>
      <c r="J41" s="6">
        <v>2</v>
      </c>
      <c r="K41" s="33">
        <v>34.97</v>
      </c>
      <c r="L41" s="30">
        <v>36.86</v>
      </c>
      <c r="M41" s="6">
        <v>3.9699999999999999E-2</v>
      </c>
      <c r="N41" s="33">
        <v>35.020000000000003</v>
      </c>
      <c r="O41" s="30">
        <v>36.869999999999997</v>
      </c>
      <c r="P41" s="6">
        <v>3.9510000000000003E-2</v>
      </c>
      <c r="Q41" s="17"/>
    </row>
    <row r="42" spans="2:17" x14ac:dyDescent="0.3">
      <c r="B42" s="40">
        <f t="shared" si="0"/>
        <v>12</v>
      </c>
      <c r="C42" s="5">
        <v>21</v>
      </c>
      <c r="D42">
        <v>21</v>
      </c>
      <c r="E42">
        <v>9.41E-3</v>
      </c>
      <c r="F42">
        <v>4</v>
      </c>
      <c r="G42">
        <v>3</v>
      </c>
      <c r="H42">
        <v>8</v>
      </c>
      <c r="I42">
        <v>1</v>
      </c>
      <c r="J42" s="6">
        <v>2</v>
      </c>
      <c r="K42" s="33">
        <v>18.5</v>
      </c>
      <c r="L42" s="30">
        <v>19.16</v>
      </c>
      <c r="M42" s="6">
        <v>1.325E-2</v>
      </c>
      <c r="N42" s="33">
        <v>18.489999999999998</v>
      </c>
      <c r="O42" s="30">
        <v>19.16</v>
      </c>
      <c r="P42" s="6">
        <v>1.325E-2</v>
      </c>
      <c r="Q42" s="17"/>
    </row>
    <row r="43" spans="2:17" x14ac:dyDescent="0.3">
      <c r="B43" s="40">
        <f t="shared" si="0"/>
        <v>13</v>
      </c>
      <c r="C43" s="5">
        <v>21</v>
      </c>
      <c r="D43">
        <v>21</v>
      </c>
      <c r="E43">
        <v>9.41E-3</v>
      </c>
      <c r="F43">
        <v>4</v>
      </c>
      <c r="G43">
        <v>3</v>
      </c>
      <c r="H43">
        <v>8</v>
      </c>
      <c r="I43">
        <v>1</v>
      </c>
      <c r="J43" s="6">
        <v>3</v>
      </c>
      <c r="K43" s="33">
        <v>18.25</v>
      </c>
      <c r="L43" s="30">
        <v>18.97</v>
      </c>
      <c r="M43" s="6">
        <v>1.363E-2</v>
      </c>
      <c r="N43" s="33">
        <v>18.25</v>
      </c>
      <c r="O43" s="30">
        <v>18.97</v>
      </c>
      <c r="P43" s="6">
        <v>1.362E-2</v>
      </c>
      <c r="Q43" s="17"/>
    </row>
    <row r="44" spans="2:17" x14ac:dyDescent="0.3">
      <c r="B44" s="40">
        <f t="shared" si="0"/>
        <v>14</v>
      </c>
      <c r="C44" s="5">
        <v>21</v>
      </c>
      <c r="D44">
        <v>21</v>
      </c>
      <c r="E44">
        <v>9.41E-3</v>
      </c>
      <c r="F44">
        <v>4</v>
      </c>
      <c r="G44">
        <v>3</v>
      </c>
      <c r="H44">
        <v>8</v>
      </c>
      <c r="I44">
        <v>1</v>
      </c>
      <c r="J44" s="6">
        <v>1</v>
      </c>
      <c r="K44" s="33">
        <v>19.059999999999999</v>
      </c>
      <c r="L44" s="30">
        <v>19.75</v>
      </c>
      <c r="M44" s="6">
        <v>1.231E-2</v>
      </c>
      <c r="N44" s="33">
        <v>19.059999999999999</v>
      </c>
      <c r="O44" s="30">
        <v>19.75</v>
      </c>
      <c r="P44" s="6">
        <v>1.23E-2</v>
      </c>
      <c r="Q44" s="17"/>
    </row>
    <row r="45" spans="2:17" x14ac:dyDescent="0.3">
      <c r="B45" s="40">
        <f t="shared" si="0"/>
        <v>15</v>
      </c>
      <c r="C45" s="5">
        <v>36</v>
      </c>
      <c r="D45">
        <v>30</v>
      </c>
      <c r="E45">
        <v>1.6219999999999998E-2</v>
      </c>
      <c r="F45">
        <v>4</v>
      </c>
      <c r="G45">
        <v>12</v>
      </c>
      <c r="H45">
        <v>8</v>
      </c>
      <c r="I45">
        <v>1</v>
      </c>
      <c r="J45" s="6">
        <v>2</v>
      </c>
      <c r="K45" s="33">
        <v>33.11</v>
      </c>
      <c r="L45" s="30">
        <v>32.049999999999997</v>
      </c>
      <c r="M45" s="6">
        <v>2.972E-2</v>
      </c>
      <c r="N45" s="33">
        <v>33.11</v>
      </c>
      <c r="O45" s="30">
        <v>32.04</v>
      </c>
      <c r="P45" s="6">
        <v>2.9690000000000001E-2</v>
      </c>
      <c r="Q45" s="17"/>
    </row>
    <row r="46" spans="2:17" ht="15" thickBot="1" x14ac:dyDescent="0.35">
      <c r="B46" s="36">
        <f t="shared" si="0"/>
        <v>16</v>
      </c>
      <c r="C46" s="7">
        <v>36</v>
      </c>
      <c r="D46" s="8">
        <v>30</v>
      </c>
      <c r="E46" s="8">
        <v>1.6219999999999998E-2</v>
      </c>
      <c r="F46" s="8">
        <v>4</v>
      </c>
      <c r="G46" s="8">
        <v>3</v>
      </c>
      <c r="H46" s="8">
        <v>8</v>
      </c>
      <c r="I46" s="8">
        <v>1.1000000000000001</v>
      </c>
      <c r="J46" s="9">
        <v>2</v>
      </c>
      <c r="K46" s="34">
        <v>28.43</v>
      </c>
      <c r="L46" s="31">
        <v>29.63</v>
      </c>
      <c r="M46" s="9">
        <v>2.5760000000000002E-2</v>
      </c>
      <c r="N46" s="34">
        <v>28.45</v>
      </c>
      <c r="O46" s="31">
        <v>29.63</v>
      </c>
      <c r="P46" s="9">
        <v>2.571E-2</v>
      </c>
      <c r="Q46" s="17"/>
    </row>
    <row r="47" spans="2:17" x14ac:dyDescent="0.3">
      <c r="E47" s="17"/>
      <c r="F47" s="24"/>
      <c r="G47" s="17"/>
      <c r="H47" s="17"/>
      <c r="I47" s="17"/>
      <c r="J47" s="17"/>
      <c r="L47" s="17"/>
      <c r="M47" s="24"/>
      <c r="N47" s="24"/>
      <c r="O47" s="24"/>
      <c r="P47" s="17"/>
      <c r="Q47" s="17"/>
    </row>
    <row r="48" spans="2:17" x14ac:dyDescent="0.3">
      <c r="E48" s="17"/>
      <c r="F48" s="24"/>
      <c r="G48" s="17"/>
      <c r="H48" s="17"/>
      <c r="I48" s="17"/>
      <c r="J48" s="17"/>
      <c r="L48" s="17"/>
      <c r="M48" s="24"/>
      <c r="N48" s="24"/>
      <c r="O48" s="24"/>
      <c r="P48" s="17"/>
      <c r="Q48" s="17"/>
    </row>
    <row r="49" spans="5:17" x14ac:dyDescent="0.3">
      <c r="E49" s="17"/>
      <c r="F49" s="24"/>
      <c r="G49" s="17"/>
      <c r="H49" s="17"/>
      <c r="I49" s="17"/>
      <c r="J49" s="17"/>
      <c r="L49" s="17"/>
      <c r="M49" s="24"/>
      <c r="N49" s="24"/>
      <c r="O49" s="24"/>
      <c r="P49" s="17"/>
      <c r="Q49" s="17"/>
    </row>
    <row r="50" spans="5:17" x14ac:dyDescent="0.3">
      <c r="E50" s="17"/>
      <c r="F50" s="24"/>
      <c r="G50" s="17"/>
      <c r="H50" s="17"/>
      <c r="I50" s="17"/>
      <c r="J50" s="17"/>
      <c r="L50" s="17"/>
      <c r="M50" s="24"/>
      <c r="N50" s="24"/>
      <c r="O50" s="24"/>
      <c r="P50" s="17"/>
      <c r="Q50" s="17"/>
    </row>
    <row r="51" spans="5:17" x14ac:dyDescent="0.3">
      <c r="E51" s="17"/>
      <c r="F51" s="24"/>
      <c r="G51" s="17"/>
      <c r="H51" s="17"/>
      <c r="I51" s="17"/>
      <c r="J51" s="17"/>
      <c r="L51" s="17"/>
      <c r="M51" s="24"/>
      <c r="N51" s="24"/>
      <c r="O51" s="24"/>
      <c r="P51" s="17"/>
      <c r="Q51" s="17"/>
    </row>
    <row r="52" spans="5:17" x14ac:dyDescent="0.3">
      <c r="E52" s="17"/>
      <c r="F52" s="24"/>
      <c r="G52" s="17"/>
      <c r="H52" s="17"/>
      <c r="I52" s="17"/>
      <c r="J52" s="17"/>
      <c r="L52" s="17"/>
      <c r="M52" s="24"/>
      <c r="N52" s="24"/>
      <c r="O52" s="24"/>
      <c r="P52" s="17"/>
      <c r="Q52" s="17"/>
    </row>
    <row r="53" spans="5:17" x14ac:dyDescent="0.3">
      <c r="E53" s="17"/>
      <c r="F53" s="24"/>
      <c r="G53" s="17"/>
      <c r="H53" s="17"/>
      <c r="I53" s="17"/>
      <c r="J53" s="17"/>
      <c r="L53" s="17"/>
      <c r="M53" s="24"/>
      <c r="N53" s="24"/>
      <c r="O53" s="24"/>
      <c r="P53" s="17"/>
      <c r="Q53" s="17"/>
    </row>
    <row r="54" spans="5:17" x14ac:dyDescent="0.3">
      <c r="E54" s="17"/>
      <c r="F54" s="24"/>
      <c r="G54" s="17"/>
      <c r="H54" s="17"/>
      <c r="I54" s="17"/>
      <c r="J54" s="17"/>
      <c r="L54" s="17"/>
      <c r="M54" s="24"/>
      <c r="N54" s="24"/>
      <c r="O54" s="24"/>
      <c r="P54" s="17"/>
      <c r="Q54" s="17"/>
    </row>
    <row r="55" spans="5:17" x14ac:dyDescent="0.3">
      <c r="E55" s="17"/>
      <c r="F55" s="24"/>
      <c r="G55" s="17"/>
      <c r="H55" s="17"/>
      <c r="I55" s="17"/>
      <c r="J55" s="17"/>
      <c r="L55" s="17"/>
      <c r="M55" s="24"/>
      <c r="N55" s="24"/>
      <c r="O55" s="24"/>
      <c r="P55" s="17"/>
      <c r="Q55" s="17"/>
    </row>
    <row r="56" spans="5:17" x14ac:dyDescent="0.3">
      <c r="E56" s="17"/>
      <c r="F56" s="24"/>
      <c r="G56" s="17"/>
      <c r="H56" s="17"/>
      <c r="I56" s="17"/>
      <c r="J56" s="17"/>
      <c r="L56" s="17"/>
      <c r="M56" s="24"/>
      <c r="N56" s="24"/>
      <c r="O56" s="24"/>
      <c r="P56" s="17"/>
      <c r="Q56" s="17"/>
    </row>
    <row r="57" spans="5:17" x14ac:dyDescent="0.3">
      <c r="E57" s="17"/>
      <c r="F57" s="24"/>
      <c r="G57" s="17"/>
      <c r="H57" s="17"/>
      <c r="I57" s="17"/>
      <c r="J57" s="17"/>
      <c r="L57" s="17"/>
      <c r="M57" s="24"/>
      <c r="N57" s="24"/>
      <c r="O57" s="24"/>
      <c r="P57" s="17"/>
      <c r="Q57" s="17"/>
    </row>
    <row r="58" spans="5:17" x14ac:dyDescent="0.3">
      <c r="E58" s="17"/>
      <c r="F58" s="24"/>
      <c r="G58" s="17"/>
      <c r="H58" s="17"/>
      <c r="I58" s="17"/>
      <c r="J58" s="17"/>
      <c r="L58" s="17"/>
      <c r="M58" s="24"/>
      <c r="N58" s="24"/>
      <c r="O58" s="24"/>
      <c r="P58" s="17"/>
      <c r="Q58" s="17"/>
    </row>
    <row r="59" spans="5:17" x14ac:dyDescent="0.3">
      <c r="E59" s="17"/>
      <c r="F59" s="24"/>
      <c r="G59" s="17"/>
      <c r="H59" s="17"/>
      <c r="I59" s="17"/>
      <c r="J59" s="17"/>
      <c r="L59" s="17"/>
      <c r="M59" s="24"/>
      <c r="N59" s="24"/>
      <c r="O59" s="24"/>
      <c r="P59" s="17"/>
      <c r="Q59" s="17"/>
    </row>
    <row r="60" spans="5:17" x14ac:dyDescent="0.3">
      <c r="E60" s="17"/>
      <c r="F60" s="24"/>
      <c r="G60" s="17"/>
      <c r="H60" s="17"/>
      <c r="I60" s="17"/>
      <c r="J60" s="17"/>
      <c r="L60" s="17"/>
      <c r="M60" s="24"/>
      <c r="N60" s="24"/>
      <c r="O60" s="24"/>
      <c r="P60" s="17"/>
      <c r="Q60" s="17"/>
    </row>
  </sheetData>
  <mergeCells count="3">
    <mergeCell ref="E10:F10"/>
    <mergeCell ref="G10:H10"/>
    <mergeCell ref="I10:J1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793B7-D26B-4C8B-B8C5-648AAB257ED2}">
  <dimension ref="B1:Z99"/>
  <sheetViews>
    <sheetView tabSelected="1" workbookViewId="0">
      <selection activeCell="Q19" sqref="Q19"/>
    </sheetView>
  </sheetViews>
  <sheetFormatPr defaultColWidth="8.88671875" defaultRowHeight="14.4" x14ac:dyDescent="0.3"/>
  <cols>
    <col min="1" max="1" width="2.6640625" customWidth="1"/>
    <col min="2" max="2" width="22.33203125" bestFit="1" customWidth="1"/>
    <col min="3" max="3" width="20.6640625" customWidth="1"/>
    <col min="6" max="6" width="12.44140625" customWidth="1"/>
    <col min="7" max="12" width="9.33203125" customWidth="1"/>
    <col min="13" max="19" width="9.44140625" customWidth="1"/>
    <col min="20" max="20" width="9.6640625" bestFit="1" customWidth="1"/>
    <col min="21" max="24" width="9.44140625" customWidth="1"/>
    <col min="25" max="25" width="10.5546875" bestFit="1" customWidth="1"/>
    <col min="26" max="26" width="10.21875" bestFit="1" customWidth="1"/>
  </cols>
  <sheetData>
    <row r="1" spans="2:15" ht="15" thickBot="1" x14ac:dyDescent="0.35"/>
    <row r="2" spans="2:15" ht="15" thickBot="1" x14ac:dyDescent="0.35">
      <c r="B2" s="10" t="s">
        <v>23</v>
      </c>
      <c r="C2" s="11"/>
      <c r="D2" s="11"/>
      <c r="E2" s="11"/>
      <c r="F2" s="11"/>
      <c r="G2" s="11"/>
      <c r="H2" s="11"/>
      <c r="I2" s="11"/>
      <c r="J2" s="11"/>
      <c r="K2" s="11"/>
      <c r="L2" s="11"/>
      <c r="M2" s="11"/>
      <c r="N2" s="11"/>
      <c r="O2" s="20"/>
    </row>
    <row r="3" spans="2:15" x14ac:dyDescent="0.3">
      <c r="B3" s="65" t="s">
        <v>0</v>
      </c>
      <c r="C3" s="66" t="s">
        <v>65</v>
      </c>
      <c r="D3" s="67"/>
      <c r="E3" s="67"/>
      <c r="F3" s="67"/>
      <c r="G3" s="67"/>
      <c r="H3" s="67"/>
      <c r="I3" s="67"/>
      <c r="J3" s="67"/>
      <c r="K3" s="67"/>
      <c r="L3" s="67"/>
      <c r="M3" s="67"/>
      <c r="N3" s="67"/>
      <c r="O3" s="4"/>
    </row>
    <row r="4" spans="2:15" x14ac:dyDescent="0.3">
      <c r="B4" s="68" t="s">
        <v>1</v>
      </c>
      <c r="C4" s="69" t="s">
        <v>66</v>
      </c>
      <c r="D4" s="74"/>
      <c r="E4" s="74"/>
      <c r="F4" s="74"/>
      <c r="G4" s="74"/>
      <c r="H4" s="74"/>
      <c r="I4" s="74"/>
      <c r="J4" s="74"/>
      <c r="K4" s="74"/>
      <c r="L4" s="74"/>
      <c r="M4" s="74"/>
      <c r="N4" s="74"/>
      <c r="O4" s="6"/>
    </row>
    <row r="5" spans="2:15" x14ac:dyDescent="0.3">
      <c r="B5" s="68" t="s">
        <v>2</v>
      </c>
      <c r="C5" s="69">
        <v>2023</v>
      </c>
      <c r="D5" s="74"/>
      <c r="E5" s="74"/>
      <c r="F5" s="74"/>
      <c r="G5" s="74"/>
      <c r="H5" s="74"/>
      <c r="I5" s="74"/>
      <c r="J5" s="74"/>
      <c r="K5" s="74"/>
      <c r="L5" s="74"/>
      <c r="M5" s="74"/>
      <c r="N5" s="74"/>
      <c r="O5" s="6"/>
    </row>
    <row r="6" spans="2:15" x14ac:dyDescent="0.3">
      <c r="B6" s="68" t="s">
        <v>4</v>
      </c>
      <c r="C6" s="69" t="s">
        <v>67</v>
      </c>
      <c r="D6" s="74"/>
      <c r="E6" s="74"/>
      <c r="F6" s="74"/>
      <c r="G6" s="74"/>
      <c r="H6" s="74"/>
      <c r="I6" s="74"/>
      <c r="J6" s="74"/>
      <c r="K6" s="74"/>
      <c r="L6" s="74"/>
      <c r="M6" s="74"/>
      <c r="N6" s="74"/>
      <c r="O6" s="6"/>
    </row>
    <row r="7" spans="2:15" ht="45.6" customHeight="1" thickBot="1" x14ac:dyDescent="0.35">
      <c r="B7" s="70" t="s">
        <v>96</v>
      </c>
      <c r="C7" s="71" t="s">
        <v>97</v>
      </c>
      <c r="D7" s="72"/>
      <c r="E7" s="72"/>
      <c r="F7" s="72"/>
      <c r="G7" s="72"/>
      <c r="H7" s="72"/>
      <c r="I7" s="72"/>
      <c r="J7" s="72"/>
      <c r="K7" s="72"/>
      <c r="L7" s="72"/>
      <c r="M7" s="72"/>
      <c r="N7" s="72"/>
      <c r="O7" s="73"/>
    </row>
    <row r="8" spans="2:15" ht="15" thickBot="1" x14ac:dyDescent="0.35"/>
    <row r="9" spans="2:15" ht="15" thickBot="1" x14ac:dyDescent="0.35">
      <c r="B9" s="10" t="s">
        <v>3</v>
      </c>
      <c r="C9" s="20"/>
      <c r="E9" s="10" t="s">
        <v>9</v>
      </c>
      <c r="F9" s="19"/>
      <c r="G9" s="19"/>
      <c r="H9" s="19"/>
      <c r="I9" s="19"/>
      <c r="J9" s="20"/>
    </row>
    <row r="10" spans="2:15" ht="15" thickBot="1" x14ac:dyDescent="0.35">
      <c r="B10" s="22" t="s">
        <v>15</v>
      </c>
      <c r="C10" s="6" t="s">
        <v>61</v>
      </c>
      <c r="E10" s="10" t="s">
        <v>42</v>
      </c>
      <c r="F10" s="11" t="s">
        <v>17</v>
      </c>
      <c r="G10" s="10" t="s">
        <v>42</v>
      </c>
      <c r="H10" s="12" t="s">
        <v>43</v>
      </c>
      <c r="I10" s="11" t="s">
        <v>43</v>
      </c>
      <c r="J10" s="12" t="s">
        <v>17</v>
      </c>
    </row>
    <row r="11" spans="2:15" ht="15" thickBot="1" x14ac:dyDescent="0.35">
      <c r="B11" s="23" t="s">
        <v>16</v>
      </c>
      <c r="C11" s="6" t="s">
        <v>82</v>
      </c>
      <c r="E11" s="63" t="s">
        <v>39</v>
      </c>
      <c r="F11" s="64"/>
      <c r="G11" s="63" t="s">
        <v>39</v>
      </c>
      <c r="H11" s="64"/>
      <c r="I11" s="63" t="s">
        <v>18</v>
      </c>
      <c r="J11" s="64"/>
    </row>
    <row r="12" spans="2:15" x14ac:dyDescent="0.3">
      <c r="B12" s="23" t="s">
        <v>10</v>
      </c>
      <c r="C12" s="6" t="s">
        <v>64</v>
      </c>
    </row>
    <row r="13" spans="2:15" ht="28.8" x14ac:dyDescent="0.3">
      <c r="B13" s="44" t="s">
        <v>44</v>
      </c>
      <c r="C13" s="43" t="s">
        <v>83</v>
      </c>
    </row>
    <row r="14" spans="2:15" ht="15" thickBot="1" x14ac:dyDescent="0.35">
      <c r="B14" s="16" t="s">
        <v>9</v>
      </c>
      <c r="C14" s="9" t="s">
        <v>84</v>
      </c>
    </row>
    <row r="15" spans="2:15" ht="15" thickBot="1" x14ac:dyDescent="0.35">
      <c r="B15" s="1"/>
    </row>
    <row r="16" spans="2:15" ht="15" thickBot="1" x14ac:dyDescent="0.35">
      <c r="B16" s="10" t="s">
        <v>19</v>
      </c>
      <c r="C16" s="19"/>
      <c r="D16" s="20"/>
      <c r="F16" s="1"/>
    </row>
    <row r="17" spans="2:26" x14ac:dyDescent="0.3">
      <c r="B17" s="22" t="s">
        <v>20</v>
      </c>
      <c r="C17" s="3">
        <v>0.4</v>
      </c>
      <c r="D17" s="4" t="s">
        <v>8</v>
      </c>
      <c r="F17" s="1"/>
      <c r="G17" s="27"/>
    </row>
    <row r="18" spans="2:26" x14ac:dyDescent="0.3">
      <c r="B18" s="23" t="s">
        <v>45</v>
      </c>
      <c r="C18" s="45" t="s">
        <v>34</v>
      </c>
      <c r="D18" s="6" t="s">
        <v>8</v>
      </c>
      <c r="F18" s="1"/>
    </row>
    <row r="19" spans="2:26" x14ac:dyDescent="0.3">
      <c r="B19" s="23" t="s">
        <v>21</v>
      </c>
      <c r="C19" s="45" t="s">
        <v>34</v>
      </c>
      <c r="D19" s="6" t="s">
        <v>8</v>
      </c>
      <c r="F19" s="1"/>
    </row>
    <row r="20" spans="2:26" x14ac:dyDescent="0.3">
      <c r="B20" s="23" t="s">
        <v>38</v>
      </c>
      <c r="C20" s="45" t="s">
        <v>85</v>
      </c>
      <c r="D20" s="6" t="s">
        <v>8</v>
      </c>
    </row>
    <row r="21" spans="2:26" x14ac:dyDescent="0.3">
      <c r="B21" s="23" t="s">
        <v>26</v>
      </c>
      <c r="C21" s="45" t="s">
        <v>34</v>
      </c>
      <c r="D21" s="6" t="s">
        <v>8</v>
      </c>
    </row>
    <row r="22" spans="2:26" ht="15" thickBot="1" x14ac:dyDescent="0.35">
      <c r="B22" s="16" t="s">
        <v>40</v>
      </c>
      <c r="C22" s="46" t="s">
        <v>34</v>
      </c>
      <c r="D22" s="9" t="s">
        <v>7</v>
      </c>
    </row>
    <row r="23" spans="2:26" ht="15" thickBot="1" x14ac:dyDescent="0.35">
      <c r="B23" s="1"/>
    </row>
    <row r="24" spans="2:26" ht="15" thickBot="1" x14ac:dyDescent="0.35">
      <c r="B24" s="2" t="s">
        <v>24</v>
      </c>
      <c r="C24" s="3"/>
      <c r="D24" s="4"/>
      <c r="F24" s="10" t="s">
        <v>48</v>
      </c>
      <c r="G24" s="11"/>
      <c r="H24" s="11"/>
      <c r="I24" s="11"/>
      <c r="J24" s="11"/>
      <c r="K24" s="11"/>
      <c r="L24" s="12"/>
    </row>
    <row r="25" spans="2:26" x14ac:dyDescent="0.3">
      <c r="B25" s="2" t="s">
        <v>27</v>
      </c>
      <c r="C25" s="48" t="s">
        <v>88</v>
      </c>
      <c r="D25" s="4" t="s">
        <v>6</v>
      </c>
      <c r="F25" s="35" t="s">
        <v>32</v>
      </c>
      <c r="G25" t="s">
        <v>87</v>
      </c>
      <c r="L25" s="6"/>
    </row>
    <row r="26" spans="2:26" ht="15" thickBot="1" x14ac:dyDescent="0.35">
      <c r="B26" s="21" t="s">
        <v>28</v>
      </c>
      <c r="C26" s="59" t="s">
        <v>89</v>
      </c>
      <c r="D26" s="6" t="s">
        <v>6</v>
      </c>
      <c r="F26" s="36" t="s">
        <v>31</v>
      </c>
      <c r="G26" s="8" t="s">
        <v>86</v>
      </c>
      <c r="H26" s="8"/>
      <c r="I26" s="8"/>
      <c r="J26" s="8"/>
      <c r="K26" s="8"/>
      <c r="L26" s="9"/>
    </row>
    <row r="27" spans="2:26" ht="28.8" x14ac:dyDescent="0.3">
      <c r="B27" s="28" t="s">
        <v>46</v>
      </c>
      <c r="C27" s="50" t="s">
        <v>93</v>
      </c>
      <c r="D27" s="29" t="s">
        <v>30</v>
      </c>
    </row>
    <row r="28" spans="2:26" ht="15" thickBot="1" x14ac:dyDescent="0.35">
      <c r="B28" s="15" t="s">
        <v>25</v>
      </c>
      <c r="C28" s="51" t="s">
        <v>34</v>
      </c>
      <c r="D28" s="9" t="s">
        <v>47</v>
      </c>
      <c r="H28" s="17"/>
      <c r="I28" s="17"/>
      <c r="J28" s="17"/>
      <c r="K28" s="17"/>
      <c r="L28" s="17"/>
    </row>
    <row r="29" spans="2:26" ht="15" thickBot="1" x14ac:dyDescent="0.35"/>
    <row r="30" spans="2:26" ht="15" thickBot="1" x14ac:dyDescent="0.35">
      <c r="B30" s="2"/>
      <c r="C30" s="10" t="s">
        <v>35</v>
      </c>
      <c r="D30" s="11"/>
      <c r="E30" s="11"/>
      <c r="F30" s="11"/>
      <c r="G30" s="11"/>
      <c r="H30" s="11"/>
      <c r="I30" s="11"/>
      <c r="J30" s="11"/>
      <c r="K30" s="11"/>
      <c r="L30" s="12"/>
      <c r="M30" s="10" t="s">
        <v>13</v>
      </c>
      <c r="N30" s="11"/>
      <c r="O30" s="11"/>
      <c r="P30" s="11"/>
      <c r="Q30" s="11"/>
      <c r="R30" s="11"/>
      <c r="S30" s="11"/>
      <c r="T30" s="12"/>
      <c r="U30" s="18" t="s">
        <v>14</v>
      </c>
      <c r="V30" s="3"/>
      <c r="W30" s="3"/>
      <c r="X30" s="3"/>
      <c r="Y30" s="3"/>
      <c r="Z30" s="20"/>
    </row>
    <row r="31" spans="2:26" ht="15" thickBot="1" x14ac:dyDescent="0.35">
      <c r="B31" s="21" t="s">
        <v>11</v>
      </c>
      <c r="C31" s="21" t="s">
        <v>48</v>
      </c>
      <c r="D31" s="1" t="s">
        <v>5</v>
      </c>
      <c r="E31" s="1" t="s">
        <v>37</v>
      </c>
      <c r="F31" s="1" t="s">
        <v>36</v>
      </c>
      <c r="G31" s="1" t="s">
        <v>90</v>
      </c>
      <c r="H31" s="1" t="s">
        <v>41</v>
      </c>
      <c r="I31" s="1" t="s">
        <v>91</v>
      </c>
      <c r="J31" s="1" t="s">
        <v>92</v>
      </c>
      <c r="K31" s="11" t="s">
        <v>94</v>
      </c>
      <c r="L31" s="12" t="s">
        <v>95</v>
      </c>
      <c r="M31" s="2" t="s">
        <v>49</v>
      </c>
      <c r="N31" s="14" t="s">
        <v>50</v>
      </c>
      <c r="O31" s="14" t="s">
        <v>51</v>
      </c>
      <c r="P31" s="14" t="s">
        <v>52</v>
      </c>
      <c r="Q31" s="14" t="s">
        <v>53</v>
      </c>
      <c r="R31" s="1" t="s">
        <v>54</v>
      </c>
      <c r="S31" s="1" t="s">
        <v>55</v>
      </c>
      <c r="T31" s="55" t="s">
        <v>56</v>
      </c>
      <c r="U31" s="2" t="s">
        <v>57</v>
      </c>
      <c r="V31" s="14" t="s">
        <v>58</v>
      </c>
      <c r="W31" s="14" t="s">
        <v>59</v>
      </c>
      <c r="X31" s="14" t="s">
        <v>60</v>
      </c>
      <c r="Y31" s="14" t="s">
        <v>12</v>
      </c>
      <c r="Z31" s="39" t="s">
        <v>29</v>
      </c>
    </row>
    <row r="32" spans="2:26" x14ac:dyDescent="0.3">
      <c r="B32" s="13">
        <v>1</v>
      </c>
      <c r="C32" s="13" t="s">
        <v>31</v>
      </c>
      <c r="D32" s="3">
        <v>0.4</v>
      </c>
      <c r="E32" s="3">
        <v>4.0000000000000001E-3</v>
      </c>
      <c r="F32" s="47" t="s">
        <v>34</v>
      </c>
      <c r="G32" s="3">
        <v>1</v>
      </c>
      <c r="H32" s="52">
        <v>0.66666666666666663</v>
      </c>
      <c r="I32" s="60">
        <v>1550.67394012625</v>
      </c>
      <c r="J32" s="3">
        <v>7.54</v>
      </c>
      <c r="K32" s="52">
        <v>24.556334961724101</v>
      </c>
      <c r="L32" s="37">
        <v>24.556334961724101</v>
      </c>
      <c r="M32" s="3">
        <v>24</v>
      </c>
      <c r="N32" s="26">
        <v>7.4498715270381833E-3</v>
      </c>
      <c r="O32" s="3">
        <v>3</v>
      </c>
      <c r="P32" s="3">
        <v>25</v>
      </c>
      <c r="Q32" s="26">
        <v>1.19490265157905E-2</v>
      </c>
      <c r="R32" s="3">
        <v>2</v>
      </c>
      <c r="S32" s="47" t="s">
        <v>34</v>
      </c>
      <c r="T32" s="47" t="s">
        <v>34</v>
      </c>
      <c r="U32" s="32">
        <v>21.105954416460502</v>
      </c>
      <c r="V32" s="26">
        <f>N32</f>
        <v>7.4498715270381833E-3</v>
      </c>
      <c r="W32" s="47" t="s">
        <v>34</v>
      </c>
      <c r="X32" s="47" t="s">
        <v>34</v>
      </c>
      <c r="Y32" s="56">
        <v>0.33772609819121402</v>
      </c>
      <c r="Z32" s="37">
        <v>0.19981788878853601</v>
      </c>
    </row>
    <row r="33" spans="2:26" x14ac:dyDescent="0.3">
      <c r="B33" s="5">
        <f>B32+1</f>
        <v>2</v>
      </c>
      <c r="C33" s="5" t="s">
        <v>31</v>
      </c>
      <c r="D33">
        <v>0.4</v>
      </c>
      <c r="E33">
        <v>4.0000000000000001E-3</v>
      </c>
      <c r="F33" s="45" t="s">
        <v>34</v>
      </c>
      <c r="G33">
        <v>1</v>
      </c>
      <c r="H33" s="17">
        <v>0.66666666666666663</v>
      </c>
      <c r="I33" s="62">
        <v>1534.5966132129699</v>
      </c>
      <c r="J33">
        <v>7.54</v>
      </c>
      <c r="K33" s="17">
        <v>24.663483817147199</v>
      </c>
      <c r="L33" s="38">
        <v>24.663483817147199</v>
      </c>
      <c r="M33">
        <v>26</v>
      </c>
      <c r="N33" s="24">
        <v>8.4063973827250456E-3</v>
      </c>
      <c r="O33">
        <v>3</v>
      </c>
      <c r="P33">
        <v>25</v>
      </c>
      <c r="Q33" s="24">
        <v>1.19490265157905E-2</v>
      </c>
      <c r="R33">
        <v>2</v>
      </c>
      <c r="S33" s="45" t="s">
        <v>34</v>
      </c>
      <c r="T33" s="45" t="s">
        <v>34</v>
      </c>
      <c r="U33" s="33">
        <v>22.232507762322591</v>
      </c>
      <c r="V33" s="24">
        <f t="shared" ref="V33:V96" si="0">N33</f>
        <v>8.4063973827250456E-3</v>
      </c>
      <c r="W33" s="45" t="s">
        <v>34</v>
      </c>
      <c r="X33" s="45" t="s">
        <v>34</v>
      </c>
      <c r="Y33" s="57">
        <v>0.41731266149870799</v>
      </c>
      <c r="Z33" s="38">
        <v>0.25957939411330899</v>
      </c>
    </row>
    <row r="34" spans="2:26" x14ac:dyDescent="0.3">
      <c r="B34" s="5">
        <f t="shared" ref="B34:B97" si="1">B33+1</f>
        <v>3</v>
      </c>
      <c r="C34" s="5" t="s">
        <v>31</v>
      </c>
      <c r="D34">
        <v>0.4</v>
      </c>
      <c r="E34">
        <v>4.0000000000000001E-3</v>
      </c>
      <c r="F34" s="45" t="s">
        <v>34</v>
      </c>
      <c r="G34">
        <v>1</v>
      </c>
      <c r="H34" s="17">
        <v>0.66666666666666663</v>
      </c>
      <c r="I34" s="62">
        <v>1517.35543135291</v>
      </c>
      <c r="J34">
        <v>7.54</v>
      </c>
      <c r="K34" s="17">
        <v>24.779525076795199</v>
      </c>
      <c r="L34" s="38">
        <v>24.779525076795199</v>
      </c>
      <c r="M34">
        <v>28</v>
      </c>
      <c r="N34" s="24">
        <v>9.4703610945444383E-3</v>
      </c>
      <c r="O34">
        <v>3</v>
      </c>
      <c r="P34">
        <v>25</v>
      </c>
      <c r="Q34" s="24">
        <v>1.19490265157905E-2</v>
      </c>
      <c r="R34">
        <v>2</v>
      </c>
      <c r="S34" s="45" t="s">
        <v>34</v>
      </c>
      <c r="T34" s="45" t="s">
        <v>34</v>
      </c>
      <c r="U34" s="33">
        <v>23.636914039573369</v>
      </c>
      <c r="V34" s="24">
        <f t="shared" si="0"/>
        <v>9.4703610945444383E-3</v>
      </c>
      <c r="W34" s="45" t="s">
        <v>34</v>
      </c>
      <c r="X34" s="45" t="s">
        <v>34</v>
      </c>
      <c r="Y34" s="57">
        <v>0.45994832041343597</v>
      </c>
      <c r="Z34" s="38">
        <v>0.29738637735643297</v>
      </c>
    </row>
    <row r="35" spans="2:26" x14ac:dyDescent="0.3">
      <c r="B35" s="5">
        <f t="shared" si="1"/>
        <v>4</v>
      </c>
      <c r="C35" s="5" t="s">
        <v>31</v>
      </c>
      <c r="D35">
        <v>0.4</v>
      </c>
      <c r="E35">
        <v>4.0000000000000001E-3</v>
      </c>
      <c r="F35" s="45" t="s">
        <v>34</v>
      </c>
      <c r="G35">
        <v>1</v>
      </c>
      <c r="H35" s="17">
        <v>0.66666666666666663</v>
      </c>
      <c r="I35" s="62">
        <v>1499.8208327823399</v>
      </c>
      <c r="J35">
        <v>7.54</v>
      </c>
      <c r="K35" s="17">
        <v>24.8979176331679</v>
      </c>
      <c r="L35" s="38">
        <v>24.8979176331679</v>
      </c>
      <c r="M35">
        <v>30</v>
      </c>
      <c r="N35" s="24">
        <v>1.0652261887304362E-2</v>
      </c>
      <c r="O35">
        <v>3</v>
      </c>
      <c r="P35">
        <v>25</v>
      </c>
      <c r="Q35" s="24">
        <v>1.19490265157905E-2</v>
      </c>
      <c r="R35">
        <v>2</v>
      </c>
      <c r="S35" s="45" t="s">
        <v>34</v>
      </c>
      <c r="T35" s="45" t="s">
        <v>34</v>
      </c>
      <c r="U35" s="33">
        <v>25.134167607762908</v>
      </c>
      <c r="V35" s="24">
        <f t="shared" si="0"/>
        <v>1.0652261887304362E-2</v>
      </c>
      <c r="W35" s="45" t="s">
        <v>34</v>
      </c>
      <c r="X35" s="45" t="s">
        <v>34</v>
      </c>
      <c r="Y35" s="57">
        <v>0.48940568475452101</v>
      </c>
      <c r="Z35" s="38">
        <v>0.326860456863032</v>
      </c>
    </row>
    <row r="36" spans="2:26" x14ac:dyDescent="0.3">
      <c r="B36" s="5">
        <f t="shared" si="1"/>
        <v>5</v>
      </c>
      <c r="C36" s="5" t="s">
        <v>31</v>
      </c>
      <c r="D36">
        <v>0.4</v>
      </c>
      <c r="E36">
        <v>4.0000000000000001E-3</v>
      </c>
      <c r="F36" s="45" t="s">
        <v>34</v>
      </c>
      <c r="G36">
        <v>1</v>
      </c>
      <c r="H36" s="17">
        <v>0.66666666666666663</v>
      </c>
      <c r="I36" s="62">
        <v>1482.0126653800501</v>
      </c>
      <c r="J36">
        <v>7.54</v>
      </c>
      <c r="K36" s="17">
        <v>25.018438414182199</v>
      </c>
      <c r="L36" s="38">
        <v>25.018438414182199</v>
      </c>
      <c r="M36">
        <v>32</v>
      </c>
      <c r="N36" s="24">
        <v>1.1963522282796357E-2</v>
      </c>
      <c r="O36">
        <v>3</v>
      </c>
      <c r="P36">
        <v>25</v>
      </c>
      <c r="Q36" s="24">
        <v>1.19490265157905E-2</v>
      </c>
      <c r="R36">
        <v>2</v>
      </c>
      <c r="S36" s="45" t="s">
        <v>34</v>
      </c>
      <c r="T36" s="45" t="s">
        <v>34</v>
      </c>
      <c r="U36" s="33">
        <v>26.721432529798008</v>
      </c>
      <c r="V36" s="24">
        <f t="shared" si="0"/>
        <v>1.1963522282796357E-2</v>
      </c>
      <c r="W36" s="45" t="s">
        <v>34</v>
      </c>
      <c r="X36" s="45" t="s">
        <v>34</v>
      </c>
      <c r="Y36" s="57">
        <v>0.50775193798449603</v>
      </c>
      <c r="Z36" s="38">
        <v>0.34798046033727897</v>
      </c>
    </row>
    <row r="37" spans="2:26" x14ac:dyDescent="0.3">
      <c r="B37" s="5">
        <f t="shared" si="1"/>
        <v>6</v>
      </c>
      <c r="C37" s="5" t="s">
        <v>31</v>
      </c>
      <c r="D37">
        <v>0.4</v>
      </c>
      <c r="E37">
        <v>4.0000000000000001E-3</v>
      </c>
      <c r="F37" s="45" t="s">
        <v>34</v>
      </c>
      <c r="G37">
        <v>1</v>
      </c>
      <c r="H37" s="17">
        <v>0.66666666666666663</v>
      </c>
      <c r="I37" s="62">
        <v>1464.3709474219199</v>
      </c>
      <c r="J37">
        <v>7.54</v>
      </c>
      <c r="K37" s="17">
        <v>25.137470963055101</v>
      </c>
      <c r="L37" s="38">
        <v>25.137470963055101</v>
      </c>
      <c r="M37">
        <v>34</v>
      </c>
      <c r="N37" s="24">
        <v>1.3416573173780677E-2</v>
      </c>
      <c r="O37">
        <v>3</v>
      </c>
      <c r="P37">
        <v>25</v>
      </c>
      <c r="Q37" s="24">
        <v>1.19490265157905E-2</v>
      </c>
      <c r="R37">
        <v>2</v>
      </c>
      <c r="S37" s="45" t="s">
        <v>34</v>
      </c>
      <c r="T37" s="45" t="s">
        <v>34</v>
      </c>
      <c r="U37" s="33">
        <v>28.2966707529526</v>
      </c>
      <c r="V37" s="24">
        <f t="shared" si="0"/>
        <v>1.3416573173780677E-2</v>
      </c>
      <c r="W37" s="45" t="s">
        <v>34</v>
      </c>
      <c r="X37" s="45" t="s">
        <v>34</v>
      </c>
      <c r="Y37" s="57">
        <v>0.52583979328165298</v>
      </c>
      <c r="Z37" s="38">
        <v>0.36733428581636701</v>
      </c>
    </row>
    <row r="38" spans="2:26" x14ac:dyDescent="0.3">
      <c r="B38" s="5">
        <f t="shared" si="1"/>
        <v>7</v>
      </c>
      <c r="C38" s="5" t="s">
        <v>31</v>
      </c>
      <c r="D38">
        <v>0.4</v>
      </c>
      <c r="E38">
        <v>4.0000000000000001E-3</v>
      </c>
      <c r="F38" s="45" t="s">
        <v>34</v>
      </c>
      <c r="G38">
        <v>1</v>
      </c>
      <c r="H38" s="17">
        <v>0.66666666666666663</v>
      </c>
      <c r="I38" s="62">
        <v>1446.7021464064101</v>
      </c>
      <c r="J38">
        <v>7.54</v>
      </c>
      <c r="K38" s="17">
        <v>25.256325266621602</v>
      </c>
      <c r="L38" s="38">
        <v>25.256325266621602</v>
      </c>
      <c r="M38">
        <v>36</v>
      </c>
      <c r="N38" s="24">
        <v>1.5024949397915145E-2</v>
      </c>
      <c r="O38">
        <v>3</v>
      </c>
      <c r="P38">
        <v>25</v>
      </c>
      <c r="Q38" s="24">
        <v>1.19490265157905E-2</v>
      </c>
      <c r="R38">
        <v>2</v>
      </c>
      <c r="S38" s="45" t="s">
        <v>34</v>
      </c>
      <c r="T38" s="45" t="s">
        <v>34</v>
      </c>
      <c r="U38" s="33">
        <v>29.901629240425184</v>
      </c>
      <c r="V38" s="24">
        <f t="shared" si="0"/>
        <v>1.5024949397915145E-2</v>
      </c>
      <c r="W38" s="45" t="s">
        <v>34</v>
      </c>
      <c r="X38" s="45" t="s">
        <v>34</v>
      </c>
      <c r="Y38" s="57">
        <v>0.54005167958656297</v>
      </c>
      <c r="Z38" s="38">
        <v>0.387398740745096</v>
      </c>
    </row>
    <row r="39" spans="2:26" x14ac:dyDescent="0.3">
      <c r="B39" s="5">
        <f t="shared" si="1"/>
        <v>8</v>
      </c>
      <c r="C39" s="5" t="s">
        <v>32</v>
      </c>
      <c r="D39">
        <v>0.4</v>
      </c>
      <c r="E39">
        <v>4.0000000000000001E-3</v>
      </c>
      <c r="F39" s="45" t="s">
        <v>34</v>
      </c>
      <c r="G39">
        <v>1</v>
      </c>
      <c r="H39" s="17">
        <v>0.66666666666666663</v>
      </c>
      <c r="I39" s="62">
        <v>1548.94206824342</v>
      </c>
      <c r="J39">
        <v>7.54</v>
      </c>
      <c r="K39" s="17">
        <v>24.569258427033901</v>
      </c>
      <c r="L39" s="38">
        <v>24.569258427033901</v>
      </c>
      <c r="M39">
        <v>24</v>
      </c>
      <c r="N39" s="24">
        <v>7.4498715270381833E-3</v>
      </c>
      <c r="O39">
        <v>3</v>
      </c>
      <c r="P39">
        <v>25</v>
      </c>
      <c r="Q39" s="24">
        <v>1.19490265157905E-2</v>
      </c>
      <c r="R39">
        <v>2</v>
      </c>
      <c r="S39" s="45" t="s">
        <v>34</v>
      </c>
      <c r="T39" s="45" t="s">
        <v>34</v>
      </c>
      <c r="U39" s="33">
        <v>21.477951094375292</v>
      </c>
      <c r="V39" s="24">
        <f t="shared" si="0"/>
        <v>7.4498715270381833E-3</v>
      </c>
      <c r="W39" s="45" t="s">
        <v>34</v>
      </c>
      <c r="X39" s="45" t="s">
        <v>34</v>
      </c>
      <c r="Y39" s="57">
        <v>0.294315245478036</v>
      </c>
      <c r="Z39" s="38">
        <v>0.172256800679773</v>
      </c>
    </row>
    <row r="40" spans="2:26" x14ac:dyDescent="0.3">
      <c r="B40" s="5">
        <f t="shared" si="1"/>
        <v>9</v>
      </c>
      <c r="C40" s="5" t="s">
        <v>32</v>
      </c>
      <c r="D40">
        <v>0.4</v>
      </c>
      <c r="E40">
        <v>4.0000000000000001E-3</v>
      </c>
      <c r="F40" s="45" t="s">
        <v>34</v>
      </c>
      <c r="G40">
        <v>1</v>
      </c>
      <c r="H40" s="17">
        <v>0.66666666666666663</v>
      </c>
      <c r="I40" s="62">
        <v>1533.4107521508699</v>
      </c>
      <c r="J40">
        <v>7.54</v>
      </c>
      <c r="K40" s="17">
        <v>24.672450359137201</v>
      </c>
      <c r="L40" s="38">
        <v>24.672450359137201</v>
      </c>
      <c r="M40">
        <v>26</v>
      </c>
      <c r="N40" s="24">
        <v>8.4063973827250456E-3</v>
      </c>
      <c r="O40">
        <v>3</v>
      </c>
      <c r="P40">
        <v>25</v>
      </c>
      <c r="Q40" s="24">
        <v>1.19490265157905E-2</v>
      </c>
      <c r="R40">
        <v>2</v>
      </c>
      <c r="S40" s="45" t="s">
        <v>34</v>
      </c>
      <c r="T40" s="45" t="s">
        <v>34</v>
      </c>
      <c r="U40" s="33">
        <v>22.491449953271321</v>
      </c>
      <c r="V40" s="24">
        <f t="shared" si="0"/>
        <v>8.4063973827250456E-3</v>
      </c>
      <c r="W40" s="45" t="s">
        <v>34</v>
      </c>
      <c r="X40" s="45" t="s">
        <v>34</v>
      </c>
      <c r="Y40" s="57">
        <v>0.38863049095607199</v>
      </c>
      <c r="Z40" s="38">
        <v>0.23908628405173199</v>
      </c>
    </row>
    <row r="41" spans="2:26" x14ac:dyDescent="0.3">
      <c r="B41" s="5">
        <f t="shared" si="1"/>
        <v>10</v>
      </c>
      <c r="C41" s="5" t="s">
        <v>32</v>
      </c>
      <c r="D41">
        <v>0.4</v>
      </c>
      <c r="E41">
        <v>4.0000000000000001E-3</v>
      </c>
      <c r="F41" s="45" t="s">
        <v>34</v>
      </c>
      <c r="G41">
        <v>1</v>
      </c>
      <c r="H41" s="17">
        <v>0.66666666666666663</v>
      </c>
      <c r="I41" s="62">
        <v>1516.36321037484</v>
      </c>
      <c r="J41">
        <v>7.54</v>
      </c>
      <c r="K41" s="17">
        <v>24.787136501124301</v>
      </c>
      <c r="L41" s="38">
        <v>24.787136501124301</v>
      </c>
      <c r="M41">
        <v>28</v>
      </c>
      <c r="N41" s="24">
        <v>9.4703610945444383E-3</v>
      </c>
      <c r="O41">
        <v>3</v>
      </c>
      <c r="P41">
        <v>25</v>
      </c>
      <c r="Q41" s="24">
        <v>1.19490265157905E-2</v>
      </c>
      <c r="R41">
        <v>2</v>
      </c>
      <c r="S41" s="45" t="s">
        <v>34</v>
      </c>
      <c r="T41" s="45" t="s">
        <v>34</v>
      </c>
      <c r="U41" s="33">
        <v>23.857519509482575</v>
      </c>
      <c r="V41" s="24">
        <f t="shared" si="0"/>
        <v>9.4703610945444383E-3</v>
      </c>
      <c r="W41" s="45" t="s">
        <v>34</v>
      </c>
      <c r="X41" s="45" t="s">
        <v>34</v>
      </c>
      <c r="Y41" s="57">
        <v>0.436692506459948</v>
      </c>
      <c r="Z41" s="38">
        <v>0.27711003344576701</v>
      </c>
    </row>
    <row r="42" spans="2:26" x14ac:dyDescent="0.3">
      <c r="B42" s="5">
        <f t="shared" si="1"/>
        <v>11</v>
      </c>
      <c r="C42" s="5" t="s">
        <v>32</v>
      </c>
      <c r="D42">
        <v>0.4</v>
      </c>
      <c r="E42">
        <v>4.0000000000000001E-3</v>
      </c>
      <c r="F42" s="45" t="s">
        <v>34</v>
      </c>
      <c r="G42">
        <v>1</v>
      </c>
      <c r="H42" s="17">
        <v>0.66666666666666663</v>
      </c>
      <c r="I42" s="62">
        <v>1498.9815151073001</v>
      </c>
      <c r="J42">
        <v>7.54</v>
      </c>
      <c r="K42" s="17">
        <v>24.904451597357902</v>
      </c>
      <c r="L42" s="38">
        <v>24.904451597357902</v>
      </c>
      <c r="M42">
        <v>30</v>
      </c>
      <c r="N42" s="24">
        <v>1.0652261887304362E-2</v>
      </c>
      <c r="O42">
        <v>3</v>
      </c>
      <c r="P42">
        <v>25</v>
      </c>
      <c r="Q42" s="24">
        <v>1.19490265157905E-2</v>
      </c>
      <c r="R42">
        <v>2</v>
      </c>
      <c r="S42" s="45" t="s">
        <v>34</v>
      </c>
      <c r="T42" s="45" t="s">
        <v>34</v>
      </c>
      <c r="U42" s="33">
        <v>25.324279327417358</v>
      </c>
      <c r="V42" s="24">
        <f t="shared" si="0"/>
        <v>1.0652261887304362E-2</v>
      </c>
      <c r="W42" s="45" t="s">
        <v>34</v>
      </c>
      <c r="X42" s="45" t="s">
        <v>34</v>
      </c>
      <c r="Y42" s="57">
        <v>0.47028423772609801</v>
      </c>
      <c r="Z42" s="38">
        <v>0.31351921372576602</v>
      </c>
    </row>
    <row r="43" spans="2:26" x14ac:dyDescent="0.3">
      <c r="B43" s="5">
        <f t="shared" si="1"/>
        <v>12</v>
      </c>
      <c r="C43" s="5" t="s">
        <v>32</v>
      </c>
      <c r="D43">
        <v>0.4</v>
      </c>
      <c r="E43">
        <v>4.0000000000000001E-3</v>
      </c>
      <c r="F43" s="45" t="s">
        <v>34</v>
      </c>
      <c r="G43">
        <v>1</v>
      </c>
      <c r="H43" s="17">
        <v>0.66666666666666663</v>
      </c>
      <c r="I43" s="62">
        <v>1481.34945314622</v>
      </c>
      <c r="J43">
        <v>7.54</v>
      </c>
      <c r="K43" s="17">
        <v>25.023679228549799</v>
      </c>
      <c r="L43" s="38">
        <v>25.023679228549799</v>
      </c>
      <c r="M43">
        <v>32</v>
      </c>
      <c r="N43" s="24">
        <v>1.1963522282796357E-2</v>
      </c>
      <c r="O43">
        <v>3</v>
      </c>
      <c r="P43">
        <v>25</v>
      </c>
      <c r="Q43" s="24">
        <v>1.19490265157905E-2</v>
      </c>
      <c r="R43">
        <v>2</v>
      </c>
      <c r="S43" s="45" t="s">
        <v>34</v>
      </c>
      <c r="T43" s="45" t="s">
        <v>34</v>
      </c>
      <c r="U43" s="33">
        <v>26.874551280842038</v>
      </c>
      <c r="V43" s="24">
        <f t="shared" si="0"/>
        <v>1.1963522282796357E-2</v>
      </c>
      <c r="W43" s="45" t="s">
        <v>34</v>
      </c>
      <c r="X43" s="45" t="s">
        <v>34</v>
      </c>
      <c r="Y43" s="57">
        <v>0.49302325581395301</v>
      </c>
      <c r="Z43" s="38">
        <v>0.334849122211344</v>
      </c>
    </row>
    <row r="44" spans="2:26" x14ac:dyDescent="0.3">
      <c r="B44" s="5">
        <f t="shared" si="1"/>
        <v>13</v>
      </c>
      <c r="C44" s="5" t="s">
        <v>32</v>
      </c>
      <c r="D44">
        <v>0.4</v>
      </c>
      <c r="E44">
        <v>4.0000000000000001E-3</v>
      </c>
      <c r="F44" s="45" t="s">
        <v>34</v>
      </c>
      <c r="G44">
        <v>1</v>
      </c>
      <c r="H44" s="17">
        <v>0.66666666666666663</v>
      </c>
      <c r="I44" s="62">
        <v>1463.7279173593099</v>
      </c>
      <c r="J44">
        <v>7.54</v>
      </c>
      <c r="K44" s="17">
        <v>25.1426282991001</v>
      </c>
      <c r="L44" s="38">
        <v>25.1426282991001</v>
      </c>
      <c r="M44">
        <v>34</v>
      </c>
      <c r="N44" s="24">
        <v>1.3416573173780677E-2</v>
      </c>
      <c r="O44">
        <v>3</v>
      </c>
      <c r="P44">
        <v>25</v>
      </c>
      <c r="Q44" s="24">
        <v>1.19490265157905E-2</v>
      </c>
      <c r="R44">
        <v>2</v>
      </c>
      <c r="S44" s="45" t="s">
        <v>34</v>
      </c>
      <c r="T44" s="45" t="s">
        <v>34</v>
      </c>
      <c r="U44" s="33">
        <v>28.448012167861968</v>
      </c>
      <c r="V44" s="24">
        <f t="shared" si="0"/>
        <v>1.3416573173780677E-2</v>
      </c>
      <c r="W44" s="45" t="s">
        <v>34</v>
      </c>
      <c r="X44" s="45" t="s">
        <v>34</v>
      </c>
      <c r="Y44" s="57">
        <v>0.51188630490956</v>
      </c>
      <c r="Z44" s="38">
        <v>0.360889824661694</v>
      </c>
    </row>
    <row r="45" spans="2:26" x14ac:dyDescent="0.3">
      <c r="B45" s="5">
        <f t="shared" si="1"/>
        <v>14</v>
      </c>
      <c r="C45" s="5" t="s">
        <v>32</v>
      </c>
      <c r="D45">
        <v>0.4</v>
      </c>
      <c r="E45">
        <v>4.0000000000000001E-3</v>
      </c>
      <c r="F45" s="45" t="s">
        <v>34</v>
      </c>
      <c r="G45">
        <v>1</v>
      </c>
      <c r="H45" s="17">
        <v>0.66666666666666663</v>
      </c>
      <c r="I45" s="62">
        <v>1446.04560586768</v>
      </c>
      <c r="J45">
        <v>7.54</v>
      </c>
      <c r="K45" s="17">
        <v>25.261669723696301</v>
      </c>
      <c r="L45" s="38">
        <v>25.261669723696301</v>
      </c>
      <c r="M45">
        <v>36</v>
      </c>
      <c r="N45" s="24">
        <v>1.5024949397915145E-2</v>
      </c>
      <c r="O45">
        <v>3</v>
      </c>
      <c r="P45">
        <v>25</v>
      </c>
      <c r="Q45" s="24">
        <v>1.19490265157905E-2</v>
      </c>
      <c r="R45">
        <v>2</v>
      </c>
      <c r="S45" s="45" t="s">
        <v>34</v>
      </c>
      <c r="T45" s="45" t="s">
        <v>34</v>
      </c>
      <c r="U45" s="33">
        <v>30.059194800720416</v>
      </c>
      <c r="V45" s="24">
        <f t="shared" si="0"/>
        <v>1.5024949397915145E-2</v>
      </c>
      <c r="W45" s="45" t="s">
        <v>34</v>
      </c>
      <c r="X45" s="45" t="s">
        <v>34</v>
      </c>
      <c r="Y45" s="57">
        <v>0.52609819121446999</v>
      </c>
      <c r="Z45" s="38">
        <v>0.37469714268788001</v>
      </c>
    </row>
    <row r="46" spans="2:26" x14ac:dyDescent="0.3">
      <c r="B46" s="5">
        <f t="shared" si="1"/>
        <v>15</v>
      </c>
      <c r="C46" s="5" t="s">
        <v>31</v>
      </c>
      <c r="D46">
        <v>0.4</v>
      </c>
      <c r="E46">
        <v>5.0000000000000001E-3</v>
      </c>
      <c r="F46" s="45" t="s">
        <v>34</v>
      </c>
      <c r="G46">
        <v>1</v>
      </c>
      <c r="H46" s="17">
        <v>0.66666666666666663</v>
      </c>
      <c r="I46" s="62">
        <v>1935.4182406662701</v>
      </c>
      <c r="J46">
        <v>7.54</v>
      </c>
      <c r="K46" s="17">
        <v>19.6590371048542</v>
      </c>
      <c r="L46" s="38">
        <v>19.6590371048542</v>
      </c>
      <c r="M46">
        <v>24</v>
      </c>
      <c r="N46" s="24">
        <v>7.4498715270381833E-3</v>
      </c>
      <c r="O46">
        <v>3</v>
      </c>
      <c r="P46">
        <v>25</v>
      </c>
      <c r="Q46" s="24">
        <v>1.19490265157905E-2</v>
      </c>
      <c r="R46">
        <v>2</v>
      </c>
      <c r="S46" s="45" t="s">
        <v>34</v>
      </c>
      <c r="T46" s="45" t="s">
        <v>34</v>
      </c>
      <c r="U46" s="33">
        <v>21.608592784833469</v>
      </c>
      <c r="V46" s="24">
        <f t="shared" si="0"/>
        <v>7.4498715270381833E-3</v>
      </c>
      <c r="W46" s="45" t="s">
        <v>34</v>
      </c>
      <c r="X46" s="45" t="s">
        <v>34</v>
      </c>
      <c r="Y46" s="57">
        <v>0.27906976744186002</v>
      </c>
      <c r="Z46" s="38">
        <v>0.165366528652582</v>
      </c>
    </row>
    <row r="47" spans="2:26" x14ac:dyDescent="0.3">
      <c r="B47" s="5">
        <f t="shared" si="1"/>
        <v>16</v>
      </c>
      <c r="C47" s="5" t="s">
        <v>31</v>
      </c>
      <c r="D47">
        <v>0.4</v>
      </c>
      <c r="E47">
        <v>5.0000000000000001E-3</v>
      </c>
      <c r="F47" s="45" t="s">
        <v>34</v>
      </c>
      <c r="G47">
        <v>1</v>
      </c>
      <c r="H47" s="17">
        <v>0.66666666666666663</v>
      </c>
      <c r="I47" s="62">
        <v>1914.7232656179499</v>
      </c>
      <c r="J47">
        <v>7.54</v>
      </c>
      <c r="K47" s="17">
        <v>19.747845998331702</v>
      </c>
      <c r="L47" s="38">
        <v>19.747845998331702</v>
      </c>
      <c r="M47">
        <v>26</v>
      </c>
      <c r="N47" s="24">
        <v>8.4063973827250456E-3</v>
      </c>
      <c r="O47">
        <v>3</v>
      </c>
      <c r="P47">
        <v>25</v>
      </c>
      <c r="Q47" s="24">
        <v>1.19490265157905E-2</v>
      </c>
      <c r="R47">
        <v>2</v>
      </c>
      <c r="S47" s="45" t="s">
        <v>34</v>
      </c>
      <c r="T47" s="45" t="s">
        <v>34</v>
      </c>
      <c r="U47" s="33">
        <v>22.848370270524967</v>
      </c>
      <c r="V47" s="24">
        <f t="shared" si="0"/>
        <v>8.4063973827250456E-3</v>
      </c>
      <c r="W47" s="45" t="s">
        <v>34</v>
      </c>
      <c r="X47" s="45" t="s">
        <v>34</v>
      </c>
      <c r="Y47" s="57">
        <v>0.34909560723514199</v>
      </c>
      <c r="Z47" s="38">
        <v>0.21859317399015499</v>
      </c>
    </row>
    <row r="48" spans="2:26" x14ac:dyDescent="0.3">
      <c r="B48" s="5">
        <f t="shared" si="1"/>
        <v>17</v>
      </c>
      <c r="C48" s="5" t="s">
        <v>31</v>
      </c>
      <c r="D48">
        <v>0.4</v>
      </c>
      <c r="E48">
        <v>5.0000000000000001E-3</v>
      </c>
      <c r="F48" s="45" t="s">
        <v>34</v>
      </c>
      <c r="G48">
        <v>1</v>
      </c>
      <c r="H48" s="17">
        <v>0.66666666666666663</v>
      </c>
      <c r="I48" s="62">
        <v>1893.0048797224199</v>
      </c>
      <c r="J48">
        <v>7.54</v>
      </c>
      <c r="K48" s="17">
        <v>19.841749931576899</v>
      </c>
      <c r="L48" s="38">
        <v>19.841749931576899</v>
      </c>
      <c r="M48">
        <v>28</v>
      </c>
      <c r="N48" s="24">
        <v>9.4703610945444383E-3</v>
      </c>
      <c r="O48">
        <v>3</v>
      </c>
      <c r="P48">
        <v>25</v>
      </c>
      <c r="Q48" s="24">
        <v>1.19490265157905E-2</v>
      </c>
      <c r="R48">
        <v>2</v>
      </c>
      <c r="S48" s="45" t="s">
        <v>34</v>
      </c>
      <c r="T48" s="45" t="s">
        <v>34</v>
      </c>
      <c r="U48" s="33">
        <v>24.293828105525243</v>
      </c>
      <c r="V48" s="24">
        <f t="shared" si="0"/>
        <v>9.4703610945444383E-3</v>
      </c>
      <c r="W48" s="45" t="s">
        <v>34</v>
      </c>
      <c r="X48" s="45" t="s">
        <v>34</v>
      </c>
      <c r="Y48" s="57">
        <v>0.39069767441860398</v>
      </c>
      <c r="Z48" s="38">
        <v>0.25007490823154599</v>
      </c>
    </row>
    <row r="49" spans="2:26" x14ac:dyDescent="0.3">
      <c r="B49" s="5">
        <f t="shared" si="1"/>
        <v>18</v>
      </c>
      <c r="C49" s="5" t="s">
        <v>31</v>
      </c>
      <c r="D49">
        <v>0.4</v>
      </c>
      <c r="E49">
        <v>5.0000000000000001E-3</v>
      </c>
      <c r="F49" s="45" t="s">
        <v>34</v>
      </c>
      <c r="G49">
        <v>1</v>
      </c>
      <c r="H49" s="17">
        <v>0.66666666666666663</v>
      </c>
      <c r="I49" s="62">
        <v>1870.5710106116101</v>
      </c>
      <c r="J49">
        <v>7.54</v>
      </c>
      <c r="K49" s="17">
        <v>19.9393100333196</v>
      </c>
      <c r="L49" s="38">
        <v>19.9393100333196</v>
      </c>
      <c r="M49">
        <v>30</v>
      </c>
      <c r="N49" s="24">
        <v>1.0652261887304362E-2</v>
      </c>
      <c r="O49">
        <v>3</v>
      </c>
      <c r="P49">
        <v>25</v>
      </c>
      <c r="Q49" s="24">
        <v>1.19490265157905E-2</v>
      </c>
      <c r="R49">
        <v>2</v>
      </c>
      <c r="S49" s="45" t="s">
        <v>34</v>
      </c>
      <c r="T49" s="45" t="s">
        <v>34</v>
      </c>
      <c r="U49" s="33">
        <v>25.897183563673366</v>
      </c>
      <c r="V49" s="24">
        <f t="shared" si="0"/>
        <v>1.0652261887304362E-2</v>
      </c>
      <c r="W49" s="45" t="s">
        <v>34</v>
      </c>
      <c r="X49" s="45" t="s">
        <v>34</v>
      </c>
      <c r="Y49" s="57">
        <v>0.41266149870801</v>
      </c>
      <c r="Z49" s="38">
        <v>0.27349548431396598</v>
      </c>
    </row>
    <row r="50" spans="2:26" x14ac:dyDescent="0.3">
      <c r="B50" s="5">
        <f t="shared" si="1"/>
        <v>19</v>
      </c>
      <c r="C50" s="5" t="s">
        <v>31</v>
      </c>
      <c r="D50">
        <v>0.4</v>
      </c>
      <c r="E50">
        <v>5.0000000000000001E-3</v>
      </c>
      <c r="F50" s="45" t="s">
        <v>34</v>
      </c>
      <c r="G50">
        <v>1</v>
      </c>
      <c r="H50" s="17">
        <v>0.66666666666666663</v>
      </c>
      <c r="I50" s="62">
        <v>1848.1448251090401</v>
      </c>
      <c r="J50">
        <v>7.54</v>
      </c>
      <c r="K50" s="17">
        <v>20.036886768900501</v>
      </c>
      <c r="L50" s="38">
        <v>20.036886768900501</v>
      </c>
      <c r="M50">
        <v>32</v>
      </c>
      <c r="N50" s="24">
        <v>1.1963522282796357E-2</v>
      </c>
      <c r="O50">
        <v>3</v>
      </c>
      <c r="P50">
        <v>25</v>
      </c>
      <c r="Q50" s="24">
        <v>1.19490265157905E-2</v>
      </c>
      <c r="R50">
        <v>2</v>
      </c>
      <c r="S50" s="45" t="s">
        <v>34</v>
      </c>
      <c r="T50" s="45" t="s">
        <v>34</v>
      </c>
      <c r="U50" s="33">
        <v>27.53000698706559</v>
      </c>
      <c r="V50" s="24">
        <f t="shared" si="0"/>
        <v>1.1963522282796357E-2</v>
      </c>
      <c r="W50" s="45" t="s">
        <v>34</v>
      </c>
      <c r="X50" s="45" t="s">
        <v>34</v>
      </c>
      <c r="Y50" s="57">
        <v>0.42997416020671803</v>
      </c>
      <c r="Z50" s="38">
        <v>0.29545510783353901</v>
      </c>
    </row>
    <row r="51" spans="2:26" x14ac:dyDescent="0.3">
      <c r="B51" s="5">
        <f t="shared" si="1"/>
        <v>20</v>
      </c>
      <c r="C51" s="5" t="s">
        <v>31</v>
      </c>
      <c r="D51">
        <v>0.4</v>
      </c>
      <c r="E51">
        <v>5.0000000000000001E-3</v>
      </c>
      <c r="F51" s="45" t="s">
        <v>34</v>
      </c>
      <c r="G51">
        <v>1</v>
      </c>
      <c r="H51" s="17">
        <v>0.66666666666666663</v>
      </c>
      <c r="I51" s="62">
        <v>1825.9609247466501</v>
      </c>
      <c r="J51">
        <v>7.54</v>
      </c>
      <c r="K51" s="17">
        <v>20.133122902334399</v>
      </c>
      <c r="L51" s="38">
        <v>20.133122902334399</v>
      </c>
      <c r="M51">
        <v>34</v>
      </c>
      <c r="N51" s="24">
        <v>1.3416573173780677E-2</v>
      </c>
      <c r="O51">
        <v>3</v>
      </c>
      <c r="P51">
        <v>25</v>
      </c>
      <c r="Q51" s="24">
        <v>1.19490265157905E-2</v>
      </c>
      <c r="R51">
        <v>2</v>
      </c>
      <c r="S51" s="45" t="s">
        <v>34</v>
      </c>
      <c r="T51" s="45" t="s">
        <v>34</v>
      </c>
      <c r="U51" s="33">
        <v>29.145864247721825</v>
      </c>
      <c r="V51" s="24">
        <f t="shared" si="0"/>
        <v>1.3416573173780677E-2</v>
      </c>
      <c r="W51" s="45" t="s">
        <v>34</v>
      </c>
      <c r="X51" s="45" t="s">
        <v>34</v>
      </c>
      <c r="Y51" s="57">
        <v>0.44754521963824201</v>
      </c>
      <c r="Z51" s="38">
        <v>0.315778596578982</v>
      </c>
    </row>
    <row r="52" spans="2:26" x14ac:dyDescent="0.3">
      <c r="B52" s="5">
        <f t="shared" si="1"/>
        <v>21</v>
      </c>
      <c r="C52" s="5" t="s">
        <v>31</v>
      </c>
      <c r="D52">
        <v>0.4</v>
      </c>
      <c r="E52">
        <v>5.0000000000000001E-3</v>
      </c>
      <c r="F52" s="45" t="s">
        <v>34</v>
      </c>
      <c r="G52">
        <v>1</v>
      </c>
      <c r="H52" s="17">
        <v>0.66666666666666663</v>
      </c>
      <c r="I52" s="62">
        <v>1803.58376196586</v>
      </c>
      <c r="J52">
        <v>7.54</v>
      </c>
      <c r="K52" s="17">
        <v>20.230074760592998</v>
      </c>
      <c r="L52" s="38">
        <v>20.230074760592998</v>
      </c>
      <c r="M52">
        <v>36</v>
      </c>
      <c r="N52" s="24">
        <v>1.5024949397915145E-2</v>
      </c>
      <c r="O52">
        <v>3</v>
      </c>
      <c r="P52">
        <v>25</v>
      </c>
      <c r="Q52" s="24">
        <v>1.19490265157905E-2</v>
      </c>
      <c r="R52">
        <v>2</v>
      </c>
      <c r="S52" s="45" t="s">
        <v>34</v>
      </c>
      <c r="T52" s="45" t="s">
        <v>34</v>
      </c>
      <c r="U52" s="33">
        <v>30.823679556226928</v>
      </c>
      <c r="V52" s="24">
        <f t="shared" si="0"/>
        <v>1.5024949397915145E-2</v>
      </c>
      <c r="W52" s="45" t="s">
        <v>34</v>
      </c>
      <c r="X52" s="45" t="s">
        <v>34</v>
      </c>
      <c r="Y52" s="57">
        <v>0.45839793281653701</v>
      </c>
      <c r="Z52" s="38">
        <v>0.33024154948762302</v>
      </c>
    </row>
    <row r="53" spans="2:26" x14ac:dyDescent="0.3">
      <c r="B53" s="5">
        <f t="shared" si="1"/>
        <v>22</v>
      </c>
      <c r="C53" s="5" t="s">
        <v>32</v>
      </c>
      <c r="D53">
        <v>0.4</v>
      </c>
      <c r="E53">
        <v>5.0000000000000001E-3</v>
      </c>
      <c r="F53" s="45" t="s">
        <v>34</v>
      </c>
      <c r="G53">
        <v>1</v>
      </c>
      <c r="H53" s="17">
        <v>0.66666666666666663</v>
      </c>
      <c r="I53" s="62">
        <v>1933.41279782986</v>
      </c>
      <c r="J53">
        <v>7.54</v>
      </c>
      <c r="K53" s="17">
        <v>19.6686347420051</v>
      </c>
      <c r="L53" s="38">
        <v>19.6686347420051</v>
      </c>
      <c r="M53">
        <v>24</v>
      </c>
      <c r="N53" s="24">
        <v>7.4498715270381833E-3</v>
      </c>
      <c r="O53">
        <v>3</v>
      </c>
      <c r="P53">
        <v>25</v>
      </c>
      <c r="Q53" s="24">
        <v>1.19490265157905E-2</v>
      </c>
      <c r="R53">
        <v>2</v>
      </c>
      <c r="S53" s="45" t="s">
        <v>34</v>
      </c>
      <c r="T53" s="45" t="s">
        <v>34</v>
      </c>
      <c r="U53" s="33">
        <v>21.954018271468634</v>
      </c>
      <c r="V53" s="24">
        <f t="shared" si="0"/>
        <v>7.4498715270381833E-3</v>
      </c>
      <c r="W53" s="45" t="s">
        <v>34</v>
      </c>
      <c r="X53" s="45" t="s">
        <v>34</v>
      </c>
      <c r="Y53" s="57">
        <v>0.23875968992248001</v>
      </c>
      <c r="Z53" s="38">
        <v>0.13780544054381799</v>
      </c>
    </row>
    <row r="54" spans="2:26" x14ac:dyDescent="0.3">
      <c r="B54" s="5">
        <f t="shared" si="1"/>
        <v>23</v>
      </c>
      <c r="C54" s="5" t="s">
        <v>32</v>
      </c>
      <c r="D54">
        <v>0.4</v>
      </c>
      <c r="E54">
        <v>5.0000000000000001E-3</v>
      </c>
      <c r="F54" s="45" t="s">
        <v>34</v>
      </c>
      <c r="G54">
        <v>1</v>
      </c>
      <c r="H54" s="17">
        <v>0.66666666666666663</v>
      </c>
      <c r="I54" s="62">
        <v>1913.2985611648</v>
      </c>
      <c r="J54">
        <v>7.54</v>
      </c>
      <c r="K54" s="17">
        <v>19.754758351418101</v>
      </c>
      <c r="L54" s="38">
        <v>19.754758351418101</v>
      </c>
      <c r="M54">
        <v>26</v>
      </c>
      <c r="N54" s="24">
        <v>8.4063973827250456E-3</v>
      </c>
      <c r="O54">
        <v>3</v>
      </c>
      <c r="P54">
        <v>25</v>
      </c>
      <c r="Q54" s="24">
        <v>1.19490265157905E-2</v>
      </c>
      <c r="R54">
        <v>2</v>
      </c>
      <c r="S54" s="45" t="s">
        <v>34</v>
      </c>
      <c r="T54" s="45" t="s">
        <v>34</v>
      </c>
      <c r="U54" s="33">
        <v>23.097981211349421</v>
      </c>
      <c r="V54" s="24">
        <f t="shared" si="0"/>
        <v>8.4063973827250456E-3</v>
      </c>
      <c r="W54" s="45" t="s">
        <v>34</v>
      </c>
      <c r="X54" s="45" t="s">
        <v>34</v>
      </c>
      <c r="Y54" s="57">
        <v>0.32144702842377199</v>
      </c>
      <c r="Z54" s="38">
        <v>0.19810006392857801</v>
      </c>
    </row>
    <row r="55" spans="2:26" x14ac:dyDescent="0.3">
      <c r="B55" s="5">
        <f t="shared" si="1"/>
        <v>24</v>
      </c>
      <c r="C55" s="5" t="s">
        <v>32</v>
      </c>
      <c r="D55">
        <v>0.4</v>
      </c>
      <c r="E55">
        <v>5.0000000000000001E-3</v>
      </c>
      <c r="F55" s="45" t="s">
        <v>34</v>
      </c>
      <c r="G55">
        <v>1</v>
      </c>
      <c r="H55" s="17">
        <v>0.66666666666666663</v>
      </c>
      <c r="I55" s="62">
        <v>1891.71358071654</v>
      </c>
      <c r="J55">
        <v>7.54</v>
      </c>
      <c r="K55" s="17">
        <v>19.848107322954998</v>
      </c>
      <c r="L55" s="38">
        <v>19.848107322954998</v>
      </c>
      <c r="M55">
        <v>28</v>
      </c>
      <c r="N55" s="24">
        <v>9.4703610945444383E-3</v>
      </c>
      <c r="O55">
        <v>3</v>
      </c>
      <c r="P55">
        <v>25</v>
      </c>
      <c r="Q55" s="24">
        <v>1.19490265157905E-2</v>
      </c>
      <c r="R55">
        <v>2</v>
      </c>
      <c r="S55" s="45" t="s">
        <v>34</v>
      </c>
      <c r="T55" s="45" t="s">
        <v>34</v>
      </c>
      <c r="U55" s="33">
        <v>24.524238262985971</v>
      </c>
      <c r="V55" s="24">
        <f t="shared" si="0"/>
        <v>9.4703610945444383E-3</v>
      </c>
      <c r="W55" s="45" t="s">
        <v>34</v>
      </c>
      <c r="X55" s="45" t="s">
        <v>34</v>
      </c>
      <c r="Y55" s="57">
        <v>0.36640826873385002</v>
      </c>
      <c r="Z55" s="38">
        <v>0.23655734562443501</v>
      </c>
    </row>
    <row r="56" spans="2:26" x14ac:dyDescent="0.3">
      <c r="B56" s="5">
        <f t="shared" si="1"/>
        <v>25</v>
      </c>
      <c r="C56" s="5" t="s">
        <v>32</v>
      </c>
      <c r="D56">
        <v>0.4</v>
      </c>
      <c r="E56">
        <v>5.0000000000000001E-3</v>
      </c>
      <c r="F56" s="45" t="s">
        <v>34</v>
      </c>
      <c r="G56">
        <v>1</v>
      </c>
      <c r="H56" s="17">
        <v>0.66666666666666663</v>
      </c>
      <c r="I56" s="62">
        <v>1869.63863085308</v>
      </c>
      <c r="J56">
        <v>7.54</v>
      </c>
      <c r="K56" s="17">
        <v>19.943970122465998</v>
      </c>
      <c r="L56" s="38">
        <v>19.943970122465998</v>
      </c>
      <c r="M56">
        <v>30</v>
      </c>
      <c r="N56" s="24">
        <v>1.0652261887304362E-2</v>
      </c>
      <c r="O56">
        <v>3</v>
      </c>
      <c r="P56">
        <v>25</v>
      </c>
      <c r="Q56" s="24">
        <v>1.19490265157905E-2</v>
      </c>
      <c r="R56">
        <v>2</v>
      </c>
      <c r="S56" s="45" t="s">
        <v>34</v>
      </c>
      <c r="T56" s="45" t="s">
        <v>34</v>
      </c>
      <c r="U56" s="33">
        <v>26.066742664986808</v>
      </c>
      <c r="V56" s="24">
        <f t="shared" si="0"/>
        <v>1.0652261887304362E-2</v>
      </c>
      <c r="W56" s="45" t="s">
        <v>34</v>
      </c>
      <c r="X56" s="45" t="s">
        <v>34</v>
      </c>
      <c r="Y56" s="57">
        <v>0.39560723514211799</v>
      </c>
      <c r="Z56" s="38">
        <v>0.260154241176699</v>
      </c>
    </row>
    <row r="57" spans="2:26" x14ac:dyDescent="0.3">
      <c r="B57" s="5">
        <f t="shared" si="1"/>
        <v>26</v>
      </c>
      <c r="C57" s="5" t="s">
        <v>32</v>
      </c>
      <c r="D57">
        <v>0.4</v>
      </c>
      <c r="E57">
        <v>5.0000000000000001E-3</v>
      </c>
      <c r="F57" s="45" t="s">
        <v>34</v>
      </c>
      <c r="G57">
        <v>1</v>
      </c>
      <c r="H57" s="17">
        <v>0.66666666666666663</v>
      </c>
      <c r="I57" s="62">
        <v>1847.3189723103701</v>
      </c>
      <c r="J57">
        <v>7.54</v>
      </c>
      <c r="K57" s="17">
        <v>20.041077503261398</v>
      </c>
      <c r="L57" s="38">
        <v>20.041077503261398</v>
      </c>
      <c r="M57">
        <v>32</v>
      </c>
      <c r="N57" s="24">
        <v>1.1963522282796357E-2</v>
      </c>
      <c r="O57">
        <v>3</v>
      </c>
      <c r="P57">
        <v>25</v>
      </c>
      <c r="Q57" s="24">
        <v>1.19490265157905E-2</v>
      </c>
      <c r="R57">
        <v>2</v>
      </c>
      <c r="S57" s="45" t="s">
        <v>34</v>
      </c>
      <c r="T57" s="45" t="s">
        <v>34</v>
      </c>
      <c r="U57" s="33">
        <v>27.683125738109624</v>
      </c>
      <c r="V57" s="24">
        <f t="shared" si="0"/>
        <v>1.1963522282796357E-2</v>
      </c>
      <c r="W57" s="45" t="s">
        <v>34</v>
      </c>
      <c r="X57" s="45" t="s">
        <v>34</v>
      </c>
      <c r="Y57" s="57">
        <v>0.41524547803617501</v>
      </c>
      <c r="Z57" s="38">
        <v>0.28232376970760398</v>
      </c>
    </row>
    <row r="58" spans="2:26" x14ac:dyDescent="0.3">
      <c r="B58" s="5">
        <f t="shared" si="1"/>
        <v>27</v>
      </c>
      <c r="C58" s="5" t="s">
        <v>32</v>
      </c>
      <c r="D58">
        <v>0.4</v>
      </c>
      <c r="E58">
        <v>5.0000000000000001E-3</v>
      </c>
      <c r="F58" s="45" t="s">
        <v>34</v>
      </c>
      <c r="G58">
        <v>1</v>
      </c>
      <c r="H58" s="17">
        <v>0.66666666666666663</v>
      </c>
      <c r="I58" s="62">
        <v>1825.1158749905101</v>
      </c>
      <c r="J58">
        <v>7.54</v>
      </c>
      <c r="K58" s="17">
        <v>20.137475881085798</v>
      </c>
      <c r="L58" s="38">
        <v>20.137475881085798</v>
      </c>
      <c r="M58">
        <v>34</v>
      </c>
      <c r="N58" s="24">
        <v>1.3416573173780677E-2</v>
      </c>
      <c r="O58">
        <v>3</v>
      </c>
      <c r="P58">
        <v>25</v>
      </c>
      <c r="Q58" s="24">
        <v>1.19490265157905E-2</v>
      </c>
      <c r="R58">
        <v>2</v>
      </c>
      <c r="S58" s="45" t="s">
        <v>34</v>
      </c>
      <c r="T58" s="45" t="s">
        <v>34</v>
      </c>
      <c r="U58" s="33">
        <v>29.305613519015036</v>
      </c>
      <c r="V58" s="24">
        <f t="shared" si="0"/>
        <v>1.3416573173780677E-2</v>
      </c>
      <c r="W58" s="45" t="s">
        <v>34</v>
      </c>
      <c r="X58" s="45" t="s">
        <v>34</v>
      </c>
      <c r="Y58" s="57">
        <v>0.43281653746769999</v>
      </c>
      <c r="Z58" s="38">
        <v>0.30288967426963598</v>
      </c>
    </row>
    <row r="59" spans="2:26" x14ac:dyDescent="0.3">
      <c r="B59" s="5">
        <f t="shared" si="1"/>
        <v>28</v>
      </c>
      <c r="C59" s="5" t="s">
        <v>32</v>
      </c>
      <c r="D59">
        <v>0.4</v>
      </c>
      <c r="E59">
        <v>5.0000000000000001E-3</v>
      </c>
      <c r="F59" s="45" t="s">
        <v>34</v>
      </c>
      <c r="G59">
        <v>1</v>
      </c>
      <c r="H59" s="17">
        <v>0.66666666666666663</v>
      </c>
      <c r="I59" s="62">
        <v>1802.75148040412</v>
      </c>
      <c r="J59">
        <v>7.54</v>
      </c>
      <c r="K59" s="17">
        <v>20.234427220973799</v>
      </c>
      <c r="L59" s="38">
        <v>20.234427220973799</v>
      </c>
      <c r="M59">
        <v>36</v>
      </c>
      <c r="N59" s="24">
        <v>1.5024949397915145E-2</v>
      </c>
      <c r="O59">
        <v>3</v>
      </c>
      <c r="P59">
        <v>25</v>
      </c>
      <c r="Q59" s="24">
        <v>1.19490265157905E-2</v>
      </c>
      <c r="R59">
        <v>2</v>
      </c>
      <c r="S59" s="45" t="s">
        <v>34</v>
      </c>
      <c r="T59" s="45" t="s">
        <v>34</v>
      </c>
      <c r="U59" s="33">
        <v>30.984162997268374</v>
      </c>
      <c r="V59" s="24">
        <f t="shared" si="0"/>
        <v>1.5024949397915145E-2</v>
      </c>
      <c r="W59" s="45" t="s">
        <v>34</v>
      </c>
      <c r="X59" s="45" t="s">
        <v>34</v>
      </c>
      <c r="Y59" s="57">
        <v>0.44418604651162702</v>
      </c>
      <c r="Z59" s="38">
        <v>0.31753995143040697</v>
      </c>
    </row>
    <row r="60" spans="2:26" x14ac:dyDescent="0.3">
      <c r="B60" s="5">
        <f t="shared" si="1"/>
        <v>29</v>
      </c>
      <c r="C60" s="5" t="s">
        <v>31</v>
      </c>
      <c r="D60">
        <v>0.4</v>
      </c>
      <c r="E60">
        <v>4.0000000000000001E-3</v>
      </c>
      <c r="F60" s="45" t="s">
        <v>34</v>
      </c>
      <c r="G60">
        <v>1</v>
      </c>
      <c r="H60" s="17">
        <v>1.3333333333333333</v>
      </c>
      <c r="I60" s="62">
        <v>753.66196646728497</v>
      </c>
      <c r="J60">
        <v>7.54</v>
      </c>
      <c r="K60" s="17">
        <v>24.839737734136001</v>
      </c>
      <c r="L60" s="38">
        <v>24.839737734136001</v>
      </c>
      <c r="M60">
        <v>30</v>
      </c>
      <c r="N60" s="24">
        <v>1.0652261887304362E-2</v>
      </c>
      <c r="O60">
        <v>1.5</v>
      </c>
      <c r="P60">
        <v>25</v>
      </c>
      <c r="Q60" s="24">
        <v>1.19490265157905E-2</v>
      </c>
      <c r="R60">
        <v>2</v>
      </c>
      <c r="S60" s="45" t="s">
        <v>34</v>
      </c>
      <c r="T60" s="45" t="s">
        <v>34</v>
      </c>
      <c r="U60" s="33">
        <v>23.442270795082678</v>
      </c>
      <c r="V60" s="24">
        <f t="shared" si="0"/>
        <v>1.0652261887304362E-2</v>
      </c>
      <c r="W60" s="45" t="s">
        <v>34</v>
      </c>
      <c r="X60" s="45" t="s">
        <v>34</v>
      </c>
      <c r="Y60" s="57">
        <v>0.65957675753228096</v>
      </c>
      <c r="Z60" s="38">
        <v>0.44026102352979901</v>
      </c>
    </row>
    <row r="61" spans="2:26" x14ac:dyDescent="0.3">
      <c r="B61" s="5">
        <f t="shared" si="1"/>
        <v>30</v>
      </c>
      <c r="C61" s="5" t="s">
        <v>31</v>
      </c>
      <c r="D61">
        <v>0.4</v>
      </c>
      <c r="E61">
        <v>4.0000000000000001E-3</v>
      </c>
      <c r="F61" s="45" t="s">
        <v>34</v>
      </c>
      <c r="G61">
        <v>1</v>
      </c>
      <c r="H61">
        <v>1</v>
      </c>
      <c r="I61" s="62">
        <v>1002.79649576622</v>
      </c>
      <c r="J61">
        <v>7.54</v>
      </c>
      <c r="K61" s="17">
        <v>24.863951538362301</v>
      </c>
      <c r="L61" s="38">
        <v>24.863951538362301</v>
      </c>
      <c r="M61">
        <v>30</v>
      </c>
      <c r="N61" s="24">
        <v>1.0652261887304362E-2</v>
      </c>
      <c r="O61">
        <v>2</v>
      </c>
      <c r="P61">
        <v>25</v>
      </c>
      <c r="Q61" s="24">
        <v>1.19490265157905E-2</v>
      </c>
      <c r="R61">
        <v>2</v>
      </c>
      <c r="S61" s="45" t="s">
        <v>34</v>
      </c>
      <c r="T61" s="45" t="s">
        <v>34</v>
      </c>
      <c r="U61" s="33">
        <v>24.146221931659259</v>
      </c>
      <c r="V61" s="24">
        <f t="shared" si="0"/>
        <v>1.0652261887304362E-2</v>
      </c>
      <c r="W61" s="45" t="s">
        <v>34</v>
      </c>
      <c r="X61" s="45" t="s">
        <v>34</v>
      </c>
      <c r="Y61" s="57">
        <v>0.58877331420373002</v>
      </c>
      <c r="Z61" s="38">
        <v>0.393566672549365</v>
      </c>
    </row>
    <row r="62" spans="2:26" x14ac:dyDescent="0.3">
      <c r="B62" s="5">
        <f t="shared" si="1"/>
        <v>31</v>
      </c>
      <c r="C62" s="5" t="s">
        <v>31</v>
      </c>
      <c r="D62">
        <v>0.4</v>
      </c>
      <c r="E62">
        <v>4.0000000000000001E-3</v>
      </c>
      <c r="F62" s="45" t="s">
        <v>34</v>
      </c>
      <c r="G62">
        <v>1</v>
      </c>
      <c r="H62">
        <v>0.8</v>
      </c>
      <c r="I62" s="62">
        <v>1251.4673504448299</v>
      </c>
      <c r="J62">
        <v>7.54</v>
      </c>
      <c r="K62" s="17">
        <v>24.882835040358401</v>
      </c>
      <c r="L62" s="38">
        <v>24.882835040358401</v>
      </c>
      <c r="M62">
        <v>30</v>
      </c>
      <c r="N62" s="24">
        <v>1.0652261887304362E-2</v>
      </c>
      <c r="O62">
        <v>2.5</v>
      </c>
      <c r="P62">
        <v>25</v>
      </c>
      <c r="Q62" s="24">
        <v>1.19490265157905E-2</v>
      </c>
      <c r="R62">
        <v>2</v>
      </c>
      <c r="S62" s="45" t="s">
        <v>34</v>
      </c>
      <c r="T62" s="45" t="s">
        <v>34</v>
      </c>
      <c r="U62" s="33">
        <v>24.695403669414045</v>
      </c>
      <c r="V62" s="24">
        <f t="shared" si="0"/>
        <v>1.0652261887304362E-2</v>
      </c>
      <c r="W62" s="45" t="s">
        <v>34</v>
      </c>
      <c r="X62" s="45" t="s">
        <v>34</v>
      </c>
      <c r="Y62" s="57">
        <v>0.53353658536585302</v>
      </c>
      <c r="Z62" s="38">
        <v>0.35354294313756501</v>
      </c>
    </row>
    <row r="63" spans="2:26" x14ac:dyDescent="0.3">
      <c r="B63" s="5">
        <f t="shared" si="1"/>
        <v>32</v>
      </c>
      <c r="C63" s="5" t="s">
        <v>31</v>
      </c>
      <c r="D63">
        <v>0.4</v>
      </c>
      <c r="E63">
        <v>4.0000000000000001E-3</v>
      </c>
      <c r="F63" s="45" t="s">
        <v>34</v>
      </c>
      <c r="G63">
        <v>1</v>
      </c>
      <c r="H63" s="17">
        <v>0.66666666666666663</v>
      </c>
      <c r="I63" s="62">
        <v>1499.8182645919001</v>
      </c>
      <c r="J63">
        <v>7.54</v>
      </c>
      <c r="K63" s="17">
        <v>24.897937618201802</v>
      </c>
      <c r="L63" s="38">
        <v>24.897937618201802</v>
      </c>
      <c r="M63">
        <v>30</v>
      </c>
      <c r="N63" s="24">
        <v>1.0652261887304362E-2</v>
      </c>
      <c r="O63">
        <v>3</v>
      </c>
      <c r="P63">
        <v>25</v>
      </c>
      <c r="Q63" s="24">
        <v>1.19490265157905E-2</v>
      </c>
      <c r="R63">
        <v>2</v>
      </c>
      <c r="S63" s="45" t="s">
        <v>34</v>
      </c>
      <c r="T63" s="45" t="s">
        <v>34</v>
      </c>
      <c r="U63" s="33">
        <v>25.134749059617867</v>
      </c>
      <c r="V63" s="24">
        <f t="shared" si="0"/>
        <v>1.0652261887304362E-2</v>
      </c>
      <c r="W63" s="45" t="s">
        <v>34</v>
      </c>
      <c r="X63" s="45" t="s">
        <v>34</v>
      </c>
      <c r="Y63" s="57">
        <v>0.48934720229555201</v>
      </c>
      <c r="Z63" s="38">
        <v>0.326860456863032</v>
      </c>
    </row>
    <row r="64" spans="2:26" x14ac:dyDescent="0.3">
      <c r="B64" s="5">
        <f t="shared" si="1"/>
        <v>33</v>
      </c>
      <c r="C64" s="5" t="s">
        <v>31</v>
      </c>
      <c r="D64">
        <v>0.4</v>
      </c>
      <c r="E64">
        <v>4.0000000000000001E-3</v>
      </c>
      <c r="F64" s="45" t="s">
        <v>34</v>
      </c>
      <c r="G64">
        <v>1</v>
      </c>
      <c r="H64" s="17">
        <v>0.5714285714285714</v>
      </c>
      <c r="I64" s="62">
        <v>1747.92440053473</v>
      </c>
      <c r="J64">
        <v>7.54</v>
      </c>
      <c r="K64" s="17">
        <v>24.910377264488801</v>
      </c>
      <c r="L64" s="38">
        <v>24.910377264488801</v>
      </c>
      <c r="M64">
        <v>30</v>
      </c>
      <c r="N64" s="24">
        <v>1.0652261887304362E-2</v>
      </c>
      <c r="O64">
        <v>3.5</v>
      </c>
      <c r="P64">
        <v>25</v>
      </c>
      <c r="Q64" s="24">
        <v>1.19490265157905E-2</v>
      </c>
      <c r="R64">
        <v>2</v>
      </c>
      <c r="S64" s="45" t="s">
        <v>34</v>
      </c>
      <c r="T64" s="45" t="s">
        <v>34</v>
      </c>
      <c r="U64" s="33">
        <v>25.49670975041079</v>
      </c>
      <c r="V64" s="24">
        <f t="shared" si="0"/>
        <v>1.0652261887304362E-2</v>
      </c>
      <c r="W64" s="45" t="s">
        <v>34</v>
      </c>
      <c r="X64" s="45" t="s">
        <v>34</v>
      </c>
      <c r="Y64" s="57">
        <v>0.45294117647058801</v>
      </c>
      <c r="Z64" s="38">
        <v>0.30017797058849899</v>
      </c>
    </row>
    <row r="65" spans="2:26" x14ac:dyDescent="0.3">
      <c r="B65" s="5">
        <f t="shared" si="1"/>
        <v>34</v>
      </c>
      <c r="C65" s="5" t="s">
        <v>32</v>
      </c>
      <c r="D65">
        <v>0.4</v>
      </c>
      <c r="E65">
        <v>4.0000000000000001E-3</v>
      </c>
      <c r="F65" s="45" t="s">
        <v>34</v>
      </c>
      <c r="G65">
        <v>1</v>
      </c>
      <c r="H65" s="17">
        <v>1.3333333333333333</v>
      </c>
      <c r="I65" s="62">
        <v>753.17315956910102</v>
      </c>
      <c r="J65">
        <v>7.54</v>
      </c>
      <c r="K65" s="17">
        <v>24.847294851222198</v>
      </c>
      <c r="L65" s="38">
        <v>24.847294851222198</v>
      </c>
      <c r="M65">
        <v>30</v>
      </c>
      <c r="N65" s="24">
        <v>1.0652261887304362E-2</v>
      </c>
      <c r="O65">
        <v>1.5</v>
      </c>
      <c r="P65">
        <v>25</v>
      </c>
      <c r="Q65" s="24">
        <v>1.19490265157905E-2</v>
      </c>
      <c r="R65">
        <v>2</v>
      </c>
      <c r="S65" s="45" t="s">
        <v>34</v>
      </c>
      <c r="T65" s="45" t="s">
        <v>34</v>
      </c>
      <c r="U65" s="33">
        <v>23.661943490184591</v>
      </c>
      <c r="V65" s="24">
        <f t="shared" si="0"/>
        <v>1.0652261887304362E-2</v>
      </c>
      <c r="W65" s="45" t="s">
        <v>34</v>
      </c>
      <c r="X65" s="45" t="s">
        <v>34</v>
      </c>
      <c r="Y65" s="57">
        <v>0.63748206599712998</v>
      </c>
      <c r="Z65" s="38">
        <v>0.42024915882389902</v>
      </c>
    </row>
    <row r="66" spans="2:26" x14ac:dyDescent="0.3">
      <c r="B66" s="5">
        <f t="shared" si="1"/>
        <v>35</v>
      </c>
      <c r="C66" s="5" t="s">
        <v>32</v>
      </c>
      <c r="D66">
        <v>0.4</v>
      </c>
      <c r="E66">
        <v>4.0000000000000001E-3</v>
      </c>
      <c r="F66" s="45" t="s">
        <v>34</v>
      </c>
      <c r="G66">
        <v>1</v>
      </c>
      <c r="H66">
        <v>1</v>
      </c>
      <c r="I66" s="62">
        <v>1002.28712705173</v>
      </c>
      <c r="J66">
        <v>7.54</v>
      </c>
      <c r="K66" s="17">
        <v>24.8698747229944</v>
      </c>
      <c r="L66" s="38">
        <v>24.8698747229944</v>
      </c>
      <c r="M66">
        <v>30</v>
      </c>
      <c r="N66" s="24">
        <v>1.0652261887304362E-2</v>
      </c>
      <c r="O66">
        <v>2</v>
      </c>
      <c r="P66">
        <v>25</v>
      </c>
      <c r="Q66" s="24">
        <v>1.19490265157905E-2</v>
      </c>
      <c r="R66">
        <v>2</v>
      </c>
      <c r="S66" s="45" t="s">
        <v>34</v>
      </c>
      <c r="T66" s="45" t="s">
        <v>34</v>
      </c>
      <c r="U66" s="33">
        <v>24.318465294864176</v>
      </c>
      <c r="V66" s="24">
        <f t="shared" si="0"/>
        <v>1.0652261887304362E-2</v>
      </c>
      <c r="W66" s="45" t="s">
        <v>34</v>
      </c>
      <c r="X66" s="45" t="s">
        <v>34</v>
      </c>
      <c r="Y66" s="57">
        <v>0.57144906743184998</v>
      </c>
      <c r="Z66" s="38">
        <v>0.38022542941209903</v>
      </c>
    </row>
    <row r="67" spans="2:26" x14ac:dyDescent="0.3">
      <c r="B67" s="5">
        <f t="shared" si="1"/>
        <v>36</v>
      </c>
      <c r="C67" s="5" t="s">
        <v>32</v>
      </c>
      <c r="D67">
        <v>0.4</v>
      </c>
      <c r="E67">
        <v>4.0000000000000001E-3</v>
      </c>
      <c r="F67" s="45" t="s">
        <v>34</v>
      </c>
      <c r="G67">
        <v>1</v>
      </c>
      <c r="H67">
        <v>0.8</v>
      </c>
      <c r="I67" s="62">
        <v>1250.7955064319699</v>
      </c>
      <c r="J67">
        <v>7.54</v>
      </c>
      <c r="K67" s="17">
        <v>24.889099633225701</v>
      </c>
      <c r="L67" s="38">
        <v>24.889099633225701</v>
      </c>
      <c r="M67">
        <v>30</v>
      </c>
      <c r="N67" s="24">
        <v>1.0652261887304362E-2</v>
      </c>
      <c r="O67">
        <v>2.5</v>
      </c>
      <c r="P67">
        <v>25</v>
      </c>
      <c r="Q67" s="24">
        <v>1.19490265157905E-2</v>
      </c>
      <c r="R67">
        <v>2</v>
      </c>
      <c r="S67" s="45" t="s">
        <v>34</v>
      </c>
      <c r="T67" s="45" t="s">
        <v>34</v>
      </c>
      <c r="U67" s="33">
        <v>24.877632155123585</v>
      </c>
      <c r="V67" s="24">
        <f t="shared" si="0"/>
        <v>1.0652261887304362E-2</v>
      </c>
      <c r="W67" s="45" t="s">
        <v>34</v>
      </c>
      <c r="X67" s="45" t="s">
        <v>34</v>
      </c>
      <c r="Y67" s="57">
        <v>0.515208034433285</v>
      </c>
      <c r="Z67" s="38">
        <v>0.34020170000029898</v>
      </c>
    </row>
    <row r="68" spans="2:26" x14ac:dyDescent="0.3">
      <c r="B68" s="5">
        <f t="shared" si="1"/>
        <v>37</v>
      </c>
      <c r="C68" s="5" t="s">
        <v>32</v>
      </c>
      <c r="D68">
        <v>0.4</v>
      </c>
      <c r="E68">
        <v>4.0000000000000001E-3</v>
      </c>
      <c r="F68" s="45" t="s">
        <v>34</v>
      </c>
      <c r="G68">
        <v>1</v>
      </c>
      <c r="H68" s="17">
        <v>0.66666666666666663</v>
      </c>
      <c r="I68" s="62">
        <v>1498.9917054487901</v>
      </c>
      <c r="J68">
        <v>7.54</v>
      </c>
      <c r="K68" s="17">
        <v>24.9043722357838</v>
      </c>
      <c r="L68" s="38">
        <v>24.9043722357838</v>
      </c>
      <c r="M68">
        <v>30</v>
      </c>
      <c r="N68" s="24">
        <v>1.0652261887304362E-2</v>
      </c>
      <c r="O68">
        <v>3</v>
      </c>
      <c r="P68">
        <v>25</v>
      </c>
      <c r="Q68" s="24">
        <v>1.19490265157905E-2</v>
      </c>
      <c r="R68">
        <v>2</v>
      </c>
      <c r="S68" s="45" t="s">
        <v>34</v>
      </c>
      <c r="T68" s="45" t="s">
        <v>34</v>
      </c>
      <c r="U68" s="33">
        <v>25.32197010657972</v>
      </c>
      <c r="V68" s="24">
        <f t="shared" si="0"/>
        <v>1.0652261887304362E-2</v>
      </c>
      <c r="W68" s="45" t="s">
        <v>34</v>
      </c>
      <c r="X68" s="45" t="s">
        <v>34</v>
      </c>
      <c r="Y68" s="57">
        <v>0.47051649928264</v>
      </c>
      <c r="Z68" s="38">
        <v>0.31351921372576602</v>
      </c>
    </row>
    <row r="69" spans="2:26" x14ac:dyDescent="0.3">
      <c r="B69" s="5">
        <f t="shared" si="1"/>
        <v>38</v>
      </c>
      <c r="C69" s="5" t="s">
        <v>32</v>
      </c>
      <c r="D69">
        <v>0.4</v>
      </c>
      <c r="E69">
        <v>4.0000000000000001E-3</v>
      </c>
      <c r="F69" s="45" t="s">
        <v>34</v>
      </c>
      <c r="G69">
        <v>1</v>
      </c>
      <c r="H69" s="17">
        <v>0.5714285714285714</v>
      </c>
      <c r="I69" s="62">
        <v>1746.9232532661199</v>
      </c>
      <c r="J69">
        <v>7.54</v>
      </c>
      <c r="K69" s="17">
        <v>24.917067883677301</v>
      </c>
      <c r="L69" s="38">
        <v>24.917067883677301</v>
      </c>
      <c r="M69">
        <v>30</v>
      </c>
      <c r="N69" s="24">
        <v>1.0652261887304362E-2</v>
      </c>
      <c r="O69">
        <v>3.5</v>
      </c>
      <c r="P69">
        <v>25</v>
      </c>
      <c r="Q69" s="24">
        <v>1.19490265157905E-2</v>
      </c>
      <c r="R69">
        <v>2</v>
      </c>
      <c r="S69" s="45" t="s">
        <v>34</v>
      </c>
      <c r="T69" s="45" t="s">
        <v>34</v>
      </c>
      <c r="U69" s="33">
        <v>25.691419639251123</v>
      </c>
      <c r="V69" s="24">
        <f t="shared" si="0"/>
        <v>1.0652261887304362E-2</v>
      </c>
      <c r="W69" s="45" t="s">
        <v>34</v>
      </c>
      <c r="X69" s="45" t="s">
        <v>34</v>
      </c>
      <c r="Y69" s="57">
        <v>0.43335724533715902</v>
      </c>
      <c r="Z69" s="38">
        <v>0.28683672745123201</v>
      </c>
    </row>
    <row r="70" spans="2:26" x14ac:dyDescent="0.3">
      <c r="B70" s="5">
        <f t="shared" si="1"/>
        <v>39</v>
      </c>
      <c r="C70" s="5" t="s">
        <v>31</v>
      </c>
      <c r="D70">
        <v>0.4</v>
      </c>
      <c r="E70">
        <v>5.0000000000000001E-3</v>
      </c>
      <c r="F70" s="45" t="s">
        <v>34</v>
      </c>
      <c r="G70">
        <v>1</v>
      </c>
      <c r="H70" s="17">
        <v>1.3333333333333333</v>
      </c>
      <c r="I70" s="62">
        <v>939.76179828552495</v>
      </c>
      <c r="J70">
        <v>7.54</v>
      </c>
      <c r="K70" s="17">
        <v>19.894732353010699</v>
      </c>
      <c r="L70" s="38">
        <v>19.894732353010699</v>
      </c>
      <c r="M70">
        <v>30</v>
      </c>
      <c r="N70" s="24">
        <v>1.0652261887304362E-2</v>
      </c>
      <c r="O70">
        <v>1.5</v>
      </c>
      <c r="P70">
        <v>25</v>
      </c>
      <c r="Q70" s="24">
        <v>1.19490265157905E-2</v>
      </c>
      <c r="R70">
        <v>2</v>
      </c>
      <c r="S70" s="45" t="s">
        <v>34</v>
      </c>
      <c r="T70" s="45" t="s">
        <v>34</v>
      </c>
      <c r="U70" s="33">
        <v>24.276028524219484</v>
      </c>
      <c r="V70" s="24">
        <f t="shared" si="0"/>
        <v>1.0652261887304362E-2</v>
      </c>
      <c r="W70" s="45" t="s">
        <v>34</v>
      </c>
      <c r="X70" s="45" t="s">
        <v>34</v>
      </c>
      <c r="Y70" s="57">
        <v>0.57571736011477703</v>
      </c>
      <c r="Z70" s="38">
        <v>0.38022542941209903</v>
      </c>
    </row>
    <row r="71" spans="2:26" x14ac:dyDescent="0.3">
      <c r="B71" s="5">
        <f t="shared" si="1"/>
        <v>40</v>
      </c>
      <c r="C71" s="5" t="s">
        <v>31</v>
      </c>
      <c r="D71">
        <v>0.4</v>
      </c>
      <c r="E71">
        <v>5.0000000000000001E-3</v>
      </c>
      <c r="F71" s="45" t="s">
        <v>34</v>
      </c>
      <c r="G71">
        <v>1</v>
      </c>
      <c r="H71">
        <v>1</v>
      </c>
      <c r="I71" s="62">
        <v>1250.43681510232</v>
      </c>
      <c r="J71">
        <v>7.54</v>
      </c>
      <c r="K71" s="17">
        <v>19.9139569647134</v>
      </c>
      <c r="L71" s="38">
        <v>19.9139569647134</v>
      </c>
      <c r="M71">
        <v>30</v>
      </c>
      <c r="N71" s="24">
        <v>1.0652261887304362E-2</v>
      </c>
      <c r="O71">
        <v>2</v>
      </c>
      <c r="P71">
        <v>25</v>
      </c>
      <c r="Q71" s="24">
        <v>1.19490265157905E-2</v>
      </c>
      <c r="R71">
        <v>2</v>
      </c>
      <c r="S71" s="45" t="s">
        <v>34</v>
      </c>
      <c r="T71" s="45" t="s">
        <v>34</v>
      </c>
      <c r="U71" s="33">
        <v>24.974987099543746</v>
      </c>
      <c r="V71" s="24">
        <f t="shared" si="0"/>
        <v>1.0652261887304362E-2</v>
      </c>
      <c r="W71" s="45" t="s">
        <v>34</v>
      </c>
      <c r="X71" s="45" t="s">
        <v>34</v>
      </c>
      <c r="Y71" s="57">
        <v>0.50541606886657098</v>
      </c>
      <c r="Z71" s="38">
        <v>0.33353107843166602</v>
      </c>
    </row>
    <row r="72" spans="2:26" x14ac:dyDescent="0.3">
      <c r="B72" s="5">
        <f t="shared" si="1"/>
        <v>41</v>
      </c>
      <c r="C72" s="5" t="s">
        <v>31</v>
      </c>
      <c r="D72">
        <v>0.4</v>
      </c>
      <c r="E72">
        <v>5.0000000000000001E-3</v>
      </c>
      <c r="F72" s="45" t="s">
        <v>34</v>
      </c>
      <c r="G72">
        <v>1</v>
      </c>
      <c r="H72">
        <v>0.8</v>
      </c>
      <c r="I72" s="62">
        <v>1560.66971712392</v>
      </c>
      <c r="J72">
        <v>7.54</v>
      </c>
      <c r="K72" s="17">
        <v>19.928164560376199</v>
      </c>
      <c r="L72" s="38">
        <v>19.928164560376199</v>
      </c>
      <c r="M72">
        <v>30</v>
      </c>
      <c r="N72" s="24">
        <v>1.0652261887304362E-2</v>
      </c>
      <c r="O72">
        <v>2.5</v>
      </c>
      <c r="P72">
        <v>25</v>
      </c>
      <c r="Q72" s="24">
        <v>1.19490265157905E-2</v>
      </c>
      <c r="R72">
        <v>2</v>
      </c>
      <c r="S72" s="45" t="s">
        <v>34</v>
      </c>
      <c r="T72" s="45" t="s">
        <v>34</v>
      </c>
      <c r="U72" s="33">
        <v>25.491717189158479</v>
      </c>
      <c r="V72" s="24">
        <f t="shared" si="0"/>
        <v>1.0652261887304362E-2</v>
      </c>
      <c r="W72" s="45" t="s">
        <v>34</v>
      </c>
      <c r="X72" s="45" t="s">
        <v>34</v>
      </c>
      <c r="Y72" s="57">
        <v>0.453443328550932</v>
      </c>
      <c r="Z72" s="38">
        <v>0.30017797058849899</v>
      </c>
    </row>
    <row r="73" spans="2:26" x14ac:dyDescent="0.3">
      <c r="B73" s="5">
        <f t="shared" si="1"/>
        <v>42</v>
      </c>
      <c r="C73" s="5" t="s">
        <v>31</v>
      </c>
      <c r="D73">
        <v>0.4</v>
      </c>
      <c r="E73">
        <v>5.0000000000000001E-3</v>
      </c>
      <c r="F73" s="45" t="s">
        <v>34</v>
      </c>
      <c r="G73">
        <v>1</v>
      </c>
      <c r="H73" s="17">
        <v>0.66666666666666663</v>
      </c>
      <c r="I73" s="62">
        <v>1870.5631585956</v>
      </c>
      <c r="J73">
        <v>7.54</v>
      </c>
      <c r="K73" s="17">
        <v>19.939349264335899</v>
      </c>
      <c r="L73" s="38">
        <v>19.939349264335899</v>
      </c>
      <c r="M73">
        <v>30</v>
      </c>
      <c r="N73" s="24">
        <v>1.0652261887304362E-2</v>
      </c>
      <c r="O73">
        <v>3</v>
      </c>
      <c r="P73">
        <v>25</v>
      </c>
      <c r="Q73" s="24">
        <v>1.19490265157905E-2</v>
      </c>
      <c r="R73">
        <v>2</v>
      </c>
      <c r="S73" s="45" t="s">
        <v>34</v>
      </c>
      <c r="T73" s="45" t="s">
        <v>34</v>
      </c>
      <c r="U73" s="33">
        <v>25.898610931222247</v>
      </c>
      <c r="V73" s="24">
        <f t="shared" si="0"/>
        <v>1.0652261887304362E-2</v>
      </c>
      <c r="W73" s="45" t="s">
        <v>34</v>
      </c>
      <c r="X73" s="45" t="s">
        <v>34</v>
      </c>
      <c r="Y73" s="57">
        <v>0.41251793400286901</v>
      </c>
      <c r="Z73" s="38">
        <v>0.27349548431396598</v>
      </c>
    </row>
    <row r="74" spans="2:26" x14ac:dyDescent="0.3">
      <c r="B74" s="5">
        <f t="shared" si="1"/>
        <v>43</v>
      </c>
      <c r="C74" s="5" t="s">
        <v>31</v>
      </c>
      <c r="D74">
        <v>0.4</v>
      </c>
      <c r="E74">
        <v>5.0000000000000001E-3</v>
      </c>
      <c r="F74" s="45" t="s">
        <v>34</v>
      </c>
      <c r="G74">
        <v>1</v>
      </c>
      <c r="H74" s="17">
        <v>0.5714285714285714</v>
      </c>
      <c r="I74" s="62">
        <v>2180.3225706896101</v>
      </c>
      <c r="J74">
        <v>7.54</v>
      </c>
      <c r="K74" s="17">
        <v>19.947924749813598</v>
      </c>
      <c r="L74" s="38">
        <v>19.947924749813598</v>
      </c>
      <c r="M74">
        <v>30</v>
      </c>
      <c r="N74" s="24">
        <v>1.0652261887304362E-2</v>
      </c>
      <c r="O74">
        <v>3.5</v>
      </c>
      <c r="P74">
        <v>25</v>
      </c>
      <c r="Q74" s="24">
        <v>1.19490265157905E-2</v>
      </c>
      <c r="R74">
        <v>2</v>
      </c>
      <c r="S74" s="45" t="s">
        <v>34</v>
      </c>
      <c r="T74" s="45" t="s">
        <v>34</v>
      </c>
      <c r="U74" s="33">
        <v>26.210646009492013</v>
      </c>
      <c r="V74" s="24">
        <f t="shared" si="0"/>
        <v>1.0652261887304362E-2</v>
      </c>
      <c r="W74" s="45" t="s">
        <v>34</v>
      </c>
      <c r="X74" s="45" t="s">
        <v>34</v>
      </c>
      <c r="Y74" s="57">
        <v>0.381133428981348</v>
      </c>
      <c r="Z74" s="38">
        <v>0.25348361960806598</v>
      </c>
    </row>
    <row r="75" spans="2:26" x14ac:dyDescent="0.3">
      <c r="B75" s="5">
        <f t="shared" si="1"/>
        <v>44</v>
      </c>
      <c r="C75" s="5" t="s">
        <v>32</v>
      </c>
      <c r="D75">
        <v>0.4</v>
      </c>
      <c r="E75">
        <v>5.0000000000000001E-3</v>
      </c>
      <c r="F75" s="45" t="s">
        <v>34</v>
      </c>
      <c r="G75">
        <v>1</v>
      </c>
      <c r="H75" s="17">
        <v>1.3333333333333333</v>
      </c>
      <c r="I75" s="62">
        <v>939.28456070579102</v>
      </c>
      <c r="J75">
        <v>7.54</v>
      </c>
      <c r="K75" s="17">
        <v>19.8994705525783</v>
      </c>
      <c r="L75" s="38">
        <v>19.8994705525783</v>
      </c>
      <c r="M75">
        <v>30</v>
      </c>
      <c r="N75" s="24">
        <v>1.0652261887304362E-2</v>
      </c>
      <c r="O75">
        <v>1.5</v>
      </c>
      <c r="P75">
        <v>25</v>
      </c>
      <c r="Q75" s="24">
        <v>1.19490265157905E-2</v>
      </c>
      <c r="R75">
        <v>2</v>
      </c>
      <c r="S75" s="45" t="s">
        <v>34</v>
      </c>
      <c r="T75" s="45" t="s">
        <v>34</v>
      </c>
      <c r="U75" s="33">
        <v>24.44827188742439</v>
      </c>
      <c r="V75" s="24">
        <f t="shared" si="0"/>
        <v>1.0652261887304362E-2</v>
      </c>
      <c r="W75" s="45" t="s">
        <v>34</v>
      </c>
      <c r="X75" s="45" t="s">
        <v>34</v>
      </c>
      <c r="Y75" s="57">
        <v>0.55839311334289798</v>
      </c>
      <c r="Z75" s="38">
        <v>0.37355480784346501</v>
      </c>
    </row>
    <row r="76" spans="2:26" x14ac:dyDescent="0.3">
      <c r="B76" s="5">
        <f t="shared" si="1"/>
        <v>45</v>
      </c>
      <c r="C76" s="5" t="s">
        <v>32</v>
      </c>
      <c r="D76">
        <v>0.4</v>
      </c>
      <c r="E76">
        <v>5.0000000000000001E-3</v>
      </c>
      <c r="F76" s="45" t="s">
        <v>34</v>
      </c>
      <c r="G76">
        <v>1</v>
      </c>
      <c r="H76">
        <v>1</v>
      </c>
      <c r="I76" s="62">
        <v>1249.78423990493</v>
      </c>
      <c r="J76">
        <v>7.54</v>
      </c>
      <c r="K76" s="17">
        <v>19.9188305690619</v>
      </c>
      <c r="L76" s="38">
        <v>19.9188305690619</v>
      </c>
      <c r="M76">
        <v>30</v>
      </c>
      <c r="N76" s="24">
        <v>1.0652261887304362E-2</v>
      </c>
      <c r="O76">
        <v>2</v>
      </c>
      <c r="P76">
        <v>25</v>
      </c>
      <c r="Q76" s="24">
        <v>1.19490265157905E-2</v>
      </c>
      <c r="R76">
        <v>2</v>
      </c>
      <c r="S76" s="45" t="s">
        <v>34</v>
      </c>
      <c r="T76" s="45" t="s">
        <v>34</v>
      </c>
      <c r="U76" s="33">
        <v>25.152223024000975</v>
      </c>
      <c r="V76" s="24">
        <f t="shared" si="0"/>
        <v>1.0652261887304362E-2</v>
      </c>
      <c r="W76" s="45" t="s">
        <v>34</v>
      </c>
      <c r="X76" s="45" t="s">
        <v>34</v>
      </c>
      <c r="Y76" s="57">
        <v>0.487589670014347</v>
      </c>
      <c r="Z76" s="38">
        <v>0.32018983529439898</v>
      </c>
    </row>
    <row r="77" spans="2:26" x14ac:dyDescent="0.3">
      <c r="B77" s="5">
        <f t="shared" si="1"/>
        <v>46</v>
      </c>
      <c r="C77" s="5" t="s">
        <v>32</v>
      </c>
      <c r="D77">
        <v>0.4</v>
      </c>
      <c r="E77">
        <v>5.0000000000000001E-3</v>
      </c>
      <c r="F77" s="45" t="s">
        <v>34</v>
      </c>
      <c r="G77">
        <v>1</v>
      </c>
      <c r="H77">
        <v>0.8</v>
      </c>
      <c r="I77" s="62">
        <v>1559.8560026078201</v>
      </c>
      <c r="J77">
        <v>7.54</v>
      </c>
      <c r="K77" s="17">
        <v>19.9330367413787</v>
      </c>
      <c r="L77" s="38">
        <v>19.9330367413787</v>
      </c>
      <c r="M77">
        <v>30</v>
      </c>
      <c r="N77" s="24">
        <v>1.0652261887304362E-2</v>
      </c>
      <c r="O77">
        <v>2.5</v>
      </c>
      <c r="P77">
        <v>25</v>
      </c>
      <c r="Q77" s="24">
        <v>1.19490265157905E-2</v>
      </c>
      <c r="R77">
        <v>2</v>
      </c>
      <c r="S77" s="45" t="s">
        <v>34</v>
      </c>
      <c r="T77" s="45" t="s">
        <v>34</v>
      </c>
      <c r="U77" s="33">
        <v>25.668953113615707</v>
      </c>
      <c r="V77" s="24">
        <f t="shared" si="0"/>
        <v>1.0652261887304362E-2</v>
      </c>
      <c r="W77" s="45" t="s">
        <v>34</v>
      </c>
      <c r="X77" s="45" t="s">
        <v>34</v>
      </c>
      <c r="Y77" s="57">
        <v>0.43561692969870802</v>
      </c>
      <c r="Z77" s="38">
        <v>0.28683672745123201</v>
      </c>
    </row>
    <row r="78" spans="2:26" x14ac:dyDescent="0.3">
      <c r="B78" s="5">
        <f t="shared" si="1"/>
        <v>47</v>
      </c>
      <c r="C78" s="5" t="s">
        <v>32</v>
      </c>
      <c r="D78">
        <v>0.4</v>
      </c>
      <c r="E78">
        <v>5.0000000000000001E-3</v>
      </c>
      <c r="F78" s="45" t="s">
        <v>34</v>
      </c>
      <c r="G78">
        <v>1</v>
      </c>
      <c r="H78" s="17">
        <v>0.66666666666666663</v>
      </c>
      <c r="I78" s="62">
        <v>1869.6571942944399</v>
      </c>
      <c r="J78">
        <v>7.54</v>
      </c>
      <c r="K78" s="17">
        <v>19.943877308972901</v>
      </c>
      <c r="L78" s="38">
        <v>19.943877308972901</v>
      </c>
      <c r="M78">
        <v>30</v>
      </c>
      <c r="N78" s="24">
        <v>1.0652261887304362E-2</v>
      </c>
      <c r="O78">
        <v>3</v>
      </c>
      <c r="P78">
        <v>25</v>
      </c>
      <c r="Q78" s="24">
        <v>1.19490265157905E-2</v>
      </c>
      <c r="R78">
        <v>2</v>
      </c>
      <c r="S78" s="45" t="s">
        <v>34</v>
      </c>
      <c r="T78" s="45" t="s">
        <v>34</v>
      </c>
      <c r="U78" s="33">
        <v>26.06336545254868</v>
      </c>
      <c r="V78" s="24">
        <f t="shared" si="0"/>
        <v>1.0652261887304362E-2</v>
      </c>
      <c r="W78" s="45" t="s">
        <v>34</v>
      </c>
      <c r="X78" s="45" t="s">
        <v>34</v>
      </c>
      <c r="Y78" s="57">
        <v>0.395946915351506</v>
      </c>
      <c r="Z78" s="38">
        <v>0.260154241176699</v>
      </c>
    </row>
    <row r="79" spans="2:26" x14ac:dyDescent="0.3">
      <c r="B79" s="5">
        <f t="shared" si="1"/>
        <v>48</v>
      </c>
      <c r="C79" s="5" t="s">
        <v>32</v>
      </c>
      <c r="D79">
        <v>0.4</v>
      </c>
      <c r="E79">
        <v>5.0000000000000001E-3</v>
      </c>
      <c r="F79" s="45" t="s">
        <v>34</v>
      </c>
      <c r="G79">
        <v>1</v>
      </c>
      <c r="H79" s="17">
        <v>0.5714285714285714</v>
      </c>
      <c r="I79" s="62">
        <v>2179.1712755359399</v>
      </c>
      <c r="J79">
        <v>7.54</v>
      </c>
      <c r="K79" s="17">
        <v>19.952863543680699</v>
      </c>
      <c r="L79" s="38">
        <v>19.952863543680699</v>
      </c>
      <c r="M79">
        <v>30</v>
      </c>
      <c r="N79" s="24">
        <v>1.0652261887304362E-2</v>
      </c>
      <c r="O79">
        <v>3.5</v>
      </c>
      <c r="P79">
        <v>25</v>
      </c>
      <c r="Q79" s="24">
        <v>1.19490265157905E-2</v>
      </c>
      <c r="R79">
        <v>2</v>
      </c>
      <c r="S79" s="45" t="s">
        <v>34</v>
      </c>
      <c r="T79" s="45" t="s">
        <v>34</v>
      </c>
      <c r="U79" s="33">
        <v>26.390378214575396</v>
      </c>
      <c r="V79" s="24">
        <f t="shared" si="0"/>
        <v>1.0652261887304362E-2</v>
      </c>
      <c r="W79" s="45" t="s">
        <v>34</v>
      </c>
      <c r="X79" s="45" t="s">
        <v>34</v>
      </c>
      <c r="Y79" s="57">
        <v>0.36305595408895203</v>
      </c>
      <c r="Z79" s="38">
        <v>0.240142376470799</v>
      </c>
    </row>
    <row r="80" spans="2:26" x14ac:dyDescent="0.3">
      <c r="B80" s="5">
        <f t="shared" si="1"/>
        <v>49</v>
      </c>
      <c r="C80" s="5" t="s">
        <v>31</v>
      </c>
      <c r="D80">
        <v>0.4</v>
      </c>
      <c r="E80">
        <v>4.0000000000000001E-3</v>
      </c>
      <c r="F80" s="45" t="s">
        <v>34</v>
      </c>
      <c r="G80">
        <v>1</v>
      </c>
      <c r="H80" s="17">
        <v>0.33333333333333331</v>
      </c>
      <c r="I80" s="62">
        <v>1496.9529008335201</v>
      </c>
      <c r="J80">
        <v>7.54</v>
      </c>
      <c r="K80" s="17">
        <v>24.9202656156803</v>
      </c>
      <c r="L80" s="38">
        <v>24.9202656156803</v>
      </c>
      <c r="M80">
        <v>30</v>
      </c>
      <c r="N80" s="24">
        <v>1.0652261887304362E-2</v>
      </c>
      <c r="O80">
        <v>3</v>
      </c>
      <c r="P80">
        <v>25</v>
      </c>
      <c r="Q80" s="24">
        <v>1.19490265157905E-2</v>
      </c>
      <c r="R80">
        <v>1</v>
      </c>
      <c r="S80" s="45" t="s">
        <v>34</v>
      </c>
      <c r="T80" s="45" t="s">
        <v>34</v>
      </c>
      <c r="U80" s="33">
        <v>25.784487358208011</v>
      </c>
      <c r="V80" s="24">
        <f t="shared" si="0"/>
        <v>1.0652261887304362E-2</v>
      </c>
      <c r="W80" s="45" t="s">
        <v>34</v>
      </c>
      <c r="X80" s="45" t="s">
        <v>34</v>
      </c>
      <c r="Y80" s="57">
        <v>0.42399648913904098</v>
      </c>
      <c r="Z80" s="38">
        <v>0.28016610588259899</v>
      </c>
    </row>
    <row r="81" spans="2:26" x14ac:dyDescent="0.3">
      <c r="B81" s="5">
        <f t="shared" si="1"/>
        <v>50</v>
      </c>
      <c r="C81" s="5" t="s">
        <v>31</v>
      </c>
      <c r="D81">
        <v>0.4</v>
      </c>
      <c r="E81">
        <v>4.0000000000000001E-3</v>
      </c>
      <c r="F81" s="45" t="s">
        <v>34</v>
      </c>
      <c r="G81">
        <v>1</v>
      </c>
      <c r="H81">
        <v>0.5</v>
      </c>
      <c r="I81" s="62">
        <v>1498.6551688475299</v>
      </c>
      <c r="J81">
        <v>7.54</v>
      </c>
      <c r="K81" s="17">
        <v>24.906993562958998</v>
      </c>
      <c r="L81" s="38">
        <v>24.906993562958998</v>
      </c>
      <c r="M81">
        <v>30</v>
      </c>
      <c r="N81" s="24">
        <v>1.0652261887304362E-2</v>
      </c>
      <c r="O81">
        <v>3</v>
      </c>
      <c r="P81">
        <v>25</v>
      </c>
      <c r="Q81" s="24">
        <v>1.19490265157905E-2</v>
      </c>
      <c r="R81">
        <v>1.5</v>
      </c>
      <c r="S81" s="45" t="s">
        <v>34</v>
      </c>
      <c r="T81" s="45" t="s">
        <v>34</v>
      </c>
      <c r="U81" s="33">
        <v>25.398245683896366</v>
      </c>
      <c r="V81" s="24">
        <f t="shared" si="0"/>
        <v>1.0652261887304362E-2</v>
      </c>
      <c r="W81" s="45" t="s">
        <v>34</v>
      </c>
      <c r="X81" s="45" t="s">
        <v>34</v>
      </c>
      <c r="Y81" s="57">
        <v>0.46284469759743302</v>
      </c>
      <c r="Z81" s="38">
        <v>0.30684859215713201</v>
      </c>
    </row>
    <row r="82" spans="2:26" x14ac:dyDescent="0.3">
      <c r="B82" s="5">
        <f t="shared" si="1"/>
        <v>51</v>
      </c>
      <c r="C82" s="5" t="s">
        <v>31</v>
      </c>
      <c r="D82">
        <v>0.4</v>
      </c>
      <c r="E82">
        <v>4.0000000000000001E-3</v>
      </c>
      <c r="F82" s="45" t="s">
        <v>34</v>
      </c>
      <c r="G82">
        <v>1</v>
      </c>
      <c r="H82" s="17">
        <v>0.66666666666666663</v>
      </c>
      <c r="I82" s="62">
        <v>1499.82087347072</v>
      </c>
      <c r="J82">
        <v>7.54</v>
      </c>
      <c r="K82" s="17">
        <v>24.8979173165412</v>
      </c>
      <c r="L82" s="38">
        <v>24.8979173165412</v>
      </c>
      <c r="M82">
        <v>30</v>
      </c>
      <c r="N82" s="24">
        <v>1.0652261887304362E-2</v>
      </c>
      <c r="O82">
        <v>3</v>
      </c>
      <c r="P82">
        <v>25</v>
      </c>
      <c r="Q82" s="24">
        <v>1.19490265157905E-2</v>
      </c>
      <c r="R82">
        <v>2</v>
      </c>
      <c r="S82" s="45" t="s">
        <v>34</v>
      </c>
      <c r="T82" s="45" t="s">
        <v>34</v>
      </c>
      <c r="U82" s="33">
        <v>25.134158395712085</v>
      </c>
      <c r="V82" s="24">
        <f t="shared" si="0"/>
        <v>1.0652261887304362E-2</v>
      </c>
      <c r="W82" s="45" t="s">
        <v>34</v>
      </c>
      <c r="X82" s="45" t="s">
        <v>34</v>
      </c>
      <c r="Y82" s="57">
        <v>0.48940661130308999</v>
      </c>
      <c r="Z82" s="38">
        <v>0.326860456863032</v>
      </c>
    </row>
    <row r="83" spans="2:26" x14ac:dyDescent="0.3">
      <c r="B83" s="5">
        <f t="shared" si="1"/>
        <v>52</v>
      </c>
      <c r="C83" s="5" t="s">
        <v>31</v>
      </c>
      <c r="D83">
        <v>0.4</v>
      </c>
      <c r="E83">
        <v>4.0000000000000001E-3</v>
      </c>
      <c r="F83" s="45" t="s">
        <v>34</v>
      </c>
      <c r="G83">
        <v>1</v>
      </c>
      <c r="H83" s="17">
        <v>0.83333333333333337</v>
      </c>
      <c r="I83" s="62">
        <v>1500.5154810803399</v>
      </c>
      <c r="J83">
        <v>7.54</v>
      </c>
      <c r="K83" s="17">
        <v>24.892513839147099</v>
      </c>
      <c r="L83" s="38">
        <v>24.892513839147099</v>
      </c>
      <c r="M83">
        <v>30</v>
      </c>
      <c r="N83" s="24">
        <v>1.0652261887304362E-2</v>
      </c>
      <c r="O83">
        <v>3</v>
      </c>
      <c r="P83">
        <v>25</v>
      </c>
      <c r="Q83" s="24">
        <v>1.19490265157905E-2</v>
      </c>
      <c r="R83">
        <v>2.5</v>
      </c>
      <c r="S83" s="45" t="s">
        <v>34</v>
      </c>
      <c r="T83" s="45" t="s">
        <v>34</v>
      </c>
      <c r="U83" s="33">
        <v>24.976954669771473</v>
      </c>
      <c r="V83" s="24">
        <f t="shared" si="0"/>
        <v>1.0652261887304362E-2</v>
      </c>
      <c r="W83" s="45" t="s">
        <v>34</v>
      </c>
      <c r="X83" s="45" t="s">
        <v>34</v>
      </c>
      <c r="Y83" s="57">
        <v>0.50521817054682205</v>
      </c>
      <c r="Z83" s="38">
        <v>0.33353107843166602</v>
      </c>
    </row>
    <row r="84" spans="2:26" x14ac:dyDescent="0.3">
      <c r="B84" s="5">
        <f t="shared" si="1"/>
        <v>53</v>
      </c>
      <c r="C84" s="5" t="s">
        <v>31</v>
      </c>
      <c r="D84">
        <v>0.4</v>
      </c>
      <c r="E84">
        <v>4.0000000000000001E-3</v>
      </c>
      <c r="F84" s="45" t="s">
        <v>34</v>
      </c>
      <c r="G84">
        <v>1</v>
      </c>
      <c r="H84">
        <v>1</v>
      </c>
      <c r="I84" s="62">
        <v>1500.9773042315701</v>
      </c>
      <c r="J84">
        <v>7.54</v>
      </c>
      <c r="K84" s="17">
        <v>24.888923206722399</v>
      </c>
      <c r="L84" s="38">
        <v>24.888923206722399</v>
      </c>
      <c r="M84">
        <v>30</v>
      </c>
      <c r="N84" s="24">
        <v>1.0652261887304362E-2</v>
      </c>
      <c r="O84">
        <v>3</v>
      </c>
      <c r="P84">
        <v>25</v>
      </c>
      <c r="Q84" s="24">
        <v>1.19490265157905E-2</v>
      </c>
      <c r="R84">
        <v>3</v>
      </c>
      <c r="S84" s="45" t="s">
        <v>34</v>
      </c>
      <c r="T84" s="45" t="s">
        <v>34</v>
      </c>
      <c r="U84" s="33">
        <v>24.872499891057917</v>
      </c>
      <c r="V84" s="24">
        <f t="shared" si="0"/>
        <v>1.0652261887304362E-2</v>
      </c>
      <c r="W84" s="45" t="s">
        <v>34</v>
      </c>
      <c r="X84" s="45" t="s">
        <v>34</v>
      </c>
      <c r="Y84" s="57">
        <v>0.51572423783013999</v>
      </c>
      <c r="Z84" s="38">
        <v>0.34020170000029898</v>
      </c>
    </row>
    <row r="85" spans="2:26" x14ac:dyDescent="0.3">
      <c r="B85" s="5">
        <f t="shared" si="1"/>
        <v>54</v>
      </c>
      <c r="C85" s="5" t="s">
        <v>32</v>
      </c>
      <c r="D85">
        <v>0.4</v>
      </c>
      <c r="E85">
        <v>4.0000000000000001E-3</v>
      </c>
      <c r="F85" s="45" t="s">
        <v>34</v>
      </c>
      <c r="G85">
        <v>1</v>
      </c>
      <c r="H85" s="17">
        <v>0.33333333333333331</v>
      </c>
      <c r="I85" s="62">
        <v>1496.2624868682001</v>
      </c>
      <c r="J85">
        <v>7.54</v>
      </c>
      <c r="K85" s="17">
        <v>24.925654691317</v>
      </c>
      <c r="L85" s="38">
        <v>24.925654691317</v>
      </c>
      <c r="M85">
        <v>30</v>
      </c>
      <c r="N85" s="24">
        <v>1.0652261887304362E-2</v>
      </c>
      <c r="O85">
        <v>3</v>
      </c>
      <c r="P85">
        <v>25</v>
      </c>
      <c r="Q85" s="24">
        <v>1.19490265157905E-2</v>
      </c>
      <c r="R85">
        <v>1</v>
      </c>
      <c r="S85" s="45" t="s">
        <v>34</v>
      </c>
      <c r="T85" s="45" t="s">
        <v>34</v>
      </c>
      <c r="U85" s="33">
        <v>25.941343650122718</v>
      </c>
      <c r="V85" s="24">
        <f t="shared" si="0"/>
        <v>1.0652261887304362E-2</v>
      </c>
      <c r="W85" s="45" t="s">
        <v>34</v>
      </c>
      <c r="X85" s="45" t="s">
        <v>34</v>
      </c>
      <c r="Y85" s="57">
        <v>0.408219874828395</v>
      </c>
      <c r="Z85" s="38">
        <v>0.27349548431396598</v>
      </c>
    </row>
    <row r="86" spans="2:26" x14ac:dyDescent="0.3">
      <c r="B86" s="5">
        <f t="shared" si="1"/>
        <v>55</v>
      </c>
      <c r="C86" s="5" t="s">
        <v>32</v>
      </c>
      <c r="D86">
        <v>0.4</v>
      </c>
      <c r="E86">
        <v>4.0000000000000001E-3</v>
      </c>
      <c r="F86" s="45" t="s">
        <v>34</v>
      </c>
      <c r="G86">
        <v>1</v>
      </c>
      <c r="H86">
        <v>0.5</v>
      </c>
      <c r="I86" s="62">
        <v>1497.9696036360001</v>
      </c>
      <c r="J86">
        <v>7.54</v>
      </c>
      <c r="K86" s="17">
        <v>24.9123361155678</v>
      </c>
      <c r="L86" s="38">
        <v>24.9123361155678</v>
      </c>
      <c r="M86">
        <v>30</v>
      </c>
      <c r="N86" s="24">
        <v>1.0652261887304362E-2</v>
      </c>
      <c r="O86">
        <v>3</v>
      </c>
      <c r="P86">
        <v>25</v>
      </c>
      <c r="Q86" s="24">
        <v>1.19490265157905E-2</v>
      </c>
      <c r="R86">
        <v>1.5</v>
      </c>
      <c r="S86" s="45" t="s">
        <v>34</v>
      </c>
      <c r="T86" s="45" t="s">
        <v>34</v>
      </c>
      <c r="U86" s="33">
        <v>25.553713867033061</v>
      </c>
      <c r="V86" s="24">
        <f t="shared" si="0"/>
        <v>1.0652261887304362E-2</v>
      </c>
      <c r="W86" s="45" t="s">
        <v>34</v>
      </c>
      <c r="X86" s="45" t="s">
        <v>34</v>
      </c>
      <c r="Y86" s="57">
        <v>0.44720769934263399</v>
      </c>
      <c r="Z86" s="38">
        <v>0.29350734901986603</v>
      </c>
    </row>
    <row r="87" spans="2:26" x14ac:dyDescent="0.3">
      <c r="B87" s="5">
        <f t="shared" si="1"/>
        <v>56</v>
      </c>
      <c r="C87" s="5" t="s">
        <v>32</v>
      </c>
      <c r="D87">
        <v>0.4</v>
      </c>
      <c r="E87">
        <v>4.0000000000000001E-3</v>
      </c>
      <c r="F87" s="45" t="s">
        <v>34</v>
      </c>
      <c r="G87">
        <v>1</v>
      </c>
      <c r="H87" s="17">
        <v>0.66666666666666663</v>
      </c>
      <c r="I87" s="62">
        <v>1499.00579707068</v>
      </c>
      <c r="J87">
        <v>7.54</v>
      </c>
      <c r="K87" s="17">
        <v>24.904262492613299</v>
      </c>
      <c r="L87" s="38">
        <v>24.904262492613299</v>
      </c>
      <c r="M87">
        <v>30</v>
      </c>
      <c r="N87" s="24">
        <v>1.0652261887304362E-2</v>
      </c>
      <c r="O87">
        <v>3</v>
      </c>
      <c r="P87">
        <v>25</v>
      </c>
      <c r="Q87" s="24">
        <v>1.19490265157905E-2</v>
      </c>
      <c r="R87">
        <v>2</v>
      </c>
      <c r="S87" s="45" t="s">
        <v>34</v>
      </c>
      <c r="T87" s="45" t="s">
        <v>34</v>
      </c>
      <c r="U87" s="33">
        <v>25.318776863186926</v>
      </c>
      <c r="V87" s="24">
        <f t="shared" si="0"/>
        <v>1.0652261887304362E-2</v>
      </c>
      <c r="W87" s="45" t="s">
        <v>34</v>
      </c>
      <c r="X87" s="45" t="s">
        <v>34</v>
      </c>
      <c r="Y87" s="57">
        <v>0.470837675875515</v>
      </c>
      <c r="Z87" s="38">
        <v>0.31351921372576602</v>
      </c>
    </row>
    <row r="88" spans="2:26" x14ac:dyDescent="0.3">
      <c r="B88" s="5">
        <f t="shared" si="1"/>
        <v>57</v>
      </c>
      <c r="C88" s="5" t="s">
        <v>32</v>
      </c>
      <c r="D88">
        <v>0.4</v>
      </c>
      <c r="E88">
        <v>4.0000000000000001E-3</v>
      </c>
      <c r="F88" s="45" t="s">
        <v>34</v>
      </c>
      <c r="G88">
        <v>1</v>
      </c>
      <c r="H88" s="17">
        <v>0.83333333333333337</v>
      </c>
      <c r="I88" s="62">
        <v>1499.7488377754601</v>
      </c>
      <c r="J88">
        <v>7.54</v>
      </c>
      <c r="K88" s="17">
        <v>24.8984778992956</v>
      </c>
      <c r="L88" s="38">
        <v>24.8984778992956</v>
      </c>
      <c r="M88">
        <v>30</v>
      </c>
      <c r="N88" s="24">
        <v>1.0652261887304362E-2</v>
      </c>
      <c r="O88">
        <v>3</v>
      </c>
      <c r="P88">
        <v>25</v>
      </c>
      <c r="Q88" s="24">
        <v>1.19490265157905E-2</v>
      </c>
      <c r="R88">
        <v>2.5</v>
      </c>
      <c r="S88" s="45" t="s">
        <v>34</v>
      </c>
      <c r="T88" s="45" t="s">
        <v>34</v>
      </c>
      <c r="U88" s="33">
        <v>25.150468267022255</v>
      </c>
      <c r="V88" s="24">
        <f t="shared" si="0"/>
        <v>1.0652261887304362E-2</v>
      </c>
      <c r="W88" s="45" t="s">
        <v>34</v>
      </c>
      <c r="X88" s="45" t="s">
        <v>34</v>
      </c>
      <c r="Y88" s="57">
        <v>0.48776616356601898</v>
      </c>
      <c r="Z88" s="38">
        <v>0.32018983529439898</v>
      </c>
    </row>
    <row r="89" spans="2:26" x14ac:dyDescent="0.3">
      <c r="B89" s="5">
        <f t="shared" si="1"/>
        <v>58</v>
      </c>
      <c r="C89" s="5" t="s">
        <v>32</v>
      </c>
      <c r="D89">
        <v>0.4</v>
      </c>
      <c r="E89">
        <v>4.0000000000000001E-3</v>
      </c>
      <c r="F89" s="45" t="s">
        <v>34</v>
      </c>
      <c r="G89">
        <v>1</v>
      </c>
      <c r="H89">
        <v>1</v>
      </c>
      <c r="I89" s="62">
        <v>1500.1734780832101</v>
      </c>
      <c r="J89">
        <v>7.54</v>
      </c>
      <c r="K89" s="17">
        <v>24.895173896249901</v>
      </c>
      <c r="L89" s="38">
        <v>24.895173896249901</v>
      </c>
      <c r="M89">
        <v>30</v>
      </c>
      <c r="N89" s="24">
        <v>1.0652261887304362E-2</v>
      </c>
      <c r="O89">
        <v>3</v>
      </c>
      <c r="P89">
        <v>25</v>
      </c>
      <c r="Q89" s="24">
        <v>1.19490265157905E-2</v>
      </c>
      <c r="R89">
        <v>3</v>
      </c>
      <c r="S89" s="45" t="s">
        <v>34</v>
      </c>
      <c r="T89" s="45" t="s">
        <v>34</v>
      </c>
      <c r="U89" s="33">
        <v>25.054342140976729</v>
      </c>
      <c r="V89" s="24">
        <f t="shared" si="0"/>
        <v>1.0652261887304362E-2</v>
      </c>
      <c r="W89" s="45" t="s">
        <v>34</v>
      </c>
      <c r="X89" s="45" t="s">
        <v>34</v>
      </c>
      <c r="Y89" s="57">
        <v>0.49743453451425901</v>
      </c>
      <c r="Z89" s="38">
        <v>0.326860456863032</v>
      </c>
    </row>
    <row r="90" spans="2:26" x14ac:dyDescent="0.3">
      <c r="B90" s="5">
        <f t="shared" si="1"/>
        <v>59</v>
      </c>
      <c r="C90" s="5" t="s">
        <v>31</v>
      </c>
      <c r="D90">
        <v>0.4</v>
      </c>
      <c r="E90">
        <v>5.0000000000000001E-3</v>
      </c>
      <c r="F90" s="45" t="s">
        <v>34</v>
      </c>
      <c r="G90">
        <v>1</v>
      </c>
      <c r="H90" s="17">
        <v>0.33333333333333331</v>
      </c>
      <c r="I90" s="62">
        <v>1868.0171746030001</v>
      </c>
      <c r="J90">
        <v>7.54</v>
      </c>
      <c r="K90" s="17">
        <v>19.952082150776501</v>
      </c>
      <c r="L90" s="38">
        <v>19.952082150776501</v>
      </c>
      <c r="M90">
        <v>30</v>
      </c>
      <c r="N90" s="24">
        <v>1.0652261887304362E-2</v>
      </c>
      <c r="O90">
        <v>3</v>
      </c>
      <c r="P90">
        <v>25</v>
      </c>
      <c r="Q90" s="24">
        <v>1.19490265157905E-2</v>
      </c>
      <c r="R90">
        <v>1</v>
      </c>
      <c r="S90" s="45" t="s">
        <v>34</v>
      </c>
      <c r="T90" s="45" t="s">
        <v>34</v>
      </c>
      <c r="U90" s="33">
        <v>26.361940609858607</v>
      </c>
      <c r="V90" s="24">
        <f t="shared" si="0"/>
        <v>1.0652261887304362E-2</v>
      </c>
      <c r="W90" s="45" t="s">
        <v>34</v>
      </c>
      <c r="X90" s="45" t="s">
        <v>34</v>
      </c>
      <c r="Y90" s="57">
        <v>0.36591620990692902</v>
      </c>
      <c r="Z90" s="38">
        <v>0.240142376470799</v>
      </c>
    </row>
    <row r="91" spans="2:26" x14ac:dyDescent="0.3">
      <c r="B91" s="5">
        <f t="shared" si="1"/>
        <v>60</v>
      </c>
      <c r="C91" s="5" t="s">
        <v>31</v>
      </c>
      <c r="D91">
        <v>0.4</v>
      </c>
      <c r="E91">
        <v>5.0000000000000001E-3</v>
      </c>
      <c r="F91" s="45" t="s">
        <v>34</v>
      </c>
      <c r="G91">
        <v>1</v>
      </c>
      <c r="H91">
        <v>0.5</v>
      </c>
      <c r="I91" s="62">
        <v>1869.7270522545</v>
      </c>
      <c r="J91">
        <v>7.54</v>
      </c>
      <c r="K91" s="17">
        <v>19.943528044919301</v>
      </c>
      <c r="L91" s="38">
        <v>19.943528044919301</v>
      </c>
      <c r="M91">
        <v>30</v>
      </c>
      <c r="N91" s="24">
        <v>1.0652261887304362E-2</v>
      </c>
      <c r="O91">
        <v>3</v>
      </c>
      <c r="P91">
        <v>25</v>
      </c>
      <c r="Q91" s="24">
        <v>1.19490265157905E-2</v>
      </c>
      <c r="R91">
        <v>1.5</v>
      </c>
      <c r="S91" s="45" t="s">
        <v>34</v>
      </c>
      <c r="T91" s="45" t="s">
        <v>34</v>
      </c>
      <c r="U91" s="33">
        <v>26.050656809559293</v>
      </c>
      <c r="V91" s="24">
        <f t="shared" si="0"/>
        <v>1.0652261887304362E-2</v>
      </c>
      <c r="W91" s="45" t="s">
        <v>34</v>
      </c>
      <c r="X91" s="45" t="s">
        <v>34</v>
      </c>
      <c r="Y91" s="57">
        <v>0.397225151349615</v>
      </c>
      <c r="Z91" s="38">
        <v>0.260154241176699</v>
      </c>
    </row>
    <row r="92" spans="2:26" x14ac:dyDescent="0.3">
      <c r="B92" s="5">
        <f t="shared" si="1"/>
        <v>61</v>
      </c>
      <c r="C92" s="5" t="s">
        <v>31</v>
      </c>
      <c r="D92">
        <v>0.4</v>
      </c>
      <c r="E92">
        <v>5.0000000000000001E-3</v>
      </c>
      <c r="F92" s="45" t="s">
        <v>34</v>
      </c>
      <c r="G92">
        <v>1</v>
      </c>
      <c r="H92" s="17">
        <v>0.66666666666666663</v>
      </c>
      <c r="I92" s="62">
        <v>1870.5686195211799</v>
      </c>
      <c r="J92">
        <v>7.54</v>
      </c>
      <c r="K92" s="17">
        <v>19.939321979896398</v>
      </c>
      <c r="L92" s="38">
        <v>19.939321979896398</v>
      </c>
      <c r="M92">
        <v>30</v>
      </c>
      <c r="N92" s="24">
        <v>1.0652261887304362E-2</v>
      </c>
      <c r="O92">
        <v>3</v>
      </c>
      <c r="P92">
        <v>25</v>
      </c>
      <c r="Q92" s="24">
        <v>1.19490265157905E-2</v>
      </c>
      <c r="R92">
        <v>2</v>
      </c>
      <c r="S92" s="45" t="s">
        <v>34</v>
      </c>
      <c r="T92" s="45" t="s">
        <v>34</v>
      </c>
      <c r="U92" s="33">
        <v>25.897618223615524</v>
      </c>
      <c r="V92" s="24">
        <f t="shared" si="0"/>
        <v>1.0652261887304362E-2</v>
      </c>
      <c r="W92" s="45" t="s">
        <v>34</v>
      </c>
      <c r="X92" s="45" t="s">
        <v>34</v>
      </c>
      <c r="Y92" s="57">
        <v>0.41261778058755699</v>
      </c>
      <c r="Z92" s="38">
        <v>0.27349548431396598</v>
      </c>
    </row>
    <row r="93" spans="2:26" x14ac:dyDescent="0.3">
      <c r="B93" s="5">
        <f t="shared" si="1"/>
        <v>62</v>
      </c>
      <c r="C93" s="5" t="s">
        <v>31</v>
      </c>
      <c r="D93">
        <v>0.4</v>
      </c>
      <c r="E93">
        <v>5.0000000000000001E-3</v>
      </c>
      <c r="F93" s="45" t="s">
        <v>34</v>
      </c>
      <c r="G93">
        <v>1</v>
      </c>
      <c r="H93" s="17">
        <v>0.83333333333333337</v>
      </c>
      <c r="I93" s="62">
        <v>1871.1204588452899</v>
      </c>
      <c r="J93">
        <v>7.54</v>
      </c>
      <c r="K93" s="17">
        <v>19.936565408635499</v>
      </c>
      <c r="L93" s="38">
        <v>19.936565408635499</v>
      </c>
      <c r="M93">
        <v>30</v>
      </c>
      <c r="N93" s="24">
        <v>1.0652261887304362E-2</v>
      </c>
      <c r="O93">
        <v>3</v>
      </c>
      <c r="P93">
        <v>25</v>
      </c>
      <c r="Q93" s="24">
        <v>1.19490265157905E-2</v>
      </c>
      <c r="R93">
        <v>2.5</v>
      </c>
      <c r="S93" s="45" t="s">
        <v>34</v>
      </c>
      <c r="T93" s="45" t="s">
        <v>34</v>
      </c>
      <c r="U93" s="33">
        <v>25.797326957573155</v>
      </c>
      <c r="V93" s="24">
        <f t="shared" si="0"/>
        <v>1.0652261887304362E-2</v>
      </c>
      <c r="W93" s="45" t="s">
        <v>34</v>
      </c>
      <c r="X93" s="45" t="s">
        <v>34</v>
      </c>
      <c r="Y93" s="57">
        <v>0.42270508154158698</v>
      </c>
      <c r="Z93" s="38">
        <v>0.28016610588259899</v>
      </c>
    </row>
    <row r="94" spans="2:26" x14ac:dyDescent="0.3">
      <c r="B94" s="5">
        <f t="shared" si="1"/>
        <v>63</v>
      </c>
      <c r="C94" s="5" t="s">
        <v>31</v>
      </c>
      <c r="D94">
        <v>0.4</v>
      </c>
      <c r="E94">
        <v>5.0000000000000001E-3</v>
      </c>
      <c r="F94" s="45" t="s">
        <v>34</v>
      </c>
      <c r="G94">
        <v>1</v>
      </c>
      <c r="H94">
        <v>1</v>
      </c>
      <c r="I94" s="62">
        <v>1871.60376892306</v>
      </c>
      <c r="J94">
        <v>7.54</v>
      </c>
      <c r="K94" s="17">
        <v>19.934152109253102</v>
      </c>
      <c r="L94" s="38">
        <v>19.934152109253102</v>
      </c>
      <c r="M94">
        <v>30</v>
      </c>
      <c r="N94" s="24">
        <v>1.0652261887304362E-2</v>
      </c>
      <c r="O94">
        <v>3</v>
      </c>
      <c r="P94">
        <v>25</v>
      </c>
      <c r="Q94" s="24">
        <v>1.19490265157905E-2</v>
      </c>
      <c r="R94">
        <v>3</v>
      </c>
      <c r="S94" s="45" t="s">
        <v>34</v>
      </c>
      <c r="T94" s="45" t="s">
        <v>34</v>
      </c>
      <c r="U94" s="33">
        <v>25.709529484195681</v>
      </c>
      <c r="V94" s="24">
        <f t="shared" si="0"/>
        <v>1.0652261887304362E-2</v>
      </c>
      <c r="W94" s="45" t="s">
        <v>34</v>
      </c>
      <c r="X94" s="45" t="s">
        <v>34</v>
      </c>
      <c r="Y94" s="57">
        <v>0.43153575615474699</v>
      </c>
      <c r="Z94" s="38">
        <v>0.28683672745123201</v>
      </c>
    </row>
    <row r="95" spans="2:26" x14ac:dyDescent="0.3">
      <c r="B95" s="5">
        <f t="shared" si="1"/>
        <v>64</v>
      </c>
      <c r="C95" s="5" t="s">
        <v>32</v>
      </c>
      <c r="D95">
        <v>0.4</v>
      </c>
      <c r="E95">
        <v>5.0000000000000001E-3</v>
      </c>
      <c r="F95" s="45" t="s">
        <v>34</v>
      </c>
      <c r="G95">
        <v>1</v>
      </c>
      <c r="H95" s="17">
        <v>0.33333333333333331</v>
      </c>
      <c r="I95" s="62">
        <v>1867.1489097172</v>
      </c>
      <c r="J95">
        <v>7.54</v>
      </c>
      <c r="K95" s="17">
        <v>19.956430144321999</v>
      </c>
      <c r="L95" s="38">
        <v>19.956430144321999</v>
      </c>
      <c r="M95">
        <v>30</v>
      </c>
      <c r="N95" s="24">
        <v>1.0652261887304362E-2</v>
      </c>
      <c r="O95">
        <v>3</v>
      </c>
      <c r="P95">
        <v>25</v>
      </c>
      <c r="Q95" s="24">
        <v>1.19490265157905E-2</v>
      </c>
      <c r="R95">
        <v>1</v>
      </c>
      <c r="S95" s="45" t="s">
        <v>34</v>
      </c>
      <c r="T95" s="45" t="s">
        <v>34</v>
      </c>
      <c r="U95" s="33">
        <v>26.520185010551319</v>
      </c>
      <c r="V95" s="24">
        <f t="shared" si="0"/>
        <v>1.0652261887304362E-2</v>
      </c>
      <c r="W95" s="45" t="s">
        <v>34</v>
      </c>
      <c r="X95" s="45" t="s">
        <v>34</v>
      </c>
      <c r="Y95" s="57">
        <v>0.34999997954043699</v>
      </c>
      <c r="Z95" s="38">
        <v>0.23347175490216601</v>
      </c>
    </row>
    <row r="96" spans="2:26" x14ac:dyDescent="0.3">
      <c r="B96" s="5">
        <f t="shared" si="1"/>
        <v>65</v>
      </c>
      <c r="C96" s="5" t="s">
        <v>32</v>
      </c>
      <c r="D96">
        <v>0.4</v>
      </c>
      <c r="E96">
        <v>5.0000000000000001E-3</v>
      </c>
      <c r="F96" s="45" t="s">
        <v>34</v>
      </c>
      <c r="G96">
        <v>1</v>
      </c>
      <c r="H96">
        <v>0.5</v>
      </c>
      <c r="I96" s="62">
        <v>1868.7202640734499</v>
      </c>
      <c r="J96">
        <v>7.54</v>
      </c>
      <c r="K96" s="17">
        <v>19.948563413113298</v>
      </c>
      <c r="L96" s="38">
        <v>19.948563413113298</v>
      </c>
      <c r="M96">
        <v>30</v>
      </c>
      <c r="N96" s="24">
        <v>1.0652261887304362E-2</v>
      </c>
      <c r="O96">
        <v>3</v>
      </c>
      <c r="P96">
        <v>25</v>
      </c>
      <c r="Q96" s="24">
        <v>1.19490265157905E-2</v>
      </c>
      <c r="R96">
        <v>1.5</v>
      </c>
      <c r="S96" s="45" t="s">
        <v>34</v>
      </c>
      <c r="T96" s="45" t="s">
        <v>34</v>
      </c>
      <c r="U96" s="33">
        <v>26.233887168256118</v>
      </c>
      <c r="V96" s="24">
        <f t="shared" si="0"/>
        <v>1.0652261887304362E-2</v>
      </c>
      <c r="W96" s="45" t="s">
        <v>34</v>
      </c>
      <c r="X96" s="45" t="s">
        <v>34</v>
      </c>
      <c r="Y96" s="57">
        <v>0.37879583197788702</v>
      </c>
      <c r="Z96" s="38">
        <v>0.25348361960806598</v>
      </c>
    </row>
    <row r="97" spans="2:26" x14ac:dyDescent="0.3">
      <c r="B97" s="5">
        <f t="shared" si="1"/>
        <v>66</v>
      </c>
      <c r="C97" s="5" t="s">
        <v>32</v>
      </c>
      <c r="D97">
        <v>0.4</v>
      </c>
      <c r="E97">
        <v>5.0000000000000001E-3</v>
      </c>
      <c r="F97" s="45" t="s">
        <v>34</v>
      </c>
      <c r="G97">
        <v>1</v>
      </c>
      <c r="H97" s="17">
        <v>0.66666666666666663</v>
      </c>
      <c r="I97" s="62">
        <v>1869.65265497788</v>
      </c>
      <c r="J97">
        <v>7.54</v>
      </c>
      <c r="K97" s="17">
        <v>19.943900004526199</v>
      </c>
      <c r="L97" s="38">
        <v>19.943900004526199</v>
      </c>
      <c r="M97">
        <v>30</v>
      </c>
      <c r="N97" s="24">
        <v>1.0652261887304362E-2</v>
      </c>
      <c r="O97">
        <v>3</v>
      </c>
      <c r="P97">
        <v>25</v>
      </c>
      <c r="Q97" s="24">
        <v>1.19490265157905E-2</v>
      </c>
      <c r="R97">
        <v>2</v>
      </c>
      <c r="S97" s="45" t="s">
        <v>34</v>
      </c>
      <c r="T97" s="45" t="s">
        <v>34</v>
      </c>
      <c r="U97" s="33">
        <v>26.064191276976267</v>
      </c>
      <c r="V97" s="24">
        <f t="shared" ref="V97:V99" si="2">N97</f>
        <v>1.0652261887304362E-2</v>
      </c>
      <c r="W97" s="45" t="s">
        <v>34</v>
      </c>
      <c r="X97" s="45" t="s">
        <v>34</v>
      </c>
      <c r="Y97" s="57">
        <v>0.39586385388598699</v>
      </c>
      <c r="Z97" s="38">
        <v>0.260154241176699</v>
      </c>
    </row>
    <row r="98" spans="2:26" x14ac:dyDescent="0.3">
      <c r="B98" s="5">
        <f t="shared" ref="B98:B99" si="3">B97+1</f>
        <v>67</v>
      </c>
      <c r="C98" s="5" t="s">
        <v>32</v>
      </c>
      <c r="D98">
        <v>0.4</v>
      </c>
      <c r="E98">
        <v>5.0000000000000001E-3</v>
      </c>
      <c r="F98" s="45" t="s">
        <v>34</v>
      </c>
      <c r="G98">
        <v>1</v>
      </c>
      <c r="H98" s="17">
        <v>0.83333333333333337</v>
      </c>
      <c r="I98" s="62">
        <v>1870.1658896317199</v>
      </c>
      <c r="J98">
        <v>7.54</v>
      </c>
      <c r="K98" s="17">
        <v>19.941334445094299</v>
      </c>
      <c r="L98" s="38">
        <v>19.941334445094299</v>
      </c>
      <c r="M98">
        <v>30</v>
      </c>
      <c r="N98" s="24">
        <v>1.0652261887304362E-2</v>
      </c>
      <c r="O98">
        <v>3</v>
      </c>
      <c r="P98">
        <v>25</v>
      </c>
      <c r="Q98" s="24">
        <v>1.19490265157905E-2</v>
      </c>
      <c r="R98">
        <v>2.5</v>
      </c>
      <c r="S98" s="45" t="s">
        <v>34</v>
      </c>
      <c r="T98" s="45" t="s">
        <v>34</v>
      </c>
      <c r="U98" s="33">
        <v>25.970840554823937</v>
      </c>
      <c r="V98" s="24">
        <f t="shared" si="2"/>
        <v>1.0652261887304362E-2</v>
      </c>
      <c r="W98" s="45" t="s">
        <v>34</v>
      </c>
      <c r="X98" s="45" t="s">
        <v>34</v>
      </c>
      <c r="Y98" s="57">
        <v>0.40525307456078402</v>
      </c>
      <c r="Z98" s="38">
        <v>0.26682486274533201</v>
      </c>
    </row>
    <row r="99" spans="2:26" ht="15" thickBot="1" x14ac:dyDescent="0.35">
      <c r="B99" s="7">
        <f t="shared" si="3"/>
        <v>68</v>
      </c>
      <c r="C99" s="7" t="s">
        <v>32</v>
      </c>
      <c r="D99" s="8">
        <v>0.4</v>
      </c>
      <c r="E99" s="8">
        <v>5.0000000000000001E-3</v>
      </c>
      <c r="F99" s="46" t="s">
        <v>34</v>
      </c>
      <c r="G99" s="8">
        <v>1</v>
      </c>
      <c r="H99" s="8">
        <v>1</v>
      </c>
      <c r="I99" s="61">
        <v>1870.6488009494799</v>
      </c>
      <c r="J99" s="8">
        <v>7.54</v>
      </c>
      <c r="K99" s="53">
        <v>19.938921382248001</v>
      </c>
      <c r="L99" s="54">
        <v>19.938921382248001</v>
      </c>
      <c r="M99" s="8">
        <v>30</v>
      </c>
      <c r="N99" s="25">
        <v>1.0652261887304362E-2</v>
      </c>
      <c r="O99" s="8">
        <v>3</v>
      </c>
      <c r="P99" s="8">
        <v>25</v>
      </c>
      <c r="Q99" s="25">
        <v>1.19490265157905E-2</v>
      </c>
      <c r="R99" s="8">
        <v>3</v>
      </c>
      <c r="S99" s="46" t="s">
        <v>34</v>
      </c>
      <c r="T99" s="46" t="s">
        <v>34</v>
      </c>
      <c r="U99" s="34">
        <v>25.883043081446452</v>
      </c>
      <c r="V99" s="25">
        <f t="shared" si="2"/>
        <v>1.0652261887304362E-2</v>
      </c>
      <c r="W99" s="46" t="s">
        <v>34</v>
      </c>
      <c r="X99" s="46" t="s">
        <v>34</v>
      </c>
      <c r="Y99" s="58">
        <v>0.41408374917394503</v>
      </c>
      <c r="Z99" s="54">
        <v>0.27349548431396598</v>
      </c>
    </row>
  </sheetData>
  <mergeCells count="4">
    <mergeCell ref="E11:F11"/>
    <mergeCell ref="G11:H11"/>
    <mergeCell ref="I11:J11"/>
    <mergeCell ref="C7:O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Ren2006</vt:lpstr>
      <vt:lpstr>Shi2023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Zeoli Alanis</dc:creator>
  <cp:lastModifiedBy>Zeoli Alanis</cp:lastModifiedBy>
  <dcterms:created xsi:type="dcterms:W3CDTF">2023-10-02T08:13:39Z</dcterms:created>
  <dcterms:modified xsi:type="dcterms:W3CDTF">2025-08-12T09:16:02Z</dcterms:modified>
</cp:coreProperties>
</file>