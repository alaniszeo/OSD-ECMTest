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AZ\alaniszeo_git\EC-generic-model\Database_for_model_validation\IEC\"/>
    </mc:Choice>
  </mc:AlternateContent>
  <xr:revisionPtr revIDLastSave="0" documentId="13_ncr:1_{FF3692D8-F738-4D1B-B7F1-E47EE5E03A3F}" xr6:coauthVersionLast="47" xr6:coauthVersionMax="47" xr10:uidLastSave="{00000000-0000-0000-0000-000000000000}"/>
  <bookViews>
    <workbookView xWindow="-108" yWindow="-108" windowWidth="30936" windowHeight="16776" xr2:uid="{1306219A-737B-4B5D-BCFD-98C34D3C77CC}"/>
  </bookViews>
  <sheets>
    <sheet name="DeAntonellis2017" sheetId="7"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7" l="1"/>
  <c r="Q90" i="7"/>
  <c r="N90" i="7"/>
  <c r="V90" i="7" s="1"/>
  <c r="Q89" i="7"/>
  <c r="N89" i="7"/>
  <c r="V89" i="7" s="1"/>
  <c r="Q88" i="7"/>
  <c r="N88" i="7"/>
  <c r="V88" i="7" s="1"/>
  <c r="Q87" i="7"/>
  <c r="N87" i="7"/>
  <c r="V87" i="7" s="1"/>
  <c r="Q86" i="7"/>
  <c r="N86" i="7"/>
  <c r="V86" i="7" s="1"/>
  <c r="Q85" i="7"/>
  <c r="N85" i="7"/>
  <c r="V85" i="7" s="1"/>
  <c r="Q84" i="7"/>
  <c r="N84" i="7"/>
  <c r="V84" i="7" s="1"/>
  <c r="Q83" i="7"/>
  <c r="N83" i="7"/>
  <c r="V83" i="7" s="1"/>
  <c r="Q82" i="7"/>
  <c r="N82" i="7"/>
  <c r="V82" i="7" s="1"/>
  <c r="Q81" i="7"/>
  <c r="N81" i="7"/>
  <c r="V81" i="7" s="1"/>
  <c r="Q80" i="7"/>
  <c r="P80" i="7"/>
  <c r="N80" i="7"/>
  <c r="V80" i="7" s="1"/>
  <c r="Q79" i="7"/>
  <c r="P79" i="7"/>
  <c r="N79" i="7"/>
  <c r="V79" i="7" s="1"/>
  <c r="Q78" i="7"/>
  <c r="P78" i="7"/>
  <c r="N78" i="7"/>
  <c r="V78" i="7" s="1"/>
  <c r="Q77" i="7"/>
  <c r="P77" i="7"/>
  <c r="N77" i="7"/>
  <c r="V77" i="7" s="1"/>
  <c r="Q76" i="7"/>
  <c r="P76" i="7"/>
  <c r="N76" i="7"/>
  <c r="V76" i="7" s="1"/>
  <c r="Q75" i="7"/>
  <c r="P75" i="7"/>
  <c r="N75" i="7"/>
  <c r="V75" i="7" s="1"/>
  <c r="Q74" i="7"/>
  <c r="P74" i="7"/>
  <c r="N74" i="7"/>
  <c r="V74" i="7" s="1"/>
  <c r="Q73" i="7"/>
  <c r="N73" i="7"/>
  <c r="V73" i="7" s="1"/>
  <c r="Q72" i="7"/>
  <c r="N72" i="7"/>
  <c r="V72" i="7" s="1"/>
  <c r="Q71" i="7"/>
  <c r="N71" i="7"/>
  <c r="V71" i="7" s="1"/>
  <c r="Q70" i="7"/>
  <c r="N70" i="7"/>
  <c r="V70" i="7" s="1"/>
  <c r="Q69" i="7"/>
  <c r="N69" i="7"/>
  <c r="V69" i="7" s="1"/>
  <c r="Q68" i="7"/>
  <c r="N68" i="7"/>
  <c r="V68" i="7" s="1"/>
  <c r="Q67" i="7"/>
  <c r="N67" i="7"/>
  <c r="V67" i="7" s="1"/>
  <c r="Q66" i="7"/>
  <c r="N66" i="7"/>
  <c r="V66" i="7" s="1"/>
  <c r="Q65" i="7"/>
  <c r="N65" i="7"/>
  <c r="V65" i="7" s="1"/>
  <c r="Q64" i="7"/>
  <c r="N64" i="7"/>
  <c r="V64" i="7" s="1"/>
  <c r="Q63" i="7"/>
  <c r="N63" i="7"/>
  <c r="V63" i="7" s="1"/>
  <c r="Q62" i="7"/>
  <c r="N62" i="7"/>
  <c r="V62" i="7" s="1"/>
  <c r="Q61" i="7"/>
  <c r="N61" i="7"/>
  <c r="V61" i="7" s="1"/>
  <c r="Q60" i="7"/>
  <c r="N60" i="7"/>
  <c r="V60" i="7" s="1"/>
  <c r="Q59" i="7"/>
  <c r="N59" i="7"/>
  <c r="V59" i="7" s="1"/>
  <c r="Q58" i="7"/>
  <c r="N58" i="7"/>
  <c r="V58" i="7" s="1"/>
  <c r="Q57" i="7"/>
  <c r="N57" i="7"/>
  <c r="V57" i="7" s="1"/>
  <c r="Q56" i="7"/>
  <c r="N56" i="7"/>
  <c r="V56" i="7" s="1"/>
  <c r="Q55" i="7"/>
  <c r="N55" i="7"/>
  <c r="V55" i="7" s="1"/>
  <c r="Q54" i="7"/>
  <c r="N54" i="7"/>
  <c r="V54" i="7" s="1"/>
  <c r="Q53" i="7"/>
  <c r="N53" i="7"/>
  <c r="V53" i="7" s="1"/>
  <c r="Q52" i="7"/>
  <c r="N52" i="7"/>
  <c r="V52" i="7" s="1"/>
  <c r="Q51" i="7"/>
  <c r="N51" i="7"/>
  <c r="V51" i="7" s="1"/>
  <c r="Q50" i="7"/>
  <c r="N50" i="7"/>
  <c r="V50" i="7" s="1"/>
  <c r="Q49" i="7"/>
  <c r="N49" i="7"/>
  <c r="V49" i="7" s="1"/>
  <c r="Q48" i="7"/>
  <c r="N48" i="7"/>
  <c r="V48" i="7" s="1"/>
  <c r="Q47" i="7"/>
  <c r="N47" i="7"/>
  <c r="V47" i="7" s="1"/>
  <c r="Q46" i="7"/>
  <c r="N46" i="7"/>
  <c r="V46" i="7" s="1"/>
  <c r="Q45" i="7"/>
  <c r="N45" i="7"/>
  <c r="V45" i="7" s="1"/>
  <c r="Q44" i="7"/>
  <c r="N44" i="7"/>
  <c r="V44" i="7" s="1"/>
  <c r="Q43" i="7"/>
  <c r="N43" i="7"/>
  <c r="V43" i="7" s="1"/>
  <c r="Q42" i="7"/>
  <c r="N42" i="7"/>
  <c r="V42" i="7" s="1"/>
  <c r="Q41" i="7"/>
  <c r="N41" i="7"/>
  <c r="V41" i="7" s="1"/>
  <c r="Q40" i="7"/>
  <c r="N40" i="7"/>
  <c r="V40" i="7" s="1"/>
  <c r="Q39" i="7"/>
  <c r="N39" i="7"/>
  <c r="V39" i="7" s="1"/>
  <c r="Q38" i="7"/>
  <c r="N38" i="7"/>
  <c r="V38" i="7" s="1"/>
  <c r="Q37" i="7"/>
  <c r="N37" i="7"/>
  <c r="V37" i="7" s="1"/>
  <c r="Q36" i="7"/>
  <c r="N36" i="7"/>
  <c r="V36" i="7" s="1"/>
  <c r="Q35" i="7"/>
  <c r="N35" i="7"/>
  <c r="V35" i="7" s="1"/>
  <c r="Q34" i="7"/>
  <c r="N34" i="7"/>
  <c r="V34" i="7" s="1"/>
  <c r="Q33" i="7"/>
  <c r="N33" i="7"/>
  <c r="V33" i="7" s="1"/>
  <c r="Q32" i="7"/>
  <c r="N32" i="7"/>
  <c r="V32" i="7" s="1"/>
  <c r="C21" i="7"/>
  <c r="C20" i="7"/>
  <c r="C18" i="7"/>
  <c r="C17" i="7"/>
  <c r="D87" i="7" s="1"/>
  <c r="F90" i="7" l="1"/>
  <c r="F82" i="7"/>
  <c r="F74" i="7"/>
  <c r="F66" i="7"/>
  <c r="F58" i="7"/>
  <c r="F50" i="7"/>
  <c r="F42" i="7"/>
  <c r="F34" i="7"/>
  <c r="F81" i="7"/>
  <c r="F65" i="7"/>
  <c r="F41" i="7"/>
  <c r="F80" i="7"/>
  <c r="F64" i="7"/>
  <c r="F56" i="7"/>
  <c r="F32" i="7"/>
  <c r="F79" i="7"/>
  <c r="F71" i="7"/>
  <c r="F55" i="7"/>
  <c r="F39" i="7"/>
  <c r="F78" i="7"/>
  <c r="F54" i="7"/>
  <c r="F38" i="7"/>
  <c r="F77" i="7"/>
  <c r="F69" i="7"/>
  <c r="F45" i="7"/>
  <c r="F84" i="7"/>
  <c r="F68" i="7"/>
  <c r="F52" i="7"/>
  <c r="F36" i="7"/>
  <c r="F89" i="7"/>
  <c r="F88" i="7"/>
  <c r="F83" i="7"/>
  <c r="F75" i="7"/>
  <c r="F67" i="7"/>
  <c r="F59" i="7"/>
  <c r="F51" i="7"/>
  <c r="F43" i="7"/>
  <c r="F35" i="7"/>
  <c r="F73" i="7"/>
  <c r="F57" i="7"/>
  <c r="F49" i="7"/>
  <c r="F33" i="7"/>
  <c r="F72" i="7"/>
  <c r="F48" i="7"/>
  <c r="F40" i="7"/>
  <c r="F87" i="7"/>
  <c r="F63" i="7"/>
  <c r="F47" i="7"/>
  <c r="F86" i="7"/>
  <c r="F70" i="7"/>
  <c r="F62" i="7"/>
  <c r="F46" i="7"/>
  <c r="F85" i="7"/>
  <c r="F61" i="7"/>
  <c r="F53" i="7"/>
  <c r="F37" i="7"/>
  <c r="F76" i="7"/>
  <c r="F60" i="7"/>
  <c r="F44" i="7"/>
  <c r="E85" i="7"/>
  <c r="E77" i="7"/>
  <c r="E69" i="7"/>
  <c r="E61" i="7"/>
  <c r="E53" i="7"/>
  <c r="E45" i="7"/>
  <c r="E37" i="7"/>
  <c r="E84" i="7"/>
  <c r="E68" i="7"/>
  <c r="E52" i="7"/>
  <c r="E36" i="7"/>
  <c r="E75" i="7"/>
  <c r="E59" i="7"/>
  <c r="E43" i="7"/>
  <c r="E82" i="7"/>
  <c r="E66" i="7"/>
  <c r="E50" i="7"/>
  <c r="E34" i="7"/>
  <c r="E81" i="7"/>
  <c r="E57" i="7"/>
  <c r="E41" i="7"/>
  <c r="E88" i="7"/>
  <c r="E72" i="7"/>
  <c r="E56" i="7"/>
  <c r="E40" i="7"/>
  <c r="E79" i="7"/>
  <c r="E63" i="7"/>
  <c r="E39" i="7"/>
  <c r="E55" i="7"/>
  <c r="E86" i="7"/>
  <c r="E78" i="7"/>
  <c r="E70" i="7"/>
  <c r="E62" i="7"/>
  <c r="E54" i="7"/>
  <c r="E46" i="7"/>
  <c r="E38" i="7"/>
  <c r="E76" i="7"/>
  <c r="E60" i="7"/>
  <c r="E44" i="7"/>
  <c r="E83" i="7"/>
  <c r="E67" i="7"/>
  <c r="E51" i="7"/>
  <c r="E35" i="7"/>
  <c r="E90" i="7"/>
  <c r="E74" i="7"/>
  <c r="E58" i="7"/>
  <c r="E42" i="7"/>
  <c r="E89" i="7"/>
  <c r="E73" i="7"/>
  <c r="E65" i="7"/>
  <c r="E49" i="7"/>
  <c r="E33" i="7"/>
  <c r="E80" i="7"/>
  <c r="E64" i="7"/>
  <c r="E48" i="7"/>
  <c r="E32" i="7"/>
  <c r="E87" i="7"/>
  <c r="E71" i="7"/>
  <c r="E47" i="7"/>
  <c r="D35" i="7"/>
  <c r="D43" i="7"/>
  <c r="D71" i="7"/>
  <c r="D84" i="7"/>
  <c r="D45" i="7"/>
  <c r="D50" i="7"/>
  <c r="D58" i="7"/>
  <c r="D66" i="7"/>
  <c r="D42" i="7"/>
  <c r="D59" i="7"/>
  <c r="D37" i="7"/>
  <c r="D53" i="7"/>
  <c r="D49" i="7"/>
  <c r="D32" i="7"/>
  <c r="D44" i="7"/>
  <c r="D51" i="7"/>
  <c r="C19" i="7"/>
  <c r="D34" i="7"/>
  <c r="D33" i="7"/>
  <c r="D41" i="7"/>
  <c r="D61" i="7"/>
  <c r="D36" i="7"/>
  <c r="D52" i="7"/>
  <c r="D60" i="7"/>
  <c r="D68" i="7"/>
  <c r="D67" i="7"/>
  <c r="D57" i="7"/>
  <c r="D65" i="7"/>
  <c r="D83" i="7"/>
  <c r="D40" i="7"/>
  <c r="D48" i="7"/>
  <c r="D56" i="7"/>
  <c r="D64" i="7"/>
  <c r="D70" i="7"/>
  <c r="D86" i="7"/>
  <c r="D39" i="7"/>
  <c r="D47" i="7"/>
  <c r="D55" i="7"/>
  <c r="D63" i="7"/>
  <c r="D38" i="7"/>
  <c r="D46" i="7"/>
  <c r="D54" i="7"/>
  <c r="D62" i="7"/>
  <c r="D69" i="7"/>
  <c r="D82" i="7"/>
  <c r="D85" i="7"/>
  <c r="D90" i="7"/>
  <c r="D74" i="7"/>
  <c r="D88" i="7"/>
  <c r="D75" i="7"/>
  <c r="D76" i="7"/>
  <c r="D77" i="7"/>
  <c r="D78" i="7"/>
  <c r="D79" i="7"/>
  <c r="D80" i="7"/>
  <c r="D81" i="7"/>
  <c r="D89" i="7"/>
  <c r="D73" i="7"/>
  <c r="D72" i="7"/>
</calcChain>
</file>

<file path=xl/sharedStrings.xml><?xml version="1.0" encoding="utf-8"?>
<sst xmlns="http://schemas.openxmlformats.org/spreadsheetml/2006/main" count="247" uniqueCount="93">
  <si>
    <t>Authors</t>
  </si>
  <si>
    <t>Title</t>
  </si>
  <si>
    <t>Year</t>
  </si>
  <si>
    <t>HEX characteristics</t>
  </si>
  <si>
    <t>Data type</t>
  </si>
  <si>
    <t>L</t>
  </si>
  <si>
    <t>m/s</t>
  </si>
  <si>
    <t>-</t>
  </si>
  <si>
    <t>m</t>
  </si>
  <si>
    <t>Configuration</t>
  </si>
  <si>
    <t>Water recirculation</t>
  </si>
  <si>
    <t>Run</t>
  </si>
  <si>
    <t>epsilon_wb</t>
  </si>
  <si>
    <t>Inlet conditions</t>
  </si>
  <si>
    <t>Outlet conditions</t>
  </si>
  <si>
    <t>HEX type</t>
  </si>
  <si>
    <t>Water injection type</t>
  </si>
  <si>
    <t>wf</t>
  </si>
  <si>
    <t>Geometry</t>
  </si>
  <si>
    <t>Length</t>
  </si>
  <si>
    <t>Height</t>
  </si>
  <si>
    <t>Paper information</t>
  </si>
  <si>
    <t>Operating conditions</t>
  </si>
  <si>
    <t>Water supplied</t>
  </si>
  <si>
    <t>Wall thickness</t>
  </si>
  <si>
    <t>Primary fluid velocity</t>
  </si>
  <si>
    <t>Secondary fluid velocity</t>
  </si>
  <si>
    <t>epsilon_dp</t>
  </si>
  <si>
    <t>kg/kg</t>
  </si>
  <si>
    <t>NA</t>
  </si>
  <si>
    <t>Testing conditions</t>
  </si>
  <si>
    <t>W</t>
  </si>
  <si>
    <t>h_ch</t>
  </si>
  <si>
    <t>Channel height</t>
  </si>
  <si>
    <t>Number of channels</t>
  </si>
  <si>
    <t>SPR</t>
  </si>
  <si>
    <t>Temperature</t>
  </si>
  <si>
    <t>pd</t>
  </si>
  <si>
    <t>sw</t>
  </si>
  <si>
    <t>Wall material</t>
  </si>
  <si>
    <t>Measurement uncertainties</t>
  </si>
  <si>
    <t>K</t>
  </si>
  <si>
    <t>Width</t>
  </si>
  <si>
    <t>Humidity</t>
  </si>
  <si>
    <t>%</t>
  </si>
  <si>
    <t>Air flow</t>
  </si>
  <si>
    <t>Secondary-to-Primary flow rate ratio</t>
  </si>
  <si>
    <t>kg/s</t>
  </si>
  <si>
    <t>Test</t>
  </si>
  <si>
    <t>T_pdi</t>
  </si>
  <si>
    <t>w_pdi</t>
  </si>
  <si>
    <t>v_pdi</t>
  </si>
  <si>
    <t>T_swi</t>
  </si>
  <si>
    <t>w_swi</t>
  </si>
  <si>
    <t>v_swi</t>
  </si>
  <si>
    <t>T_wfi</t>
  </si>
  <si>
    <t>m_dot_wf</t>
  </si>
  <si>
    <t>T_pdo</t>
  </si>
  <si>
    <t>w_pdo</t>
  </si>
  <si>
    <t>T_swo</t>
  </si>
  <si>
    <r>
      <t xml:space="preserve">De Antonellis </t>
    </r>
    <r>
      <rPr>
        <i/>
        <sz val="11"/>
        <color theme="1"/>
        <rFont val="Calibri"/>
        <family val="2"/>
        <scheme val="minor"/>
      </rPr>
      <t>et al.</t>
    </r>
  </si>
  <si>
    <t>Modeling and experimental study of an indirect evaporative cooler</t>
  </si>
  <si>
    <t>Experimental data, extracted from table and graphs</t>
  </si>
  <si>
    <t>IEC</t>
  </si>
  <si>
    <t>Yes</t>
  </si>
  <si>
    <t>T1</t>
  </si>
  <si>
    <t>Aluminium alloy</t>
  </si>
  <si>
    <t>T2</t>
  </si>
  <si>
    <t>Crossflow</t>
  </si>
  <si>
    <t>Parallel</t>
  </si>
  <si>
    <t>T3</t>
  </si>
  <si>
    <t>T4</t>
  </si>
  <si>
    <t>T5</t>
  </si>
  <si>
    <t>T6</t>
  </si>
  <si>
    <t>T10</t>
  </si>
  <si>
    <t>T11</t>
  </si>
  <si>
    <t>T12</t>
  </si>
  <si>
    <t>XPP</t>
  </si>
  <si>
    <t>Test number indicates similair operating conditions</t>
  </si>
  <si>
    <t>w_swo</t>
  </si>
  <si>
    <r>
      <rPr>
        <b/>
        <sz val="11"/>
        <color theme="1"/>
        <rFont val="Calibri"/>
        <family val="2"/>
        <scheme val="minor"/>
      </rPr>
      <t>NB:</t>
    </r>
    <r>
      <rPr>
        <sz val="11"/>
        <color theme="1"/>
        <rFont val="Calibri"/>
        <family val="2"/>
        <scheme val="minor"/>
      </rPr>
      <t xml:space="preserve"> For T10-12 the outlet conditions on secondary side are not avaiblable</t>
    </r>
  </si>
  <si>
    <t>Sprayed-water</t>
  </si>
  <si>
    <t>1.9-3.7</t>
  </si>
  <si>
    <t>1.9-5.7</t>
  </si>
  <si>
    <t>1-1.54</t>
  </si>
  <si>
    <t>0.008-0.02</t>
  </si>
  <si>
    <t>WWR</t>
  </si>
  <si>
    <t>Re</t>
  </si>
  <si>
    <t>Nu</t>
  </si>
  <si>
    <t>h_T_pd</t>
  </si>
  <si>
    <t>h_T_sw</t>
  </si>
  <si>
    <t>Description</t>
  </si>
  <si>
    <t>Experimental study of a crossflow IEC, consisting of a commercial 118-channel plate heat exchanger with water spray nozzles installed at the inlet of the secondary channels. Investigation of the effect of the secondary air inlet conditions and sprayed water flow rate on the performance of the heat exchanger. Measurement of the air conditions at the outlet of the secondary channel, implying the possibility of performing a model validation on the secondary side as 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</si>
</sst>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
    <numFmt numFmtId="166" formatCode="0.0"/>
    <numFmt numFmtId="167" formatCode="0.00000"/>
    <numFmt numFmtId="168" formatCode="0.000000"/>
  </numFmts>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67">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1" fillId="0" borderId="10" xfId="0" applyFont="1" applyBorder="1"/>
    <xf numFmtId="0" fontId="1" fillId="0" borderId="11" xfId="0" applyFont="1" applyBorder="1"/>
    <xf numFmtId="0" fontId="0" fillId="0" borderId="1" xfId="0" applyBorder="1"/>
    <xf numFmtId="0" fontId="1" fillId="0" borderId="6" xfId="0" applyFont="1" applyBorder="1"/>
    <xf numFmtId="0" fontId="1" fillId="0" borderId="14" xfId="0" applyFont="1" applyBorder="1"/>
    <xf numFmtId="2" fontId="0" fillId="0" borderId="0" xfId="0" applyNumberFormat="1"/>
    <xf numFmtId="0" fontId="0" fillId="0" borderId="10" xfId="0" applyBorder="1"/>
    <xf numFmtId="0" fontId="0" fillId="0" borderId="11" xfId="0" applyBorder="1"/>
    <xf numFmtId="0" fontId="1" fillId="0" borderId="4" xfId="0" applyFont="1" applyBorder="1"/>
    <xf numFmtId="0" fontId="1" fillId="0" borderId="12" xfId="0" applyFont="1" applyBorder="1"/>
    <xf numFmtId="0" fontId="1" fillId="0" borderId="13" xfId="0" applyFont="1" applyBorder="1"/>
    <xf numFmtId="164" fontId="0" fillId="0" borderId="0" xfId="0" applyNumberFormat="1"/>
    <xf numFmtId="164" fontId="0" fillId="0" borderId="7" xfId="0" applyNumberFormat="1" applyBorder="1"/>
    <xf numFmtId="164" fontId="0" fillId="0" borderId="2" xfId="0" applyNumberFormat="1" applyBorder="1"/>
    <xf numFmtId="0" fontId="0" fillId="0" borderId="0" xfId="0" quotePrefix="1"/>
    <xf numFmtId="0" fontId="1" fillId="0" borderId="4" xfId="0" applyFont="1" applyBorder="1" applyAlignment="1">
      <alignment wrapText="1"/>
    </xf>
    <xf numFmtId="0" fontId="0" fillId="0" borderId="5" xfId="0" applyBorder="1" applyAlignment="1">
      <alignment vertical="center"/>
    </xf>
    <xf numFmtId="0" fontId="1" fillId="0" borderId="7" xfId="0" applyFont="1" applyBorder="1"/>
    <xf numFmtId="165" fontId="0" fillId="0" borderId="0" xfId="0" applyNumberFormat="1"/>
    <xf numFmtId="166" fontId="0" fillId="0" borderId="0" xfId="0" applyNumberFormat="1"/>
    <xf numFmtId="166" fontId="0" fillId="0" borderId="2" xfId="0" applyNumberFormat="1" applyBorder="1"/>
    <xf numFmtId="166" fontId="0" fillId="0" borderId="1" xfId="0" applyNumberFormat="1" applyBorder="1"/>
    <xf numFmtId="166" fontId="0" fillId="0" borderId="4" xfId="0" applyNumberFormat="1" applyBorder="1"/>
    <xf numFmtId="166" fontId="0" fillId="0" borderId="6" xfId="0" applyNumberFormat="1" applyBorder="1"/>
    <xf numFmtId="1" fontId="0" fillId="0" borderId="0" xfId="0" applyNumberFormat="1"/>
    <xf numFmtId="2" fontId="0" fillId="0" borderId="3" xfId="0" applyNumberFormat="1" applyBorder="1"/>
    <xf numFmtId="2" fontId="0" fillId="0" borderId="5" xfId="0" applyNumberFormat="1" applyBorder="1"/>
    <xf numFmtId="0" fontId="0" fillId="0" borderId="1" xfId="0" applyBorder="1" applyAlignment="1">
      <alignment horizontal="right"/>
    </xf>
    <xf numFmtId="0" fontId="0" fillId="0" borderId="4" xfId="0" applyBorder="1" applyAlignment="1">
      <alignment horizontal="right"/>
    </xf>
    <xf numFmtId="0" fontId="0" fillId="0" borderId="4" xfId="0" applyBorder="1" applyAlignment="1">
      <alignment horizontal="right" vertical="center"/>
    </xf>
    <xf numFmtId="166" fontId="0" fillId="0" borderId="2" xfId="0" applyNumberFormat="1" applyBorder="1" applyAlignment="1">
      <alignment horizontal="right"/>
    </xf>
    <xf numFmtId="166" fontId="0" fillId="0" borderId="0" xfId="0" applyNumberFormat="1" applyAlignment="1">
      <alignment horizontal="right"/>
    </xf>
    <xf numFmtId="166" fontId="0" fillId="0" borderId="7" xfId="0" applyNumberFormat="1" applyBorder="1" applyAlignment="1">
      <alignment horizontal="right"/>
    </xf>
    <xf numFmtId="167" fontId="0" fillId="0" borderId="6" xfId="0" applyNumberFormat="1" applyBorder="1" applyAlignment="1">
      <alignment horizontal="right"/>
    </xf>
    <xf numFmtId="168" fontId="0" fillId="0" borderId="2" xfId="0" applyNumberFormat="1" applyBorder="1"/>
    <xf numFmtId="168" fontId="0" fillId="0" borderId="0" xfId="0" applyNumberFormat="1"/>
    <xf numFmtId="168" fontId="0" fillId="0" borderId="7" xfId="0" applyNumberFormat="1" applyBorder="1"/>
    <xf numFmtId="2" fontId="0" fillId="0" borderId="2" xfId="0" applyNumberFormat="1" applyBorder="1"/>
    <xf numFmtId="2" fontId="0" fillId="0" borderId="7" xfId="0" applyNumberFormat="1" applyBorder="1"/>
    <xf numFmtId="2" fontId="0" fillId="0" borderId="8" xfId="0" applyNumberFormat="1" applyBorder="1"/>
    <xf numFmtId="164" fontId="0" fillId="0" borderId="2" xfId="0" applyNumberFormat="1" applyBorder="1" applyAlignment="1">
      <alignment horizontal="right"/>
    </xf>
    <xf numFmtId="164" fontId="0" fillId="0" borderId="0" xfId="0" applyNumberFormat="1" applyAlignment="1">
      <alignment horizontal="right"/>
    </xf>
    <xf numFmtId="164" fontId="0" fillId="0" borderId="7" xfId="0" applyNumberFormat="1" applyBorder="1" applyAlignment="1">
      <alignment horizontal="right"/>
    </xf>
    <xf numFmtId="1" fontId="0" fillId="0" borderId="7" xfId="0" applyNumberFormat="1" applyBorder="1"/>
    <xf numFmtId="0" fontId="0" fillId="0" borderId="1"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0" xfId="0" applyAlignment="1">
      <alignment horizontal="left" vertical="top"/>
    </xf>
    <xf numFmtId="0" fontId="0" fillId="0" borderId="5" xfId="0" applyBorder="1" applyAlignment="1">
      <alignment horizontal="left" vertical="top"/>
    </xf>
    <xf numFmtId="0" fontId="1" fillId="0" borderId="14" xfId="0" applyFont="1" applyBorder="1" applyAlignment="1">
      <alignment horizontal="left" vertical="top"/>
    </xf>
    <xf numFmtId="0" fontId="0" fillId="0" borderId="9" xfId="0" applyBorder="1" applyAlignment="1">
      <alignment horizontal="center"/>
    </xf>
    <xf numFmtId="0" fontId="0" fillId="0" borderId="11" xfId="0" applyBorder="1"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340883</xdr:colOff>
      <xdr:row>3</xdr:row>
      <xdr:rowOff>49817</xdr:rowOff>
    </xdr:from>
    <xdr:to>
      <xdr:col>21</xdr:col>
      <xdr:colOff>538292</xdr:colOff>
      <xdr:row>26</xdr:row>
      <xdr:rowOff>256454</xdr:rowOff>
    </xdr:to>
    <xdr:pic>
      <xdr:nvPicPr>
        <xdr:cNvPr id="2" name="Image 1">
          <a:extLst>
            <a:ext uri="{FF2B5EF4-FFF2-40B4-BE49-F238E27FC236}">
              <a16:creationId xmlns:a16="http://schemas.microsoft.com/office/drawing/2014/main" id="{98393059-6138-4F99-AE63-F9AEC6C6B9B8}"/>
            </a:ext>
          </a:extLst>
        </xdr:cNvPr>
        <xdr:cNvPicPr>
          <a:picLocks noChangeAspect="1"/>
        </xdr:cNvPicPr>
      </xdr:nvPicPr>
      <xdr:blipFill>
        <a:blip xmlns:r="http://schemas.openxmlformats.org/officeDocument/2006/relationships" r:embed="rId1"/>
        <a:stretch>
          <a:fillRect/>
        </a:stretch>
      </xdr:blipFill>
      <xdr:spPr>
        <a:xfrm>
          <a:off x="10521203" y="613697"/>
          <a:ext cx="4700829" cy="508343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F39AE-1F4F-4168-9100-36AEBF8E31DD}">
  <dimension ref="B1:AA91"/>
  <sheetViews>
    <sheetView tabSelected="1" zoomScaleNormal="100" workbookViewId="0">
      <selection activeCell="W8" sqref="W8"/>
    </sheetView>
  </sheetViews>
  <sheetFormatPr defaultColWidth="8.88671875" defaultRowHeight="14.4" x14ac:dyDescent="0.3"/>
  <cols>
    <col min="1" max="1" width="2.6640625" customWidth="1"/>
    <col min="2" max="2" width="22.33203125" bestFit="1" customWidth="1"/>
    <col min="3" max="3" width="15.5546875" customWidth="1"/>
    <col min="6" max="6" width="13.33203125" bestFit="1" customWidth="1"/>
    <col min="7" max="7" width="11.33203125" customWidth="1"/>
    <col min="8" max="19" width="9.33203125" customWidth="1"/>
    <col min="20" max="20" width="9.6640625" bestFit="1" customWidth="1"/>
    <col min="21" max="24" width="9.33203125" customWidth="1"/>
    <col min="25" max="25" width="10.5546875" bestFit="1" customWidth="1"/>
    <col min="26" max="26" width="10.21875" bestFit="1" customWidth="1"/>
  </cols>
  <sheetData>
    <row r="1" spans="2:16" ht="15" thickBot="1" x14ac:dyDescent="0.35"/>
    <row r="2" spans="2:16" ht="15" thickBot="1" x14ac:dyDescent="0.35">
      <c r="B2" s="10" t="s">
        <v>21</v>
      </c>
      <c r="C2" s="11"/>
      <c r="D2" s="11"/>
      <c r="E2" s="11"/>
      <c r="F2" s="11"/>
      <c r="G2" s="11"/>
      <c r="H2" s="11"/>
      <c r="I2" s="11"/>
      <c r="J2" s="11"/>
      <c r="K2" s="11"/>
      <c r="L2" s="11"/>
      <c r="M2" s="11"/>
      <c r="N2" s="12"/>
    </row>
    <row r="3" spans="2:16" x14ac:dyDescent="0.3">
      <c r="B3" s="20" t="s">
        <v>0</v>
      </c>
      <c r="C3" s="55" t="s">
        <v>60</v>
      </c>
      <c r="D3" s="56"/>
      <c r="E3" s="56"/>
      <c r="F3" s="56"/>
      <c r="G3" s="56"/>
      <c r="H3" s="56"/>
      <c r="I3" s="56"/>
      <c r="J3" s="56"/>
      <c r="K3" s="56"/>
      <c r="L3" s="56"/>
      <c r="M3" s="56"/>
      <c r="N3" s="57"/>
    </row>
    <row r="4" spans="2:16" x14ac:dyDescent="0.3">
      <c r="B4" s="21" t="s">
        <v>1</v>
      </c>
      <c r="C4" s="58" t="s">
        <v>61</v>
      </c>
      <c r="D4" s="59"/>
      <c r="E4" s="59"/>
      <c r="F4" s="59"/>
      <c r="G4" s="59"/>
      <c r="H4" s="59"/>
      <c r="I4" s="59"/>
      <c r="J4" s="59"/>
      <c r="K4" s="59"/>
      <c r="L4" s="59"/>
      <c r="M4" s="59"/>
      <c r="N4" s="60"/>
    </row>
    <row r="5" spans="2:16" x14ac:dyDescent="0.3">
      <c r="B5" s="21" t="s">
        <v>2</v>
      </c>
      <c r="C5" s="58">
        <v>2017</v>
      </c>
      <c r="D5" s="59"/>
      <c r="E5" s="59"/>
      <c r="F5" s="59"/>
      <c r="G5" s="59"/>
      <c r="H5" s="59"/>
      <c r="I5" s="59"/>
      <c r="J5" s="59"/>
      <c r="K5" s="59"/>
      <c r="L5" s="59"/>
      <c r="M5" s="59"/>
      <c r="N5" s="60"/>
    </row>
    <row r="6" spans="2:16" x14ac:dyDescent="0.3">
      <c r="B6" s="21" t="s">
        <v>4</v>
      </c>
      <c r="C6" s="58" t="s">
        <v>62</v>
      </c>
      <c r="D6" s="59"/>
      <c r="E6" s="59"/>
      <c r="F6" s="59"/>
      <c r="G6" s="59"/>
      <c r="H6" s="59"/>
      <c r="I6" s="59"/>
      <c r="J6" s="59"/>
      <c r="K6" s="59"/>
      <c r="L6" s="59"/>
      <c r="M6" s="59"/>
      <c r="N6" s="60"/>
    </row>
    <row r="7" spans="2:16" ht="60" customHeight="1" thickBot="1" x14ac:dyDescent="0.35">
      <c r="B7" s="61" t="s">
        <v>91</v>
      </c>
      <c r="C7" s="64" t="s">
        <v>92</v>
      </c>
      <c r="D7" s="65"/>
      <c r="E7" s="65"/>
      <c r="F7" s="65"/>
      <c r="G7" s="65"/>
      <c r="H7" s="65"/>
      <c r="I7" s="65"/>
      <c r="J7" s="65"/>
      <c r="K7" s="65"/>
      <c r="L7" s="65"/>
      <c r="M7" s="65"/>
      <c r="N7" s="66"/>
    </row>
    <row r="8" spans="2:16" ht="15" thickBot="1" x14ac:dyDescent="0.35"/>
    <row r="9" spans="2:16" ht="15" thickBot="1" x14ac:dyDescent="0.35">
      <c r="B9" s="10" t="s">
        <v>3</v>
      </c>
      <c r="C9" s="18"/>
      <c r="E9" s="10" t="s">
        <v>9</v>
      </c>
      <c r="F9" s="17"/>
      <c r="G9" s="17"/>
      <c r="H9" s="17"/>
      <c r="I9" s="17"/>
      <c r="J9" s="18"/>
    </row>
    <row r="10" spans="2:16" ht="15" thickBot="1" x14ac:dyDescent="0.35">
      <c r="B10" s="20" t="s">
        <v>15</v>
      </c>
      <c r="C10" s="6" t="s">
        <v>63</v>
      </c>
      <c r="E10" s="10" t="s">
        <v>37</v>
      </c>
      <c r="F10" s="11" t="s">
        <v>17</v>
      </c>
      <c r="G10" s="10" t="s">
        <v>37</v>
      </c>
      <c r="H10" s="12" t="s">
        <v>38</v>
      </c>
      <c r="I10" s="11" t="s">
        <v>38</v>
      </c>
      <c r="J10" s="12" t="s">
        <v>17</v>
      </c>
    </row>
    <row r="11" spans="2:16" ht="15" thickBot="1" x14ac:dyDescent="0.35">
      <c r="B11" s="21" t="s">
        <v>16</v>
      </c>
      <c r="C11" s="6" t="s">
        <v>81</v>
      </c>
      <c r="E11" s="62" t="s">
        <v>68</v>
      </c>
      <c r="F11" s="63"/>
      <c r="G11" s="62" t="s">
        <v>68</v>
      </c>
      <c r="H11" s="63"/>
      <c r="I11" s="62" t="s">
        <v>69</v>
      </c>
      <c r="J11" s="63"/>
    </row>
    <row r="12" spans="2:16" x14ac:dyDescent="0.3">
      <c r="B12" s="21" t="s">
        <v>10</v>
      </c>
      <c r="C12" s="6" t="s">
        <v>64</v>
      </c>
    </row>
    <row r="13" spans="2:16" x14ac:dyDescent="0.3">
      <c r="B13" s="21" t="s">
        <v>39</v>
      </c>
      <c r="C13" s="6" t="s">
        <v>66</v>
      </c>
    </row>
    <row r="14" spans="2:16" ht="15" thickBot="1" x14ac:dyDescent="0.35">
      <c r="B14" s="15" t="s">
        <v>9</v>
      </c>
      <c r="C14" s="9" t="s">
        <v>77</v>
      </c>
    </row>
    <row r="15" spans="2:16" ht="15" thickBot="1" x14ac:dyDescent="0.35">
      <c r="B15" s="1"/>
    </row>
    <row r="16" spans="2:16" ht="15" thickBot="1" x14ac:dyDescent="0.35">
      <c r="B16" s="10" t="s">
        <v>18</v>
      </c>
      <c r="C16" s="17"/>
      <c r="D16" s="18"/>
      <c r="F16" s="10" t="s">
        <v>40</v>
      </c>
      <c r="G16" s="17"/>
      <c r="H16" s="18"/>
      <c r="P16" s="16"/>
    </row>
    <row r="17" spans="2:27" x14ac:dyDescent="0.3">
      <c r="B17" s="20" t="s">
        <v>19</v>
      </c>
      <c r="C17" s="3">
        <f>0.47</f>
        <v>0.47</v>
      </c>
      <c r="D17" s="4" t="s">
        <v>8</v>
      </c>
      <c r="F17" s="20" t="s">
        <v>36</v>
      </c>
      <c r="G17" s="25">
        <v>0.2</v>
      </c>
      <c r="H17" s="6" t="s">
        <v>41</v>
      </c>
      <c r="P17" s="29"/>
    </row>
    <row r="18" spans="2:27" x14ac:dyDescent="0.3">
      <c r="B18" s="21" t="s">
        <v>42</v>
      </c>
      <c r="C18">
        <f>0.47</f>
        <v>0.47</v>
      </c>
      <c r="D18" s="6" t="s">
        <v>8</v>
      </c>
      <c r="F18" s="21" t="s">
        <v>43</v>
      </c>
      <c r="G18" s="30">
        <v>3.583199356913183</v>
      </c>
      <c r="H18" s="6" t="s">
        <v>44</v>
      </c>
    </row>
    <row r="19" spans="2:27" ht="15" thickBot="1" x14ac:dyDescent="0.35">
      <c r="B19" s="21" t="s">
        <v>20</v>
      </c>
      <c r="C19">
        <f>C22*C20+(C22-1)*C21</f>
        <v>0.39516000000000001</v>
      </c>
      <c r="D19" s="6" t="s">
        <v>8</v>
      </c>
      <c r="F19" s="15" t="s">
        <v>45</v>
      </c>
      <c r="G19" s="8">
        <v>0.5</v>
      </c>
      <c r="H19" s="9" t="s">
        <v>44</v>
      </c>
      <c r="I19" s="25"/>
    </row>
    <row r="20" spans="2:27" x14ac:dyDescent="0.3">
      <c r="B20" s="21" t="s">
        <v>33</v>
      </c>
      <c r="C20">
        <f>0.00321</f>
        <v>3.2100000000000002E-3</v>
      </c>
      <c r="D20" s="6" t="s">
        <v>8</v>
      </c>
    </row>
    <row r="21" spans="2:27" x14ac:dyDescent="0.3">
      <c r="B21" s="21" t="s">
        <v>24</v>
      </c>
      <c r="C21">
        <f>0.00014</f>
        <v>1.3999999999999999E-4</v>
      </c>
      <c r="D21" s="6" t="s">
        <v>8</v>
      </c>
    </row>
    <row r="22" spans="2:27" ht="15" thickBot="1" x14ac:dyDescent="0.35">
      <c r="B22" s="15" t="s">
        <v>34</v>
      </c>
      <c r="C22" s="8">
        <f>118</f>
        <v>118</v>
      </c>
      <c r="D22" s="9" t="s">
        <v>7</v>
      </c>
    </row>
    <row r="23" spans="2:27" ht="15" thickBot="1" x14ac:dyDescent="0.35">
      <c r="B23" s="1"/>
    </row>
    <row r="24" spans="2:27" ht="15" thickBot="1" x14ac:dyDescent="0.35">
      <c r="B24" s="2" t="s">
        <v>22</v>
      </c>
      <c r="C24" s="3"/>
      <c r="D24" s="4"/>
      <c r="F24" s="10" t="s">
        <v>48</v>
      </c>
      <c r="G24" s="17"/>
      <c r="H24" s="17"/>
      <c r="I24" s="17"/>
      <c r="J24" s="17"/>
      <c r="K24" s="17"/>
      <c r="L24" s="18"/>
    </row>
    <row r="25" spans="2:27" x14ac:dyDescent="0.3">
      <c r="B25" s="2" t="s">
        <v>25</v>
      </c>
      <c r="C25" s="38" t="s">
        <v>82</v>
      </c>
      <c r="D25" s="4" t="s">
        <v>6</v>
      </c>
      <c r="F25" s="5" t="s">
        <v>78</v>
      </c>
      <c r="L25" s="6"/>
    </row>
    <row r="26" spans="2:27" ht="15" thickBot="1" x14ac:dyDescent="0.35">
      <c r="B26" s="19" t="s">
        <v>26</v>
      </c>
      <c r="C26" s="39" t="s">
        <v>83</v>
      </c>
      <c r="D26" s="6" t="s">
        <v>6</v>
      </c>
      <c r="F26" s="7" t="s">
        <v>80</v>
      </c>
      <c r="G26" s="8"/>
      <c r="H26" s="8"/>
      <c r="I26" s="8"/>
      <c r="J26" s="8"/>
      <c r="K26" s="8"/>
      <c r="L26" s="9"/>
    </row>
    <row r="27" spans="2:27" ht="28.8" x14ac:dyDescent="0.3">
      <c r="B27" s="26" t="s">
        <v>46</v>
      </c>
      <c r="C27" s="40" t="s">
        <v>84</v>
      </c>
      <c r="D27" s="27" t="s">
        <v>28</v>
      </c>
    </row>
    <row r="28" spans="2:27" ht="15" thickBot="1" x14ac:dyDescent="0.35">
      <c r="B28" s="14" t="s">
        <v>23</v>
      </c>
      <c r="C28" s="44" t="s">
        <v>85</v>
      </c>
      <c r="D28" s="9" t="s">
        <v>47</v>
      </c>
      <c r="F28" s="16"/>
      <c r="G28" s="16"/>
      <c r="H28" s="16"/>
      <c r="I28" s="16"/>
      <c r="J28" s="16"/>
      <c r="K28" s="16"/>
      <c r="L28" s="16"/>
      <c r="M28" s="16"/>
      <c r="X28" s="16"/>
      <c r="Y28" s="16"/>
    </row>
    <row r="29" spans="2:27" ht="15" thickBot="1" x14ac:dyDescent="0.35">
      <c r="B29" s="1"/>
    </row>
    <row r="30" spans="2:27" ht="15" thickBot="1" x14ac:dyDescent="0.35">
      <c r="B30" s="2"/>
      <c r="C30" s="10" t="s">
        <v>30</v>
      </c>
      <c r="D30" s="11"/>
      <c r="E30" s="11"/>
      <c r="F30" s="11"/>
      <c r="G30" s="11"/>
      <c r="H30" s="11"/>
      <c r="I30" s="11"/>
      <c r="J30" s="11"/>
      <c r="K30" s="11"/>
      <c r="L30" s="12"/>
      <c r="M30" s="10" t="s">
        <v>13</v>
      </c>
      <c r="N30" s="11"/>
      <c r="O30" s="11"/>
      <c r="P30" s="11"/>
      <c r="Q30" s="11"/>
      <c r="R30" s="11"/>
      <c r="S30" s="11"/>
      <c r="T30" s="12"/>
      <c r="U30" s="12" t="s">
        <v>14</v>
      </c>
      <c r="V30" s="3"/>
      <c r="W30" s="3"/>
      <c r="X30" s="17"/>
      <c r="Y30" s="3"/>
      <c r="Z30" s="4"/>
    </row>
    <row r="31" spans="2:27" ht="15" thickBot="1" x14ac:dyDescent="0.35">
      <c r="B31" s="14" t="s">
        <v>11</v>
      </c>
      <c r="C31" s="10" t="s">
        <v>48</v>
      </c>
      <c r="D31" s="11" t="s">
        <v>5</v>
      </c>
      <c r="E31" s="11" t="s">
        <v>32</v>
      </c>
      <c r="F31" s="11" t="s">
        <v>31</v>
      </c>
      <c r="G31" s="11" t="s">
        <v>86</v>
      </c>
      <c r="H31" s="11" t="s">
        <v>35</v>
      </c>
      <c r="I31" s="11" t="s">
        <v>87</v>
      </c>
      <c r="J31" s="11" t="s">
        <v>88</v>
      </c>
      <c r="K31" s="11" t="s">
        <v>89</v>
      </c>
      <c r="L31" s="12" t="s">
        <v>90</v>
      </c>
      <c r="M31" s="10" t="s">
        <v>49</v>
      </c>
      <c r="N31" s="11" t="s">
        <v>50</v>
      </c>
      <c r="O31" s="28" t="s">
        <v>51</v>
      </c>
      <c r="P31" s="11" t="s">
        <v>52</v>
      </c>
      <c r="Q31" s="11" t="s">
        <v>53</v>
      </c>
      <c r="R31" s="28" t="s">
        <v>54</v>
      </c>
      <c r="S31" s="28" t="s">
        <v>55</v>
      </c>
      <c r="T31" s="28" t="s">
        <v>56</v>
      </c>
      <c r="U31" s="10" t="s">
        <v>57</v>
      </c>
      <c r="V31" s="11" t="s">
        <v>58</v>
      </c>
      <c r="W31" s="11" t="s">
        <v>59</v>
      </c>
      <c r="X31" s="11" t="s">
        <v>79</v>
      </c>
      <c r="Y31" s="11" t="s">
        <v>12</v>
      </c>
      <c r="Z31" s="12" t="s">
        <v>27</v>
      </c>
    </row>
    <row r="32" spans="2:27" x14ac:dyDescent="0.3">
      <c r="B32" s="5">
        <v>1</v>
      </c>
      <c r="C32" s="5" t="s">
        <v>65</v>
      </c>
      <c r="D32">
        <f>$C$17</f>
        <v>0.47</v>
      </c>
      <c r="E32">
        <f>$C$20</f>
        <v>3.2100000000000002E-3</v>
      </c>
      <c r="F32" s="3">
        <f>$C$18</f>
        <v>0.47</v>
      </c>
      <c r="G32" s="3">
        <v>1</v>
      </c>
      <c r="H32">
        <v>1</v>
      </c>
      <c r="I32" s="35">
        <v>1469.155322245</v>
      </c>
      <c r="J32">
        <v>7.54</v>
      </c>
      <c r="K32" s="16">
        <v>59.322117515109703</v>
      </c>
      <c r="L32" s="37">
        <v>59.322117515109703</v>
      </c>
      <c r="M32" s="13">
        <v>35</v>
      </c>
      <c r="N32" s="3">
        <f>10*0.001</f>
        <v>0.01</v>
      </c>
      <c r="O32" s="3">
        <v>3.7</v>
      </c>
      <c r="P32" s="3">
        <v>30</v>
      </c>
      <c r="Q32" s="24">
        <f>0.0106</f>
        <v>1.06E-2</v>
      </c>
      <c r="R32" s="31">
        <v>3.7</v>
      </c>
      <c r="S32" s="41" t="s">
        <v>29</v>
      </c>
      <c r="T32" s="45">
        <v>1.4446126327180494E-4</v>
      </c>
      <c r="U32" s="32">
        <v>23.902492396952802</v>
      </c>
      <c r="V32" s="24">
        <f>N32</f>
        <v>0.01</v>
      </c>
      <c r="W32" s="41">
        <v>26.50568181818182</v>
      </c>
      <c r="X32" s="51">
        <v>1.6508975979772432E-2</v>
      </c>
      <c r="Y32" s="48">
        <v>0.79835707882464502</v>
      </c>
      <c r="Z32" s="36">
        <v>0.52806395680496299</v>
      </c>
      <c r="AA32" s="22"/>
    </row>
    <row r="33" spans="2:26" x14ac:dyDescent="0.3">
      <c r="B33" s="5">
        <v>2</v>
      </c>
      <c r="C33" s="5" t="s">
        <v>65</v>
      </c>
      <c r="D33">
        <f t="shared" ref="D33:D90" si="0">$C$17</f>
        <v>0.47</v>
      </c>
      <c r="E33">
        <f t="shared" ref="E33:E90" si="1">$C$20</f>
        <v>3.2100000000000002E-3</v>
      </c>
      <c r="F33">
        <f t="shared" ref="F33:F90" si="2">$C$18</f>
        <v>0.47</v>
      </c>
      <c r="G33">
        <v>1</v>
      </c>
      <c r="H33">
        <v>1</v>
      </c>
      <c r="I33" s="35">
        <v>1468.83854236615</v>
      </c>
      <c r="J33">
        <v>7.54</v>
      </c>
      <c r="K33" s="16">
        <v>59.316120386992701</v>
      </c>
      <c r="L33" s="37">
        <v>59.316120386992701</v>
      </c>
      <c r="M33" s="5">
        <v>35</v>
      </c>
      <c r="N33">
        <f t="shared" ref="N33:N90" si="3">10*0.001</f>
        <v>0.01</v>
      </c>
      <c r="O33">
        <v>3.7</v>
      </c>
      <c r="P33">
        <v>30</v>
      </c>
      <c r="Q33" s="22">
        <f t="shared" ref="Q33:Q45" si="4">0.0106</f>
        <v>1.06E-2</v>
      </c>
      <c r="R33" s="30">
        <v>3.7</v>
      </c>
      <c r="S33" s="42" t="s">
        <v>29</v>
      </c>
      <c r="T33" s="46">
        <v>1.6027001178968512E-4</v>
      </c>
      <c r="U33" s="33">
        <v>23.9761972624515</v>
      </c>
      <c r="V33" s="22">
        <f t="shared" ref="V33:V90" si="5">N33</f>
        <v>0.01</v>
      </c>
      <c r="W33" s="42">
        <v>26.10227272727273</v>
      </c>
      <c r="X33" s="52">
        <v>1.675549936788874E-2</v>
      </c>
      <c r="Y33" s="16">
        <v>0.79116467270910695</v>
      </c>
      <c r="Z33" s="37">
        <v>0.52330662386077498</v>
      </c>
    </row>
    <row r="34" spans="2:26" x14ac:dyDescent="0.3">
      <c r="B34" s="5">
        <v>3</v>
      </c>
      <c r="C34" s="5" t="s">
        <v>65</v>
      </c>
      <c r="D34">
        <f t="shared" si="0"/>
        <v>0.47</v>
      </c>
      <c r="E34">
        <f t="shared" si="1"/>
        <v>3.2100000000000002E-3</v>
      </c>
      <c r="F34">
        <f t="shared" si="2"/>
        <v>0.47</v>
      </c>
      <c r="G34">
        <v>1</v>
      </c>
      <c r="H34">
        <v>1</v>
      </c>
      <c r="I34" s="35">
        <v>1469.51167663103</v>
      </c>
      <c r="J34">
        <v>7.54</v>
      </c>
      <c r="K34" s="16">
        <v>59.328862991233301</v>
      </c>
      <c r="L34" s="37">
        <v>59.328862991233301</v>
      </c>
      <c r="M34" s="5">
        <v>35</v>
      </c>
      <c r="N34">
        <f t="shared" si="3"/>
        <v>0.01</v>
      </c>
      <c r="O34">
        <v>3.7</v>
      </c>
      <c r="P34">
        <v>30</v>
      </c>
      <c r="Q34" s="22">
        <f t="shared" si="4"/>
        <v>1.06E-2</v>
      </c>
      <c r="R34" s="30">
        <v>3.7</v>
      </c>
      <c r="S34" s="42" t="s">
        <v>29</v>
      </c>
      <c r="T34" s="46">
        <v>1.7899000990631022E-4</v>
      </c>
      <c r="U34" s="33">
        <v>23.819610482788597</v>
      </c>
      <c r="V34" s="22">
        <f t="shared" si="5"/>
        <v>0.01</v>
      </c>
      <c r="W34" s="42">
        <v>25.92613636363637</v>
      </c>
      <c r="X34" s="52">
        <v>1.6744121365360302E-2</v>
      </c>
      <c r="Y34" s="16">
        <v>0.80554948494018197</v>
      </c>
      <c r="Z34" s="37">
        <v>0.53282128974915199</v>
      </c>
    </row>
    <row r="35" spans="2:26" x14ac:dyDescent="0.3">
      <c r="B35" s="5">
        <v>4</v>
      </c>
      <c r="C35" s="5" t="s">
        <v>65</v>
      </c>
      <c r="D35">
        <f t="shared" si="0"/>
        <v>0.47</v>
      </c>
      <c r="E35">
        <f t="shared" si="1"/>
        <v>3.2100000000000002E-3</v>
      </c>
      <c r="F35">
        <f t="shared" si="2"/>
        <v>0.47</v>
      </c>
      <c r="G35">
        <v>1</v>
      </c>
      <c r="H35">
        <v>1</v>
      </c>
      <c r="I35" s="35">
        <v>1471.44780979199</v>
      </c>
      <c r="J35">
        <v>7.54</v>
      </c>
      <c r="K35" s="16">
        <v>59.365496369751099</v>
      </c>
      <c r="L35" s="37">
        <v>59.365496369751099</v>
      </c>
      <c r="M35" s="5">
        <v>35</v>
      </c>
      <c r="N35">
        <f t="shared" si="3"/>
        <v>0.01</v>
      </c>
      <c r="O35">
        <v>3.7</v>
      </c>
      <c r="P35">
        <v>30</v>
      </c>
      <c r="Q35" s="22">
        <f t="shared" si="4"/>
        <v>1.06E-2</v>
      </c>
      <c r="R35" s="30">
        <v>3.7</v>
      </c>
      <c r="S35" s="42" t="s">
        <v>29</v>
      </c>
      <c r="T35" s="46">
        <v>1.9913279755331924E-4</v>
      </c>
      <c r="U35" s="33">
        <v>23.369866565159899</v>
      </c>
      <c r="V35" s="22">
        <f t="shared" si="5"/>
        <v>0.01</v>
      </c>
      <c r="W35" s="42">
        <v>25.88636363636364</v>
      </c>
      <c r="X35" s="52">
        <v>1.6793426042983561E-2</v>
      </c>
      <c r="Y35" s="16">
        <v>0.83431910940233101</v>
      </c>
      <c r="Z35" s="37">
        <v>0.55185062152590802</v>
      </c>
    </row>
    <row r="36" spans="2:26" x14ac:dyDescent="0.3">
      <c r="B36" s="5">
        <v>5</v>
      </c>
      <c r="C36" s="5" t="s">
        <v>65</v>
      </c>
      <c r="D36">
        <f t="shared" si="0"/>
        <v>0.47</v>
      </c>
      <c r="E36">
        <f t="shared" si="1"/>
        <v>3.2100000000000002E-3</v>
      </c>
      <c r="F36">
        <f t="shared" si="2"/>
        <v>0.47</v>
      </c>
      <c r="G36">
        <v>1</v>
      </c>
      <c r="H36">
        <v>1</v>
      </c>
      <c r="I36" s="35">
        <v>1470.2729996211599</v>
      </c>
      <c r="J36">
        <v>7.54</v>
      </c>
      <c r="K36" s="16">
        <v>59.3432711116129</v>
      </c>
      <c r="L36" s="37">
        <v>59.3432711116129</v>
      </c>
      <c r="M36" s="5">
        <v>35</v>
      </c>
      <c r="N36">
        <f t="shared" si="3"/>
        <v>0.01</v>
      </c>
      <c r="O36">
        <v>3.7</v>
      </c>
      <c r="P36">
        <v>30</v>
      </c>
      <c r="Q36" s="22">
        <f t="shared" si="4"/>
        <v>1.06E-2</v>
      </c>
      <c r="R36" s="30">
        <v>3.7</v>
      </c>
      <c r="S36" s="42" t="s">
        <v>29</v>
      </c>
      <c r="T36" s="46">
        <v>2.1977898719902599E-4</v>
      </c>
      <c r="U36" s="33">
        <v>23.642648678787101</v>
      </c>
      <c r="V36" s="22">
        <f t="shared" si="5"/>
        <v>0.01</v>
      </c>
      <c r="W36" s="42">
        <v>25.44886363636364</v>
      </c>
      <c r="X36" s="52">
        <v>1.7115802781289498E-2</v>
      </c>
      <c r="Y36" s="16">
        <v>0.81993429717125599</v>
      </c>
      <c r="Z36" s="37">
        <v>0.54233595563753001</v>
      </c>
    </row>
    <row r="37" spans="2:26" x14ac:dyDescent="0.3">
      <c r="B37" s="5">
        <v>6</v>
      </c>
      <c r="C37" s="5" t="s">
        <v>65</v>
      </c>
      <c r="D37">
        <f t="shared" si="0"/>
        <v>0.47</v>
      </c>
      <c r="E37">
        <f t="shared" si="1"/>
        <v>3.2100000000000002E-3</v>
      </c>
      <c r="F37">
        <f t="shared" si="2"/>
        <v>0.47</v>
      </c>
      <c r="G37">
        <v>1</v>
      </c>
      <c r="H37">
        <v>1</v>
      </c>
      <c r="I37" s="35">
        <v>1471.12740130868</v>
      </c>
      <c r="J37">
        <v>7.54</v>
      </c>
      <c r="K37" s="16">
        <v>59.359435808640598</v>
      </c>
      <c r="L37" s="37">
        <v>59.359435808640598</v>
      </c>
      <c r="M37" s="5">
        <v>35</v>
      </c>
      <c r="N37">
        <f t="shared" si="3"/>
        <v>0.01</v>
      </c>
      <c r="O37">
        <v>3.7</v>
      </c>
      <c r="P37">
        <v>30</v>
      </c>
      <c r="Q37" s="22">
        <f t="shared" si="4"/>
        <v>1.06E-2</v>
      </c>
      <c r="R37" s="30">
        <v>3.7</v>
      </c>
      <c r="S37" s="42" t="s">
        <v>29</v>
      </c>
      <c r="T37" s="46">
        <v>2.4048230047578984E-4</v>
      </c>
      <c r="U37" s="33">
        <v>23.4442280725569</v>
      </c>
      <c r="V37" s="22">
        <f t="shared" si="5"/>
        <v>0.01</v>
      </c>
      <c r="W37" s="42">
        <v>25.32954545454546</v>
      </c>
      <c r="X37" s="52">
        <v>1.712338811630847E-2</v>
      </c>
      <c r="Y37" s="16">
        <v>0.83431910940233101</v>
      </c>
      <c r="Z37" s="37">
        <v>0.55185062152590802</v>
      </c>
    </row>
    <row r="38" spans="2:26" x14ac:dyDescent="0.3">
      <c r="B38" s="5">
        <v>7</v>
      </c>
      <c r="C38" s="5" t="s">
        <v>65</v>
      </c>
      <c r="D38">
        <f t="shared" si="0"/>
        <v>0.47</v>
      </c>
      <c r="E38">
        <f t="shared" si="1"/>
        <v>3.2100000000000002E-3</v>
      </c>
      <c r="F38">
        <f t="shared" si="2"/>
        <v>0.47</v>
      </c>
      <c r="G38">
        <v>1</v>
      </c>
      <c r="H38">
        <v>1</v>
      </c>
      <c r="I38" s="35">
        <v>1472.2233634649399</v>
      </c>
      <c r="J38">
        <v>7.54</v>
      </c>
      <c r="K38" s="16">
        <v>59.3801630085432</v>
      </c>
      <c r="L38" s="37">
        <v>59.3801630085432</v>
      </c>
      <c r="M38" s="5">
        <v>35</v>
      </c>
      <c r="N38">
        <f t="shared" si="3"/>
        <v>0.01</v>
      </c>
      <c r="O38">
        <v>3.7</v>
      </c>
      <c r="P38">
        <v>30</v>
      </c>
      <c r="Q38" s="22">
        <f t="shared" si="4"/>
        <v>1.06E-2</v>
      </c>
      <c r="R38" s="30">
        <v>3.7</v>
      </c>
      <c r="S38" s="42" t="s">
        <v>29</v>
      </c>
      <c r="T38" s="46">
        <v>2.6199093433661587E-4</v>
      </c>
      <c r="U38" s="33">
        <v>23.189981748436601</v>
      </c>
      <c r="V38" s="22">
        <f t="shared" si="5"/>
        <v>0.01</v>
      </c>
      <c r="W38" s="42">
        <v>25.13636363636364</v>
      </c>
      <c r="X38" s="52">
        <v>1.7168900126422248E-2</v>
      </c>
      <c r="Y38" s="16">
        <v>0.84870392163340602</v>
      </c>
      <c r="Z38" s="37">
        <v>0.56136528741428604</v>
      </c>
    </row>
    <row r="39" spans="2:26" x14ac:dyDescent="0.3">
      <c r="B39" s="5">
        <v>8</v>
      </c>
      <c r="C39" s="5" t="s">
        <v>67</v>
      </c>
      <c r="D39">
        <f t="shared" si="0"/>
        <v>0.47</v>
      </c>
      <c r="E39">
        <f t="shared" si="1"/>
        <v>3.2100000000000002E-3</v>
      </c>
      <c r="F39">
        <f t="shared" si="2"/>
        <v>0.47</v>
      </c>
      <c r="G39">
        <v>1</v>
      </c>
      <c r="H39">
        <v>1.5405405405405406</v>
      </c>
      <c r="I39" s="35">
        <v>1468.3603452521199</v>
      </c>
      <c r="J39">
        <v>7.54</v>
      </c>
      <c r="K39" s="16">
        <v>59.307066016878601</v>
      </c>
      <c r="L39" s="37">
        <v>88.566015308904696</v>
      </c>
      <c r="M39" s="5">
        <v>35</v>
      </c>
      <c r="N39">
        <f t="shared" si="3"/>
        <v>0.01</v>
      </c>
      <c r="O39">
        <v>3.7</v>
      </c>
      <c r="P39">
        <v>30</v>
      </c>
      <c r="Q39" s="22">
        <f t="shared" si="4"/>
        <v>1.06E-2</v>
      </c>
      <c r="R39" s="30">
        <v>5.7</v>
      </c>
      <c r="S39" s="42" t="s">
        <v>29</v>
      </c>
      <c r="T39" s="46">
        <v>1.453930564405385E-4</v>
      </c>
      <c r="U39" s="33">
        <v>24.0875076269541</v>
      </c>
      <c r="V39" s="22">
        <f t="shared" si="5"/>
        <v>0.01</v>
      </c>
      <c r="W39" s="42">
        <v>25.30113636363637</v>
      </c>
      <c r="X39" s="52">
        <v>1.512465233881163E-2</v>
      </c>
      <c r="Y39" s="16">
        <v>0.78397226659357</v>
      </c>
      <c r="Z39" s="37">
        <v>0.51854929091658597</v>
      </c>
    </row>
    <row r="40" spans="2:26" x14ac:dyDescent="0.3">
      <c r="B40" s="5">
        <v>9</v>
      </c>
      <c r="C40" s="5" t="s">
        <v>67</v>
      </c>
      <c r="D40">
        <f t="shared" si="0"/>
        <v>0.47</v>
      </c>
      <c r="E40">
        <f t="shared" si="1"/>
        <v>3.2100000000000002E-3</v>
      </c>
      <c r="F40">
        <f t="shared" si="2"/>
        <v>0.47</v>
      </c>
      <c r="G40">
        <v>1</v>
      </c>
      <c r="H40">
        <v>1.5405405405405406</v>
      </c>
      <c r="I40" s="35">
        <v>1469.3035744010299</v>
      </c>
      <c r="J40">
        <v>7.54</v>
      </c>
      <c r="K40" s="16">
        <v>59.324923912605101</v>
      </c>
      <c r="L40" s="37">
        <v>88.592683339757002</v>
      </c>
      <c r="M40" s="5">
        <v>35</v>
      </c>
      <c r="N40">
        <f t="shared" si="3"/>
        <v>0.01</v>
      </c>
      <c r="O40">
        <v>3.7</v>
      </c>
      <c r="P40">
        <v>30</v>
      </c>
      <c r="Q40" s="22">
        <f t="shared" si="4"/>
        <v>1.06E-2</v>
      </c>
      <c r="R40" s="30">
        <v>5.7</v>
      </c>
      <c r="S40" s="42" t="s">
        <v>29</v>
      </c>
      <c r="T40" s="46">
        <v>1.6076483081856537E-4</v>
      </c>
      <c r="U40" s="33">
        <v>23.868007540756601</v>
      </c>
      <c r="V40" s="22">
        <f t="shared" si="5"/>
        <v>0.01</v>
      </c>
      <c r="W40" s="42">
        <v>25.08522727272728</v>
      </c>
      <c r="X40" s="52">
        <v>1.5325663716814149E-2</v>
      </c>
      <c r="Y40" s="16">
        <v>0.79835707882464502</v>
      </c>
      <c r="Z40" s="37">
        <v>0.52806395680496299</v>
      </c>
    </row>
    <row r="41" spans="2:26" x14ac:dyDescent="0.3">
      <c r="B41" s="5">
        <v>10</v>
      </c>
      <c r="C41" s="5" t="s">
        <v>67</v>
      </c>
      <c r="D41">
        <f t="shared" si="0"/>
        <v>0.47</v>
      </c>
      <c r="E41">
        <f t="shared" si="1"/>
        <v>3.2100000000000002E-3</v>
      </c>
      <c r="F41">
        <f t="shared" si="2"/>
        <v>0.47</v>
      </c>
      <c r="G41">
        <v>1</v>
      </c>
      <c r="H41">
        <v>1.5405405405405406</v>
      </c>
      <c r="I41" s="35">
        <v>1471.1341026560899</v>
      </c>
      <c r="J41">
        <v>7.54</v>
      </c>
      <c r="K41" s="16">
        <v>59.359562574089601</v>
      </c>
      <c r="L41" s="37">
        <v>88.644410872905397</v>
      </c>
      <c r="M41" s="5">
        <v>35</v>
      </c>
      <c r="N41">
        <f t="shared" si="3"/>
        <v>0.01</v>
      </c>
      <c r="O41">
        <v>3.7</v>
      </c>
      <c r="P41">
        <v>30</v>
      </c>
      <c r="Q41" s="22">
        <f t="shared" si="4"/>
        <v>1.06E-2</v>
      </c>
      <c r="R41" s="30">
        <v>5.7</v>
      </c>
      <c r="S41" s="42" t="s">
        <v>29</v>
      </c>
      <c r="T41" s="46">
        <v>1.7997798907074374E-4</v>
      </c>
      <c r="U41" s="33">
        <v>23.442672532526</v>
      </c>
      <c r="V41" s="22">
        <f t="shared" si="5"/>
        <v>0.01</v>
      </c>
      <c r="W41" s="42">
        <v>24.97727272727273</v>
      </c>
      <c r="X41" s="52">
        <v>1.526877370417193E-2</v>
      </c>
      <c r="Y41" s="16">
        <v>0.83431910940233101</v>
      </c>
      <c r="Z41" s="37">
        <v>0.55185062152590802</v>
      </c>
    </row>
    <row r="42" spans="2:26" x14ac:dyDescent="0.3">
      <c r="B42" s="5">
        <v>11</v>
      </c>
      <c r="C42" s="5" t="s">
        <v>67</v>
      </c>
      <c r="D42">
        <f t="shared" si="0"/>
        <v>0.47</v>
      </c>
      <c r="E42">
        <f t="shared" si="1"/>
        <v>3.2100000000000002E-3</v>
      </c>
      <c r="F42">
        <f t="shared" si="2"/>
        <v>0.47</v>
      </c>
      <c r="G42">
        <v>1</v>
      </c>
      <c r="H42">
        <v>1.5405405405405406</v>
      </c>
      <c r="I42" s="35">
        <v>1471.20705853096</v>
      </c>
      <c r="J42">
        <v>7.54</v>
      </c>
      <c r="K42" s="16">
        <v>59.360942604305201</v>
      </c>
      <c r="L42" s="37">
        <v>88.646471736566497</v>
      </c>
      <c r="M42" s="5">
        <v>35</v>
      </c>
      <c r="N42">
        <f t="shared" si="3"/>
        <v>0.01</v>
      </c>
      <c r="O42">
        <v>3.7</v>
      </c>
      <c r="P42">
        <v>30</v>
      </c>
      <c r="Q42" s="22">
        <f t="shared" si="4"/>
        <v>1.06E-2</v>
      </c>
      <c r="R42" s="30">
        <v>5.7</v>
      </c>
      <c r="S42" s="42" t="s">
        <v>29</v>
      </c>
      <c r="T42" s="46">
        <v>2.0012524851715328E-4</v>
      </c>
      <c r="U42" s="33">
        <v>23.425738502989301</v>
      </c>
      <c r="V42" s="22">
        <f t="shared" si="5"/>
        <v>0.01</v>
      </c>
      <c r="W42" s="42">
        <v>24.73863636363637</v>
      </c>
      <c r="X42" s="52">
        <v>1.5538053097345132E-2</v>
      </c>
      <c r="Y42" s="16">
        <v>0.83431910940233101</v>
      </c>
      <c r="Z42" s="37">
        <v>0.55185062152590802</v>
      </c>
    </row>
    <row r="43" spans="2:26" x14ac:dyDescent="0.3">
      <c r="B43" s="5">
        <v>12</v>
      </c>
      <c r="C43" s="5" t="s">
        <v>67</v>
      </c>
      <c r="D43">
        <f t="shared" si="0"/>
        <v>0.47</v>
      </c>
      <c r="E43">
        <f t="shared" si="1"/>
        <v>3.2100000000000002E-3</v>
      </c>
      <c r="F43">
        <f t="shared" si="2"/>
        <v>0.47</v>
      </c>
      <c r="G43">
        <v>1</v>
      </c>
      <c r="H43">
        <v>1.5405405405405406</v>
      </c>
      <c r="I43" s="35">
        <v>1471.91189031411</v>
      </c>
      <c r="J43">
        <v>7.54</v>
      </c>
      <c r="K43" s="16">
        <v>59.374273200782902</v>
      </c>
      <c r="L43" s="37">
        <v>88.666378939721497</v>
      </c>
      <c r="M43" s="5">
        <v>35</v>
      </c>
      <c r="N43">
        <f t="shared" si="3"/>
        <v>0.01</v>
      </c>
      <c r="O43">
        <v>3.7</v>
      </c>
      <c r="P43">
        <v>30</v>
      </c>
      <c r="Q43" s="22">
        <f t="shared" si="4"/>
        <v>1.06E-2</v>
      </c>
      <c r="R43" s="30">
        <v>5.7</v>
      </c>
      <c r="S43" s="42" t="s">
        <v>29</v>
      </c>
      <c r="T43" s="46">
        <v>2.2027099332182958E-4</v>
      </c>
      <c r="U43" s="33">
        <v>23.262207575873099</v>
      </c>
      <c r="V43" s="22">
        <f t="shared" si="5"/>
        <v>0.01</v>
      </c>
      <c r="W43" s="42">
        <v>24.869318181818191</v>
      </c>
      <c r="X43" s="52">
        <v>1.5610113780025281E-2</v>
      </c>
      <c r="Y43" s="16">
        <v>0.84151151551786896</v>
      </c>
      <c r="Z43" s="37">
        <v>0.55660795447009703</v>
      </c>
    </row>
    <row r="44" spans="2:26" x14ac:dyDescent="0.3">
      <c r="B44" s="5">
        <v>13</v>
      </c>
      <c r="C44" s="5" t="s">
        <v>67</v>
      </c>
      <c r="D44">
        <f t="shared" si="0"/>
        <v>0.47</v>
      </c>
      <c r="E44">
        <f t="shared" si="1"/>
        <v>3.2100000000000002E-3</v>
      </c>
      <c r="F44">
        <f t="shared" si="2"/>
        <v>0.47</v>
      </c>
      <c r="G44">
        <v>1</v>
      </c>
      <c r="H44">
        <v>1.5405405405405406</v>
      </c>
      <c r="I44" s="35">
        <v>1472.3914232864599</v>
      </c>
      <c r="J44">
        <v>7.54</v>
      </c>
      <c r="K44" s="16">
        <v>59.383340652766698</v>
      </c>
      <c r="L44" s="37">
        <v>88.679919789828304</v>
      </c>
      <c r="M44" s="5">
        <v>35</v>
      </c>
      <c r="N44">
        <f t="shared" si="3"/>
        <v>0.01</v>
      </c>
      <c r="O44">
        <v>3.7</v>
      </c>
      <c r="P44">
        <v>30</v>
      </c>
      <c r="Q44" s="22">
        <f t="shared" si="4"/>
        <v>1.06E-2</v>
      </c>
      <c r="R44" s="30">
        <v>5.7</v>
      </c>
      <c r="S44" s="42" t="s">
        <v>29</v>
      </c>
      <c r="T44" s="46">
        <v>2.3998333421359455E-4</v>
      </c>
      <c r="U44" s="33">
        <v>23.151021527069702</v>
      </c>
      <c r="V44" s="22">
        <f t="shared" si="5"/>
        <v>0.01</v>
      </c>
      <c r="W44" s="42">
        <v>24.76136363636364</v>
      </c>
      <c r="X44" s="52">
        <v>1.5689759797724391E-2</v>
      </c>
      <c r="Y44" s="16">
        <v>0.84870392163340602</v>
      </c>
      <c r="Z44" s="37">
        <v>0.56136528741428604</v>
      </c>
    </row>
    <row r="45" spans="2:26" x14ac:dyDescent="0.3">
      <c r="B45" s="5">
        <v>14</v>
      </c>
      <c r="C45" s="5" t="s">
        <v>67</v>
      </c>
      <c r="D45">
        <f t="shared" si="0"/>
        <v>0.47</v>
      </c>
      <c r="E45">
        <f t="shared" si="1"/>
        <v>3.2100000000000002E-3</v>
      </c>
      <c r="F45">
        <f t="shared" si="2"/>
        <v>0.47</v>
      </c>
      <c r="G45">
        <v>1</v>
      </c>
      <c r="H45">
        <v>1.5405405405405406</v>
      </c>
      <c r="I45" s="35">
        <v>1471.8019238336501</v>
      </c>
      <c r="J45">
        <v>7.54</v>
      </c>
      <c r="K45" s="16">
        <v>59.3721936212618</v>
      </c>
      <c r="L45" s="37">
        <v>88.6632734063664</v>
      </c>
      <c r="M45" s="5">
        <v>35</v>
      </c>
      <c r="N45">
        <f t="shared" si="3"/>
        <v>0.01</v>
      </c>
      <c r="O45">
        <v>3.7</v>
      </c>
      <c r="P45">
        <v>30</v>
      </c>
      <c r="Q45" s="22">
        <f t="shared" si="4"/>
        <v>1.06E-2</v>
      </c>
      <c r="R45" s="30">
        <v>5.7</v>
      </c>
      <c r="S45" s="42" t="s">
        <v>29</v>
      </c>
      <c r="T45" s="46">
        <v>2.6199194409777033E-4</v>
      </c>
      <c r="U45" s="33">
        <v>23.287713013489601</v>
      </c>
      <c r="V45" s="22">
        <f t="shared" si="5"/>
        <v>0.01</v>
      </c>
      <c r="W45" s="42">
        <v>24.35795454545455</v>
      </c>
      <c r="X45" s="52">
        <v>1.576940581542351E-2</v>
      </c>
      <c r="Y45" s="16">
        <v>0.84151151551786896</v>
      </c>
      <c r="Z45" s="37">
        <v>0.55660795447009703</v>
      </c>
    </row>
    <row r="46" spans="2:26" x14ac:dyDescent="0.3">
      <c r="B46" s="5">
        <v>15</v>
      </c>
      <c r="C46" s="5" t="s">
        <v>70</v>
      </c>
      <c r="D46">
        <f t="shared" si="0"/>
        <v>0.47</v>
      </c>
      <c r="E46">
        <f t="shared" si="1"/>
        <v>3.2100000000000002E-3</v>
      </c>
      <c r="F46">
        <f t="shared" si="2"/>
        <v>0.47</v>
      </c>
      <c r="G46">
        <v>1</v>
      </c>
      <c r="H46">
        <v>1</v>
      </c>
      <c r="I46" s="35">
        <v>1463.6952068324599</v>
      </c>
      <c r="J46">
        <v>7.54</v>
      </c>
      <c r="K46" s="16">
        <v>59.218648158973799</v>
      </c>
      <c r="L46" s="37">
        <v>59.218648158973799</v>
      </c>
      <c r="M46" s="5">
        <v>35</v>
      </c>
      <c r="N46">
        <f t="shared" si="3"/>
        <v>0.01</v>
      </c>
      <c r="O46">
        <v>3.7</v>
      </c>
      <c r="P46">
        <v>30</v>
      </c>
      <c r="Q46" s="22">
        <f>0.0134</f>
        <v>1.34E-2</v>
      </c>
      <c r="R46" s="30">
        <v>3.7</v>
      </c>
      <c r="S46" s="42" t="s">
        <v>29</v>
      </c>
      <c r="T46" s="46">
        <v>1.4490837108610785E-4</v>
      </c>
      <c r="U46" s="33">
        <v>25.176500401502523</v>
      </c>
      <c r="V46" s="22">
        <f t="shared" si="5"/>
        <v>0.01</v>
      </c>
      <c r="W46" s="42">
        <v>26.994318181818191</v>
      </c>
      <c r="X46" s="52">
        <v>1.85504424778761E-2</v>
      </c>
      <c r="Y46" s="16">
        <v>0.70485579932265896</v>
      </c>
      <c r="Z46" s="37">
        <v>0.46621862853050799</v>
      </c>
    </row>
    <row r="47" spans="2:26" x14ac:dyDescent="0.3">
      <c r="B47" s="5">
        <v>16</v>
      </c>
      <c r="C47" s="5" t="s">
        <v>70</v>
      </c>
      <c r="D47">
        <f t="shared" si="0"/>
        <v>0.47</v>
      </c>
      <c r="E47">
        <f t="shared" si="1"/>
        <v>3.2100000000000002E-3</v>
      </c>
      <c r="F47">
        <f t="shared" si="2"/>
        <v>0.47</v>
      </c>
      <c r="G47">
        <v>1</v>
      </c>
      <c r="H47">
        <v>1</v>
      </c>
      <c r="I47" s="35">
        <v>1464.0215305277</v>
      </c>
      <c r="J47">
        <v>7.54</v>
      </c>
      <c r="K47" s="16">
        <v>59.224838037437202</v>
      </c>
      <c r="L47" s="37">
        <v>59.224838037437202</v>
      </c>
      <c r="M47" s="5">
        <v>35</v>
      </c>
      <c r="N47">
        <f t="shared" si="3"/>
        <v>0.01</v>
      </c>
      <c r="O47">
        <v>3.7</v>
      </c>
      <c r="P47">
        <v>30</v>
      </c>
      <c r="Q47" s="22">
        <f t="shared" ref="Q47:Q59" si="6">0.0134</f>
        <v>1.34E-2</v>
      </c>
      <c r="R47" s="30">
        <v>3.7</v>
      </c>
      <c r="S47" s="42" t="s">
        <v>29</v>
      </c>
      <c r="T47" s="46">
        <v>1.6170744285681646E-4</v>
      </c>
      <c r="U47" s="33">
        <v>25.10014346775456</v>
      </c>
      <c r="V47" s="22">
        <f t="shared" si="5"/>
        <v>0.01</v>
      </c>
      <c r="W47" s="42">
        <v>26.65909090909091</v>
      </c>
      <c r="X47" s="52">
        <v>1.8512515802781279E-2</v>
      </c>
      <c r="Y47" s="16">
        <v>0.71204820543819602</v>
      </c>
      <c r="Z47" s="37">
        <v>0.470975961474697</v>
      </c>
    </row>
    <row r="48" spans="2:26" x14ac:dyDescent="0.3">
      <c r="B48" s="5">
        <v>17</v>
      </c>
      <c r="C48" s="5" t="s">
        <v>70</v>
      </c>
      <c r="D48">
        <f t="shared" si="0"/>
        <v>0.47</v>
      </c>
      <c r="E48">
        <f t="shared" si="1"/>
        <v>3.2100000000000002E-3</v>
      </c>
      <c r="F48">
        <f t="shared" si="2"/>
        <v>0.47</v>
      </c>
      <c r="G48">
        <v>1</v>
      </c>
      <c r="H48">
        <v>1</v>
      </c>
      <c r="I48" s="35">
        <v>1464.72085007902</v>
      </c>
      <c r="J48">
        <v>7.54</v>
      </c>
      <c r="K48" s="16">
        <v>59.238100510761299</v>
      </c>
      <c r="L48" s="37">
        <v>59.238100510761299</v>
      </c>
      <c r="M48" s="5">
        <v>35</v>
      </c>
      <c r="N48">
        <f t="shared" si="3"/>
        <v>0.01</v>
      </c>
      <c r="O48">
        <v>3.7</v>
      </c>
      <c r="P48">
        <v>30</v>
      </c>
      <c r="Q48" s="22">
        <f t="shared" si="6"/>
        <v>1.34E-2</v>
      </c>
      <c r="R48" s="30">
        <v>3.7</v>
      </c>
      <c r="S48" s="42" t="s">
        <v>29</v>
      </c>
      <c r="T48" s="46">
        <v>1.8141924280510617E-4</v>
      </c>
      <c r="U48" s="33">
        <v>24.936601384101301</v>
      </c>
      <c r="V48" s="22">
        <f t="shared" si="5"/>
        <v>0.01</v>
      </c>
      <c r="W48" s="42">
        <v>26.63068181818182</v>
      </c>
      <c r="X48" s="52">
        <v>1.8671807838179511E-2</v>
      </c>
      <c r="Y48" s="16">
        <v>0.72643301766927104</v>
      </c>
      <c r="Z48" s="37">
        <v>0.48049062736307502</v>
      </c>
    </row>
    <row r="49" spans="2:26" x14ac:dyDescent="0.3">
      <c r="B49" s="5">
        <v>18</v>
      </c>
      <c r="C49" s="5" t="s">
        <v>70</v>
      </c>
      <c r="D49">
        <f t="shared" si="0"/>
        <v>0.47</v>
      </c>
      <c r="E49">
        <f t="shared" si="1"/>
        <v>3.2100000000000002E-3</v>
      </c>
      <c r="F49">
        <f t="shared" si="2"/>
        <v>0.47</v>
      </c>
      <c r="G49">
        <v>1</v>
      </c>
      <c r="H49">
        <v>1</v>
      </c>
      <c r="I49" s="35">
        <v>1465.88399993903</v>
      </c>
      <c r="J49">
        <v>7.54</v>
      </c>
      <c r="K49" s="16">
        <v>59.260151632645297</v>
      </c>
      <c r="L49" s="37">
        <v>59.260151632645297</v>
      </c>
      <c r="M49" s="5">
        <v>35</v>
      </c>
      <c r="N49">
        <f t="shared" si="3"/>
        <v>0.01</v>
      </c>
      <c r="O49">
        <v>3.7</v>
      </c>
      <c r="P49">
        <v>30</v>
      </c>
      <c r="Q49" s="22">
        <f t="shared" si="6"/>
        <v>1.34E-2</v>
      </c>
      <c r="R49" s="30">
        <v>3.7</v>
      </c>
      <c r="S49" s="42" t="s">
        <v>29</v>
      </c>
      <c r="T49" s="46">
        <v>2.0156386965993235E-4</v>
      </c>
      <c r="U49" s="33">
        <v>24.6648679849621</v>
      </c>
      <c r="V49" s="22">
        <f t="shared" si="5"/>
        <v>0.01</v>
      </c>
      <c r="W49" s="42">
        <v>26.59659090909091</v>
      </c>
      <c r="X49" s="52">
        <v>1.8834892541087229E-2</v>
      </c>
      <c r="Y49" s="16">
        <v>0.74081782990034595</v>
      </c>
      <c r="Z49" s="37">
        <v>0.49000529325145298</v>
      </c>
    </row>
    <row r="50" spans="2:26" x14ac:dyDescent="0.3">
      <c r="B50" s="5">
        <v>19</v>
      </c>
      <c r="C50" s="5" t="s">
        <v>70</v>
      </c>
      <c r="D50">
        <f t="shared" si="0"/>
        <v>0.47</v>
      </c>
      <c r="E50">
        <f t="shared" si="1"/>
        <v>3.2100000000000002E-3</v>
      </c>
      <c r="F50">
        <f t="shared" si="2"/>
        <v>0.47</v>
      </c>
      <c r="G50">
        <v>1</v>
      </c>
      <c r="H50">
        <v>1</v>
      </c>
      <c r="I50" s="35">
        <v>1465.9116821192199</v>
      </c>
      <c r="J50">
        <v>7.54</v>
      </c>
      <c r="K50" s="16">
        <v>59.260676316133399</v>
      </c>
      <c r="L50" s="37">
        <v>59.260676316133399</v>
      </c>
      <c r="M50" s="5">
        <v>35</v>
      </c>
      <c r="N50">
        <f t="shared" si="3"/>
        <v>0.01</v>
      </c>
      <c r="O50">
        <v>3.7</v>
      </c>
      <c r="P50">
        <v>30</v>
      </c>
      <c r="Q50" s="22">
        <f t="shared" si="6"/>
        <v>1.34E-2</v>
      </c>
      <c r="R50" s="30">
        <v>3.7</v>
      </c>
      <c r="S50" s="42" t="s">
        <v>29</v>
      </c>
      <c r="T50" s="46">
        <v>2.2171123729503603E-4</v>
      </c>
      <c r="U50" s="33">
        <v>24.6584051623954</v>
      </c>
      <c r="V50" s="22">
        <f t="shared" si="5"/>
        <v>0.01</v>
      </c>
      <c r="W50" s="42">
        <v>26.369318181818191</v>
      </c>
      <c r="X50" s="52">
        <v>1.8891782553729451E-2</v>
      </c>
      <c r="Y50" s="16">
        <v>0.74081782990034595</v>
      </c>
      <c r="Z50" s="37">
        <v>0.49000529325145298</v>
      </c>
    </row>
    <row r="51" spans="2:26" x14ac:dyDescent="0.3">
      <c r="B51" s="5">
        <v>20</v>
      </c>
      <c r="C51" s="5" t="s">
        <v>70</v>
      </c>
      <c r="D51">
        <f t="shared" si="0"/>
        <v>0.47</v>
      </c>
      <c r="E51">
        <f t="shared" si="1"/>
        <v>3.2100000000000002E-3</v>
      </c>
      <c r="F51">
        <f t="shared" si="2"/>
        <v>0.47</v>
      </c>
      <c r="G51">
        <v>1</v>
      </c>
      <c r="H51">
        <v>1</v>
      </c>
      <c r="I51" s="35">
        <v>1466.10383545132</v>
      </c>
      <c r="J51">
        <v>7.54</v>
      </c>
      <c r="K51" s="16">
        <v>59.264318201802197</v>
      </c>
      <c r="L51" s="37">
        <v>59.264318201802197</v>
      </c>
      <c r="M51" s="5">
        <v>35</v>
      </c>
      <c r="N51">
        <f t="shared" si="3"/>
        <v>0.01</v>
      </c>
      <c r="O51">
        <v>3.7</v>
      </c>
      <c r="P51">
        <v>30</v>
      </c>
      <c r="Q51" s="22">
        <f t="shared" si="6"/>
        <v>1.34E-2</v>
      </c>
      <c r="R51" s="30">
        <v>3.7</v>
      </c>
      <c r="S51" s="42" t="s">
        <v>29</v>
      </c>
      <c r="T51" s="46">
        <v>2.4192020036060033E-4</v>
      </c>
      <c r="U51" s="33">
        <v>24.613549508063201</v>
      </c>
      <c r="V51" s="22">
        <f t="shared" si="5"/>
        <v>0.01</v>
      </c>
      <c r="W51" s="42">
        <v>26.14772727272728</v>
      </c>
      <c r="X51" s="52">
        <v>1.9001769911504422E-2</v>
      </c>
      <c r="Y51" s="16">
        <v>0.74801023601588301</v>
      </c>
      <c r="Z51" s="37">
        <v>0.49476262619564099</v>
      </c>
    </row>
    <row r="52" spans="2:26" x14ac:dyDescent="0.3">
      <c r="B52" s="5">
        <v>21</v>
      </c>
      <c r="C52" s="5" t="s">
        <v>70</v>
      </c>
      <c r="D52">
        <f t="shared" si="0"/>
        <v>0.47</v>
      </c>
      <c r="E52">
        <f t="shared" si="1"/>
        <v>3.2100000000000002E-3</v>
      </c>
      <c r="F52">
        <f t="shared" si="2"/>
        <v>0.47</v>
      </c>
      <c r="G52">
        <v>1</v>
      </c>
      <c r="H52">
        <v>1</v>
      </c>
      <c r="I52" s="35">
        <v>1467.64289910309</v>
      </c>
      <c r="J52">
        <v>7.54</v>
      </c>
      <c r="K52" s="16">
        <v>59.293478531232402</v>
      </c>
      <c r="L52" s="37">
        <v>59.293478531232402</v>
      </c>
      <c r="M52" s="5">
        <v>35</v>
      </c>
      <c r="N52">
        <f t="shared" si="3"/>
        <v>0.01</v>
      </c>
      <c r="O52">
        <v>3.7</v>
      </c>
      <c r="P52">
        <v>30</v>
      </c>
      <c r="Q52" s="22">
        <f t="shared" si="6"/>
        <v>1.34E-2</v>
      </c>
      <c r="R52" s="30">
        <v>3.7</v>
      </c>
      <c r="S52" s="42" t="s">
        <v>29</v>
      </c>
      <c r="T52" s="46">
        <v>2.6448161841427574E-4</v>
      </c>
      <c r="U52" s="33">
        <v>24.254618208690502</v>
      </c>
      <c r="V52" s="22">
        <f t="shared" si="5"/>
        <v>0.01</v>
      </c>
      <c r="W52" s="42">
        <v>26.20454545454546</v>
      </c>
      <c r="X52" s="52">
        <v>1.9134513274336282E-2</v>
      </c>
      <c r="Y52" s="16">
        <v>0.76958745436249498</v>
      </c>
      <c r="Z52" s="37">
        <v>0.50903462502820795</v>
      </c>
    </row>
    <row r="53" spans="2:26" x14ac:dyDescent="0.3">
      <c r="B53" s="5">
        <v>22</v>
      </c>
      <c r="C53" s="5" t="s">
        <v>71</v>
      </c>
      <c r="D53">
        <f t="shared" si="0"/>
        <v>0.47</v>
      </c>
      <c r="E53">
        <f t="shared" si="1"/>
        <v>3.2100000000000002E-3</v>
      </c>
      <c r="F53">
        <f t="shared" si="2"/>
        <v>0.47</v>
      </c>
      <c r="G53">
        <v>1</v>
      </c>
      <c r="H53">
        <v>1.5405405405405406</v>
      </c>
      <c r="I53" s="35">
        <v>1465.32230604866</v>
      </c>
      <c r="J53">
        <v>7.54</v>
      </c>
      <c r="K53" s="16">
        <v>59.249504195186198</v>
      </c>
      <c r="L53" s="37">
        <v>88.480055548565701</v>
      </c>
      <c r="M53" s="5">
        <v>35</v>
      </c>
      <c r="N53">
        <f t="shared" si="3"/>
        <v>0.01</v>
      </c>
      <c r="O53">
        <v>3.7</v>
      </c>
      <c r="P53">
        <v>30</v>
      </c>
      <c r="Q53" s="22">
        <f t="shared" si="6"/>
        <v>1.34E-2</v>
      </c>
      <c r="R53" s="30">
        <v>5.7</v>
      </c>
      <c r="S53" s="42" t="s">
        <v>29</v>
      </c>
      <c r="T53" s="46">
        <v>1.4490444023018275E-4</v>
      </c>
      <c r="U53" s="33">
        <v>24.796046548260399</v>
      </c>
      <c r="V53" s="22">
        <f t="shared" si="5"/>
        <v>0.01</v>
      </c>
      <c r="W53" s="42">
        <v>26.45454545454546</v>
      </c>
      <c r="X53" s="52">
        <v>1.742781289506953E-2</v>
      </c>
      <c r="Y53" s="16">
        <v>0.733625423784808</v>
      </c>
      <c r="Z53" s="37">
        <v>0.48524796030726403</v>
      </c>
    </row>
    <row r="54" spans="2:26" x14ac:dyDescent="0.3">
      <c r="B54" s="5">
        <v>23</v>
      </c>
      <c r="C54" s="5" t="s">
        <v>71</v>
      </c>
      <c r="D54">
        <f t="shared" si="0"/>
        <v>0.47</v>
      </c>
      <c r="E54">
        <f t="shared" si="1"/>
        <v>3.2100000000000002E-3</v>
      </c>
      <c r="F54">
        <f t="shared" si="2"/>
        <v>0.47</v>
      </c>
      <c r="G54">
        <v>1</v>
      </c>
      <c r="H54">
        <v>1.5405405405405406</v>
      </c>
      <c r="I54" s="35">
        <v>1465.7090039576301</v>
      </c>
      <c r="J54">
        <v>7.54</v>
      </c>
      <c r="K54" s="16">
        <v>59.2568346625484</v>
      </c>
      <c r="L54" s="37">
        <v>88.491002478303301</v>
      </c>
      <c r="M54" s="5">
        <v>35</v>
      </c>
      <c r="N54">
        <f t="shared" si="3"/>
        <v>0.01</v>
      </c>
      <c r="O54">
        <v>3.7</v>
      </c>
      <c r="P54">
        <v>30</v>
      </c>
      <c r="Q54" s="22">
        <f t="shared" si="6"/>
        <v>1.34E-2</v>
      </c>
      <c r="R54" s="30">
        <v>5.7</v>
      </c>
      <c r="S54" s="42" t="s">
        <v>29</v>
      </c>
      <c r="T54" s="46">
        <v>1.61703367749299E-4</v>
      </c>
      <c r="U54" s="33">
        <v>24.7057280052192</v>
      </c>
      <c r="V54" s="22">
        <f t="shared" si="5"/>
        <v>0.01</v>
      </c>
      <c r="W54" s="42">
        <v>26.22159090909091</v>
      </c>
      <c r="X54" s="52">
        <v>1.74960809102402E-2</v>
      </c>
      <c r="Y54" s="16">
        <v>0.74081782990034595</v>
      </c>
      <c r="Z54" s="37">
        <v>0.49000529325145298</v>
      </c>
    </row>
    <row r="55" spans="2:26" x14ac:dyDescent="0.3">
      <c r="B55" s="5">
        <v>24</v>
      </c>
      <c r="C55" s="5" t="s">
        <v>71</v>
      </c>
      <c r="D55">
        <f t="shared" si="0"/>
        <v>0.47</v>
      </c>
      <c r="E55">
        <f t="shared" si="1"/>
        <v>3.2100000000000002E-3</v>
      </c>
      <c r="F55">
        <f t="shared" si="2"/>
        <v>0.47</v>
      </c>
      <c r="G55">
        <v>1</v>
      </c>
      <c r="H55">
        <v>1.5405405405405406</v>
      </c>
      <c r="I55" s="35">
        <v>1466.5144006119399</v>
      </c>
      <c r="J55">
        <v>7.54</v>
      </c>
      <c r="K55" s="16">
        <v>59.2720987641462</v>
      </c>
      <c r="L55" s="37">
        <v>88.513797075078699</v>
      </c>
      <c r="M55" s="5">
        <v>35</v>
      </c>
      <c r="N55">
        <f t="shared" si="3"/>
        <v>0.01</v>
      </c>
      <c r="O55">
        <v>3.7</v>
      </c>
      <c r="P55">
        <v>30</v>
      </c>
      <c r="Q55" s="22">
        <f t="shared" si="6"/>
        <v>1.34E-2</v>
      </c>
      <c r="R55" s="30">
        <v>5.7</v>
      </c>
      <c r="S55" s="42" t="s">
        <v>29</v>
      </c>
      <c r="T55" s="46">
        <v>1.8091897827856747E-4</v>
      </c>
      <c r="U55" s="33">
        <v>24.517740354974499</v>
      </c>
      <c r="V55" s="22">
        <f t="shared" si="5"/>
        <v>0.01</v>
      </c>
      <c r="W55" s="42">
        <v>25.89204545454546</v>
      </c>
      <c r="X55" s="52">
        <v>1.746573957016434E-2</v>
      </c>
      <c r="Y55" s="16">
        <v>0.75520264213142096</v>
      </c>
      <c r="Z55" s="37">
        <v>0.49951995913982999</v>
      </c>
    </row>
    <row r="56" spans="2:26" x14ac:dyDescent="0.3">
      <c r="B56" s="5">
        <v>25</v>
      </c>
      <c r="C56" s="5" t="s">
        <v>71</v>
      </c>
      <c r="D56">
        <f t="shared" si="0"/>
        <v>0.47</v>
      </c>
      <c r="E56">
        <f t="shared" si="1"/>
        <v>3.2100000000000002E-3</v>
      </c>
      <c r="F56">
        <f t="shared" si="2"/>
        <v>0.47</v>
      </c>
      <c r="G56">
        <v>1</v>
      </c>
      <c r="H56">
        <v>1.5405405405405406</v>
      </c>
      <c r="I56" s="35">
        <v>1467.26051026343</v>
      </c>
      <c r="J56">
        <v>7.54</v>
      </c>
      <c r="K56" s="16">
        <v>59.286235079716498</v>
      </c>
      <c r="L56" s="37">
        <v>88.534907496235903</v>
      </c>
      <c r="M56" s="5">
        <v>35</v>
      </c>
      <c r="N56">
        <f t="shared" si="3"/>
        <v>0.01</v>
      </c>
      <c r="O56">
        <v>3.7</v>
      </c>
      <c r="P56">
        <v>30</v>
      </c>
      <c r="Q56" s="22">
        <f t="shared" si="6"/>
        <v>1.34E-2</v>
      </c>
      <c r="R56" s="30">
        <v>5.7</v>
      </c>
      <c r="S56" s="42" t="s">
        <v>29</v>
      </c>
      <c r="T56" s="46">
        <v>2.0112660701689032E-4</v>
      </c>
      <c r="U56" s="33">
        <v>24.343739814679299</v>
      </c>
      <c r="V56" s="22">
        <f t="shared" si="5"/>
        <v>0.01</v>
      </c>
      <c r="W56" s="42">
        <v>25.94886363636364</v>
      </c>
      <c r="X56" s="52">
        <v>1.7757774968394431E-2</v>
      </c>
      <c r="Y56" s="16">
        <v>0.76958745436249498</v>
      </c>
      <c r="Z56" s="37">
        <v>0.50903462502820795</v>
      </c>
    </row>
    <row r="57" spans="2:26" x14ac:dyDescent="0.3">
      <c r="B57" s="5">
        <v>26</v>
      </c>
      <c r="C57" s="5" t="s">
        <v>71</v>
      </c>
      <c r="D57">
        <f t="shared" si="0"/>
        <v>0.47</v>
      </c>
      <c r="E57">
        <f t="shared" si="1"/>
        <v>3.2100000000000002E-3</v>
      </c>
      <c r="F57">
        <f t="shared" si="2"/>
        <v>0.47</v>
      </c>
      <c r="G57">
        <v>1</v>
      </c>
      <c r="H57">
        <v>1.5405405405405406</v>
      </c>
      <c r="I57" s="35">
        <v>1468.50188836446</v>
      </c>
      <c r="J57">
        <v>7.54</v>
      </c>
      <c r="K57" s="16">
        <v>59.309746221092801</v>
      </c>
      <c r="L57" s="37">
        <v>88.570017783203497</v>
      </c>
      <c r="M57" s="5">
        <v>35</v>
      </c>
      <c r="N57">
        <f t="shared" si="3"/>
        <v>0.01</v>
      </c>
      <c r="O57">
        <v>3.7</v>
      </c>
      <c r="P57">
        <v>30</v>
      </c>
      <c r="Q57" s="22">
        <f t="shared" si="6"/>
        <v>1.34E-2</v>
      </c>
      <c r="R57" s="30">
        <v>5.7</v>
      </c>
      <c r="S57" s="42" t="s">
        <v>29</v>
      </c>
      <c r="T57" s="46">
        <v>2.2127105355722627E-4</v>
      </c>
      <c r="U57" s="33">
        <v>24.0545544039235</v>
      </c>
      <c r="V57" s="22">
        <f t="shared" si="5"/>
        <v>0.01</v>
      </c>
      <c r="W57" s="42">
        <v>25.82386363636364</v>
      </c>
      <c r="X57" s="52">
        <v>1.7780530973451322E-2</v>
      </c>
      <c r="Y57" s="16">
        <v>0.78397226659357</v>
      </c>
      <c r="Z57" s="37">
        <v>0.51854929091658597</v>
      </c>
    </row>
    <row r="58" spans="2:26" x14ac:dyDescent="0.3">
      <c r="B58" s="5">
        <v>27</v>
      </c>
      <c r="C58" s="5" t="s">
        <v>71</v>
      </c>
      <c r="D58">
        <f t="shared" si="0"/>
        <v>0.47</v>
      </c>
      <c r="E58">
        <f t="shared" si="1"/>
        <v>3.2100000000000002E-3</v>
      </c>
      <c r="F58">
        <f t="shared" si="2"/>
        <v>0.47</v>
      </c>
      <c r="G58">
        <v>1</v>
      </c>
      <c r="H58">
        <v>1.5405405405405406</v>
      </c>
      <c r="I58" s="35">
        <v>1468.94957571132</v>
      </c>
      <c r="J58">
        <v>7.54</v>
      </c>
      <c r="K58" s="16">
        <v>59.318222500004502</v>
      </c>
      <c r="L58" s="37">
        <v>88.582675806914196</v>
      </c>
      <c r="M58" s="5">
        <v>35</v>
      </c>
      <c r="N58">
        <f t="shared" si="3"/>
        <v>0.01</v>
      </c>
      <c r="O58">
        <v>3.7</v>
      </c>
      <c r="P58">
        <v>30</v>
      </c>
      <c r="Q58" s="22">
        <f t="shared" si="6"/>
        <v>1.34E-2</v>
      </c>
      <c r="R58" s="30">
        <v>5.7</v>
      </c>
      <c r="S58" s="42" t="s">
        <v>29</v>
      </c>
      <c r="T58" s="46">
        <v>2.4141741143117546E-4</v>
      </c>
      <c r="U58" s="33">
        <v>23.950360316303801</v>
      </c>
      <c r="V58" s="22">
        <f t="shared" si="5"/>
        <v>0.01</v>
      </c>
      <c r="W58" s="42">
        <v>25.47727272727273</v>
      </c>
      <c r="X58" s="52">
        <v>1.7924652338811631E-2</v>
      </c>
      <c r="Y58" s="16">
        <v>0.79116467270910695</v>
      </c>
      <c r="Z58" s="37">
        <v>0.52330662386077498</v>
      </c>
    </row>
    <row r="59" spans="2:26" x14ac:dyDescent="0.3">
      <c r="B59" s="5">
        <v>28</v>
      </c>
      <c r="C59" s="5" t="s">
        <v>71</v>
      </c>
      <c r="D59">
        <f t="shared" si="0"/>
        <v>0.47</v>
      </c>
      <c r="E59">
        <f t="shared" si="1"/>
        <v>3.2100000000000002E-3</v>
      </c>
      <c r="F59">
        <f t="shared" si="2"/>
        <v>0.47</v>
      </c>
      <c r="G59">
        <v>1</v>
      </c>
      <c r="H59">
        <v>1.5405405405405406</v>
      </c>
      <c r="I59" s="35">
        <v>1468.76709122071</v>
      </c>
      <c r="J59">
        <v>7.54</v>
      </c>
      <c r="K59" s="16">
        <v>59.314767608211902</v>
      </c>
      <c r="L59" s="37">
        <v>88.5775164554247</v>
      </c>
      <c r="M59" s="5">
        <v>35</v>
      </c>
      <c r="N59">
        <f t="shared" si="3"/>
        <v>0.01</v>
      </c>
      <c r="O59">
        <v>3.7</v>
      </c>
      <c r="P59">
        <v>30</v>
      </c>
      <c r="Q59" s="22">
        <f t="shared" si="6"/>
        <v>1.34E-2</v>
      </c>
      <c r="R59" s="30">
        <v>5.7</v>
      </c>
      <c r="S59" s="42" t="s">
        <v>29</v>
      </c>
      <c r="T59" s="46">
        <v>2.6398297671816593E-4</v>
      </c>
      <c r="U59" s="33">
        <v>23.992825284113202</v>
      </c>
      <c r="V59" s="22">
        <f t="shared" si="5"/>
        <v>0.01</v>
      </c>
      <c r="W59" s="42">
        <v>25.52272727272728</v>
      </c>
      <c r="X59" s="52">
        <v>1.7917067003792662E-2</v>
      </c>
      <c r="Y59" s="16">
        <v>0.79116467270910695</v>
      </c>
      <c r="Z59" s="37">
        <v>0.52330662386077498</v>
      </c>
    </row>
    <row r="60" spans="2:26" x14ac:dyDescent="0.3">
      <c r="B60" s="5">
        <v>29</v>
      </c>
      <c r="C60" s="5" t="s">
        <v>72</v>
      </c>
      <c r="D60">
        <f t="shared" si="0"/>
        <v>0.47</v>
      </c>
      <c r="E60">
        <f t="shared" si="1"/>
        <v>3.2100000000000002E-3</v>
      </c>
      <c r="F60">
        <f t="shared" si="2"/>
        <v>0.47</v>
      </c>
      <c r="G60">
        <v>1</v>
      </c>
      <c r="H60">
        <v>1</v>
      </c>
      <c r="I60" s="35">
        <v>1459.5586095390199</v>
      </c>
      <c r="J60">
        <v>7.54</v>
      </c>
      <c r="K60" s="16">
        <v>59.140116303314898</v>
      </c>
      <c r="L60" s="37">
        <v>59.140116303314898</v>
      </c>
      <c r="M60" s="5">
        <v>35</v>
      </c>
      <c r="N60">
        <f t="shared" si="3"/>
        <v>0.01</v>
      </c>
      <c r="O60">
        <v>3.7</v>
      </c>
      <c r="P60">
        <v>36.799999999999997</v>
      </c>
      <c r="Q60" s="22">
        <f>0.0106</f>
        <v>1.06E-2</v>
      </c>
      <c r="R60" s="30">
        <v>3.7</v>
      </c>
      <c r="S60" s="42" t="s">
        <v>29</v>
      </c>
      <c r="T60" s="46">
        <v>1.4448445171547306E-4</v>
      </c>
      <c r="U60" s="33">
        <v>26.14682109084902</v>
      </c>
      <c r="V60" s="22">
        <f t="shared" si="5"/>
        <v>0.01</v>
      </c>
      <c r="W60" s="42">
        <v>27.657954545454547</v>
      </c>
      <c r="X60" s="52">
        <v>1.7734007585335009E-2</v>
      </c>
      <c r="Y60" s="16">
        <v>0.64012414428282305</v>
      </c>
      <c r="Z60" s="37">
        <v>0.42340263203280798</v>
      </c>
    </row>
    <row r="61" spans="2:26" x14ac:dyDescent="0.3">
      <c r="B61" s="5">
        <v>30</v>
      </c>
      <c r="C61" s="5" t="s">
        <v>72</v>
      </c>
      <c r="D61">
        <f t="shared" si="0"/>
        <v>0.47</v>
      </c>
      <c r="E61">
        <f t="shared" si="1"/>
        <v>3.2100000000000002E-3</v>
      </c>
      <c r="F61">
        <f t="shared" si="2"/>
        <v>0.47</v>
      </c>
      <c r="G61">
        <v>1</v>
      </c>
      <c r="H61">
        <v>1</v>
      </c>
      <c r="I61" s="35">
        <v>1460.0318599257801</v>
      </c>
      <c r="J61">
        <v>7.54</v>
      </c>
      <c r="K61" s="16">
        <v>59.149107069431103</v>
      </c>
      <c r="L61" s="37">
        <v>59.149107069431103</v>
      </c>
      <c r="M61" s="5">
        <v>35</v>
      </c>
      <c r="N61">
        <f t="shared" si="3"/>
        <v>0.01</v>
      </c>
      <c r="O61">
        <v>3.7</v>
      </c>
      <c r="P61">
        <v>36.799999999999997</v>
      </c>
      <c r="Q61" s="22">
        <f t="shared" ref="Q61:Q73" si="7">0.0106</f>
        <v>1.06E-2</v>
      </c>
      <c r="R61" s="30">
        <v>3.7</v>
      </c>
      <c r="S61" s="42" t="s">
        <v>29</v>
      </c>
      <c r="T61" s="46">
        <v>1.6227503681465869E-4</v>
      </c>
      <c r="U61" s="33">
        <v>26.035585634524068</v>
      </c>
      <c r="V61" s="22">
        <f t="shared" si="5"/>
        <v>0.01</v>
      </c>
      <c r="W61" s="42">
        <v>27.561363636363637</v>
      </c>
      <c r="X61" s="52">
        <v>1.7946396965865991E-2</v>
      </c>
      <c r="Y61" s="16">
        <v>0.64731655039836</v>
      </c>
      <c r="Z61" s="37">
        <v>0.42815996497699699</v>
      </c>
    </row>
    <row r="62" spans="2:26" x14ac:dyDescent="0.3">
      <c r="B62" s="5">
        <v>31</v>
      </c>
      <c r="C62" s="5" t="s">
        <v>72</v>
      </c>
      <c r="D62">
        <f t="shared" si="0"/>
        <v>0.47</v>
      </c>
      <c r="E62">
        <f t="shared" si="1"/>
        <v>3.2100000000000002E-3</v>
      </c>
      <c r="F62">
        <f t="shared" si="2"/>
        <v>0.47</v>
      </c>
      <c r="G62">
        <v>1</v>
      </c>
      <c r="H62">
        <v>1</v>
      </c>
      <c r="I62" s="35">
        <v>1461.0105898368399</v>
      </c>
      <c r="J62">
        <v>7.54</v>
      </c>
      <c r="K62" s="16">
        <v>59.167695743524803</v>
      </c>
      <c r="L62" s="37">
        <v>59.167695743524803</v>
      </c>
      <c r="M62" s="5">
        <v>35</v>
      </c>
      <c r="N62">
        <f t="shared" si="3"/>
        <v>0.01</v>
      </c>
      <c r="O62">
        <v>3.7</v>
      </c>
      <c r="P62">
        <v>36.799999999999997</v>
      </c>
      <c r="Q62">
        <f t="shared" si="7"/>
        <v>1.06E-2</v>
      </c>
      <c r="R62" s="30">
        <v>3.7</v>
      </c>
      <c r="S62" s="42" t="s">
        <v>29</v>
      </c>
      <c r="T62" s="46">
        <v>1.8192415944553566E-4</v>
      </c>
      <c r="U62" s="33">
        <v>25.805724312936619</v>
      </c>
      <c r="V62" s="22">
        <f t="shared" si="5"/>
        <v>0.01</v>
      </c>
      <c r="W62" s="42">
        <v>27.442045454545458</v>
      </c>
      <c r="X62" s="52">
        <v>1.7881921618204802E-2</v>
      </c>
      <c r="Y62" s="16">
        <v>0.66170136262943502</v>
      </c>
      <c r="Z62" s="37">
        <v>0.437674630865375</v>
      </c>
    </row>
    <row r="63" spans="2:26" x14ac:dyDescent="0.3">
      <c r="B63" s="5">
        <v>32</v>
      </c>
      <c r="C63" s="5" t="s">
        <v>72</v>
      </c>
      <c r="D63">
        <f t="shared" si="0"/>
        <v>0.47</v>
      </c>
      <c r="E63">
        <f t="shared" si="1"/>
        <v>3.2100000000000002E-3</v>
      </c>
      <c r="F63">
        <f t="shared" si="2"/>
        <v>0.47</v>
      </c>
      <c r="G63">
        <v>1</v>
      </c>
      <c r="H63">
        <v>1</v>
      </c>
      <c r="I63" s="35">
        <v>1461.1868390104401</v>
      </c>
      <c r="J63">
        <v>7.54</v>
      </c>
      <c r="K63" s="16">
        <v>59.171042444995798</v>
      </c>
      <c r="L63" s="37">
        <v>59.171042444995798</v>
      </c>
      <c r="M63" s="5">
        <v>35</v>
      </c>
      <c r="N63">
        <f t="shared" si="3"/>
        <v>0.01</v>
      </c>
      <c r="O63">
        <v>3.7</v>
      </c>
      <c r="P63">
        <v>36.799999999999997</v>
      </c>
      <c r="Q63">
        <f t="shared" si="7"/>
        <v>1.06E-2</v>
      </c>
      <c r="R63" s="30">
        <v>3.7</v>
      </c>
      <c r="S63" s="42" t="s">
        <v>29</v>
      </c>
      <c r="T63" s="46">
        <v>2.020711664516558E-4</v>
      </c>
      <c r="U63" s="33">
        <v>25.764357467136698</v>
      </c>
      <c r="V63" s="22">
        <f t="shared" si="5"/>
        <v>0.01</v>
      </c>
      <c r="W63" s="42">
        <v>27.322727272727278</v>
      </c>
      <c r="X63" s="52">
        <v>1.8101896333754738E-2</v>
      </c>
      <c r="Y63" s="16">
        <v>0.66170136262943502</v>
      </c>
      <c r="Z63" s="37">
        <v>0.437674630865375</v>
      </c>
    </row>
    <row r="64" spans="2:26" x14ac:dyDescent="0.3">
      <c r="B64" s="5">
        <v>33</v>
      </c>
      <c r="C64" s="5" t="s">
        <v>72</v>
      </c>
      <c r="D64">
        <f t="shared" si="0"/>
        <v>0.47</v>
      </c>
      <c r="E64">
        <f t="shared" si="1"/>
        <v>3.2100000000000002E-3</v>
      </c>
      <c r="F64">
        <f t="shared" si="2"/>
        <v>0.47</v>
      </c>
      <c r="G64">
        <v>1</v>
      </c>
      <c r="H64">
        <v>1</v>
      </c>
      <c r="I64" s="35">
        <v>1461.00623072843</v>
      </c>
      <c r="J64">
        <v>7.54</v>
      </c>
      <c r="K64" s="16">
        <v>59.167612967707797</v>
      </c>
      <c r="L64" s="37">
        <v>59.167612967707797</v>
      </c>
      <c r="M64" s="5">
        <v>35</v>
      </c>
      <c r="N64">
        <f t="shared" si="3"/>
        <v>0.01</v>
      </c>
      <c r="O64">
        <v>3.7</v>
      </c>
      <c r="P64">
        <v>36.799999999999997</v>
      </c>
      <c r="Q64">
        <f t="shared" si="7"/>
        <v>1.06E-2</v>
      </c>
      <c r="R64" s="30">
        <v>3.7</v>
      </c>
      <c r="S64" s="42" t="s">
        <v>29</v>
      </c>
      <c r="T64" s="46">
        <v>2.2172310198860935E-4</v>
      </c>
      <c r="U64" s="33">
        <v>25.80674752676839</v>
      </c>
      <c r="V64" s="22">
        <f t="shared" si="5"/>
        <v>0.01</v>
      </c>
      <c r="W64" s="42">
        <v>26.987500000000008</v>
      </c>
      <c r="X64" s="52">
        <v>1.8105689001264219E-2</v>
      </c>
      <c r="Y64" s="16">
        <v>0.66170136262943502</v>
      </c>
      <c r="Z64" s="37">
        <v>0.437674630865375</v>
      </c>
    </row>
    <row r="65" spans="2:26" x14ac:dyDescent="0.3">
      <c r="B65" s="5">
        <v>34</v>
      </c>
      <c r="C65" s="5" t="s">
        <v>72</v>
      </c>
      <c r="D65">
        <f t="shared" si="0"/>
        <v>0.47</v>
      </c>
      <c r="E65">
        <f t="shared" si="1"/>
        <v>3.2100000000000002E-3</v>
      </c>
      <c r="F65">
        <f t="shared" si="2"/>
        <v>0.47</v>
      </c>
      <c r="G65">
        <v>1</v>
      </c>
      <c r="H65">
        <v>1</v>
      </c>
      <c r="I65" s="35">
        <v>1462.0752764592501</v>
      </c>
      <c r="J65">
        <v>7.54</v>
      </c>
      <c r="K65" s="16">
        <v>59.187909091353802</v>
      </c>
      <c r="L65" s="37">
        <v>59.187909091353802</v>
      </c>
      <c r="M65" s="5">
        <v>35</v>
      </c>
      <c r="N65">
        <f t="shared" si="3"/>
        <v>0.01</v>
      </c>
      <c r="O65">
        <v>3.7</v>
      </c>
      <c r="P65">
        <v>36.799999999999997</v>
      </c>
      <c r="Q65">
        <f t="shared" si="7"/>
        <v>1.06E-2</v>
      </c>
      <c r="R65" s="30">
        <v>3.7</v>
      </c>
      <c r="S65" s="42" t="s">
        <v>29</v>
      </c>
      <c r="T65" s="46">
        <v>2.4192993734316762E-4</v>
      </c>
      <c r="U65" s="33">
        <v>25.555958135360139</v>
      </c>
      <c r="V65" s="22">
        <f t="shared" si="5"/>
        <v>0.01</v>
      </c>
      <c r="W65" s="42">
        <v>26.7261363636364</v>
      </c>
      <c r="X65" s="52">
        <v>1.8340834386852078E-2</v>
      </c>
      <c r="Y65" s="16">
        <v>0.67608617486051004</v>
      </c>
      <c r="Z65" s="37">
        <v>0.44718929675375302</v>
      </c>
    </row>
    <row r="66" spans="2:26" x14ac:dyDescent="0.3">
      <c r="B66" s="5">
        <v>35</v>
      </c>
      <c r="C66" s="5" t="s">
        <v>72</v>
      </c>
      <c r="D66">
        <f t="shared" si="0"/>
        <v>0.47</v>
      </c>
      <c r="E66">
        <f t="shared" si="1"/>
        <v>3.2100000000000002E-3</v>
      </c>
      <c r="F66">
        <f t="shared" si="2"/>
        <v>0.47</v>
      </c>
      <c r="G66">
        <v>1</v>
      </c>
      <c r="H66">
        <v>1</v>
      </c>
      <c r="I66" s="35">
        <v>1462.4004381581699</v>
      </c>
      <c r="J66">
        <v>7.54</v>
      </c>
      <c r="K66" s="16">
        <v>59.1940807316536</v>
      </c>
      <c r="L66" s="37">
        <v>59.1940807316536</v>
      </c>
      <c r="M66" s="5">
        <v>35</v>
      </c>
      <c r="N66">
        <f t="shared" si="3"/>
        <v>0.01</v>
      </c>
      <c r="O66">
        <v>3.7</v>
      </c>
      <c r="P66">
        <v>36.799999999999997</v>
      </c>
      <c r="Q66">
        <f t="shared" si="7"/>
        <v>1.06E-2</v>
      </c>
      <c r="R66" s="30">
        <v>3.7</v>
      </c>
      <c r="S66" s="42" t="s">
        <v>29</v>
      </c>
      <c r="T66" s="46">
        <v>2.6399833951288194E-4</v>
      </c>
      <c r="U66" s="33">
        <v>25.479736673848471</v>
      </c>
      <c r="V66" s="22">
        <f t="shared" si="5"/>
        <v>0.01</v>
      </c>
      <c r="W66" s="42">
        <v>26.2886363636364</v>
      </c>
      <c r="X66" s="52">
        <v>1.843185840707964E-2</v>
      </c>
      <c r="Y66" s="16">
        <v>0.68327858097604699</v>
      </c>
      <c r="Z66" s="37">
        <v>0.45194662969794203</v>
      </c>
    </row>
    <row r="67" spans="2:26" x14ac:dyDescent="0.3">
      <c r="B67" s="5">
        <v>36</v>
      </c>
      <c r="C67" s="5" t="s">
        <v>73</v>
      </c>
      <c r="D67">
        <f t="shared" si="0"/>
        <v>0.47</v>
      </c>
      <c r="E67">
        <f t="shared" si="1"/>
        <v>3.2100000000000002E-3</v>
      </c>
      <c r="F67">
        <f t="shared" si="2"/>
        <v>0.47</v>
      </c>
      <c r="G67">
        <v>1</v>
      </c>
      <c r="H67">
        <v>1.5405405405405406</v>
      </c>
      <c r="I67" s="35">
        <v>1456.9050364259899</v>
      </c>
      <c r="J67">
        <v>7.54</v>
      </c>
      <c r="K67" s="16">
        <v>59.089673875671203</v>
      </c>
      <c r="L67" s="37">
        <v>88.241373457616305</v>
      </c>
      <c r="M67" s="5">
        <v>35</v>
      </c>
      <c r="N67">
        <f t="shared" si="3"/>
        <v>0.01</v>
      </c>
      <c r="O67">
        <v>3.7</v>
      </c>
      <c r="P67">
        <v>36.799999999999997</v>
      </c>
      <c r="Q67">
        <f t="shared" si="7"/>
        <v>1.06E-2</v>
      </c>
      <c r="R67" s="30">
        <v>5.7</v>
      </c>
      <c r="S67" s="42" t="s">
        <v>29</v>
      </c>
      <c r="T67" s="46">
        <v>1.4492485183067444E-4</v>
      </c>
      <c r="U67" s="33">
        <v>26.771614263260808</v>
      </c>
      <c r="V67" s="22">
        <f t="shared" si="5"/>
        <v>0.01</v>
      </c>
      <c r="W67" s="42">
        <v>27.896590909090907</v>
      </c>
      <c r="X67" s="52">
        <v>1.622831858407079E-2</v>
      </c>
      <c r="Y67" s="16">
        <v>0.58977730147406204</v>
      </c>
      <c r="Z67" s="37">
        <v>0.39010130142348598</v>
      </c>
    </row>
    <row r="68" spans="2:26" x14ac:dyDescent="0.3">
      <c r="B68" s="5">
        <v>37</v>
      </c>
      <c r="C68" s="5" t="s">
        <v>73</v>
      </c>
      <c r="D68">
        <f t="shared" si="0"/>
        <v>0.47</v>
      </c>
      <c r="E68">
        <f t="shared" si="1"/>
        <v>3.2100000000000002E-3</v>
      </c>
      <c r="F68">
        <f t="shared" si="2"/>
        <v>0.47</v>
      </c>
      <c r="G68">
        <v>1</v>
      </c>
      <c r="H68">
        <v>1.5405405405405406</v>
      </c>
      <c r="I68" s="35">
        <v>1458.19203057615</v>
      </c>
      <c r="J68">
        <v>7.54</v>
      </c>
      <c r="K68" s="16">
        <v>59.114145049380902</v>
      </c>
      <c r="L68" s="37">
        <v>88.277917405765393</v>
      </c>
      <c r="M68" s="5">
        <v>35</v>
      </c>
      <c r="N68">
        <f t="shared" si="3"/>
        <v>0.01</v>
      </c>
      <c r="O68">
        <v>3.7</v>
      </c>
      <c r="P68">
        <v>36.799999999999997</v>
      </c>
      <c r="Q68">
        <f t="shared" si="7"/>
        <v>1.06E-2</v>
      </c>
      <c r="R68" s="30">
        <v>5.7</v>
      </c>
      <c r="S68" s="42" t="s">
        <v>29</v>
      </c>
      <c r="T68" s="46">
        <v>1.6079169767786969E-4</v>
      </c>
      <c r="U68" s="33">
        <v>26.468357271631668</v>
      </c>
      <c r="V68" s="22">
        <f t="shared" si="5"/>
        <v>0.01</v>
      </c>
      <c r="W68" s="42">
        <v>27.652272727272727</v>
      </c>
      <c r="X68" s="52">
        <v>1.6406573957016432E-2</v>
      </c>
      <c r="Y68" s="16">
        <v>0.61135451982067401</v>
      </c>
      <c r="Z68" s="37">
        <v>0.404373300256053</v>
      </c>
    </row>
    <row r="69" spans="2:26" x14ac:dyDescent="0.3">
      <c r="B69" s="5">
        <v>38</v>
      </c>
      <c r="C69" s="5" t="s">
        <v>73</v>
      </c>
      <c r="D69">
        <f t="shared" si="0"/>
        <v>0.47</v>
      </c>
      <c r="E69">
        <f t="shared" si="1"/>
        <v>3.2100000000000002E-3</v>
      </c>
      <c r="F69">
        <f t="shared" si="2"/>
        <v>0.47</v>
      </c>
      <c r="G69">
        <v>1</v>
      </c>
      <c r="H69">
        <v>1.5405405405405406</v>
      </c>
      <c r="I69" s="35">
        <v>1458.23430229113</v>
      </c>
      <c r="J69">
        <v>7.54</v>
      </c>
      <c r="K69" s="16">
        <v>59.114948606668399</v>
      </c>
      <c r="L69" s="37">
        <v>88.279117395442995</v>
      </c>
      <c r="M69" s="5">
        <v>35</v>
      </c>
      <c r="N69">
        <f t="shared" si="3"/>
        <v>0.01</v>
      </c>
      <c r="O69">
        <v>3.7</v>
      </c>
      <c r="P69">
        <v>36.799999999999997</v>
      </c>
      <c r="Q69">
        <f t="shared" si="7"/>
        <v>1.06E-2</v>
      </c>
      <c r="R69" s="30">
        <v>5.7</v>
      </c>
      <c r="S69" s="42" t="s">
        <v>29</v>
      </c>
      <c r="T69" s="46">
        <v>1.8093902925007531E-4</v>
      </c>
      <c r="U69" s="33">
        <v>26.458404046741649</v>
      </c>
      <c r="V69" s="22">
        <f t="shared" si="5"/>
        <v>0.01</v>
      </c>
      <c r="W69" s="42">
        <v>27.095454545454547</v>
      </c>
      <c r="X69" s="52">
        <v>1.6524146649810362E-2</v>
      </c>
      <c r="Y69" s="16">
        <v>0.61135451982067401</v>
      </c>
      <c r="Z69" s="37">
        <v>0.404373300256053</v>
      </c>
    </row>
    <row r="70" spans="2:26" x14ac:dyDescent="0.3">
      <c r="B70" s="5">
        <v>39</v>
      </c>
      <c r="C70" s="5" t="s">
        <v>73</v>
      </c>
      <c r="D70">
        <f t="shared" si="0"/>
        <v>0.47</v>
      </c>
      <c r="E70">
        <f t="shared" si="1"/>
        <v>3.2100000000000002E-3</v>
      </c>
      <c r="F70">
        <f t="shared" si="2"/>
        <v>0.47</v>
      </c>
      <c r="G70">
        <v>1</v>
      </c>
      <c r="H70">
        <v>1.5405405405405406</v>
      </c>
      <c r="I70" s="35">
        <v>1459.1515617668799</v>
      </c>
      <c r="J70">
        <v>7.54</v>
      </c>
      <c r="K70" s="16">
        <v>59.132381949904101</v>
      </c>
      <c r="L70" s="37">
        <v>88.305151422205597</v>
      </c>
      <c r="M70" s="5">
        <v>35</v>
      </c>
      <c r="N70">
        <f t="shared" si="3"/>
        <v>0.01</v>
      </c>
      <c r="O70">
        <v>3.7</v>
      </c>
      <c r="P70">
        <v>36.799999999999997</v>
      </c>
      <c r="Q70">
        <f t="shared" si="7"/>
        <v>1.06E-2</v>
      </c>
      <c r="R70" s="30">
        <v>5.7</v>
      </c>
      <c r="S70" s="42" t="s">
        <v>29</v>
      </c>
      <c r="T70" s="46">
        <v>2.0207610706873705E-4</v>
      </c>
      <c r="U70" s="33">
        <v>26.242542585431849</v>
      </c>
      <c r="V70" s="22">
        <f t="shared" si="5"/>
        <v>0.01</v>
      </c>
      <c r="W70" s="42">
        <v>26.976136363636368</v>
      </c>
      <c r="X70" s="52">
        <v>1.6721365360303411E-2</v>
      </c>
      <c r="Y70" s="16">
        <v>0.63293173816728598</v>
      </c>
      <c r="Z70" s="37">
        <v>0.41864529908862003</v>
      </c>
    </row>
    <row r="71" spans="2:26" x14ac:dyDescent="0.3">
      <c r="B71" s="5">
        <v>40</v>
      </c>
      <c r="C71" s="5" t="s">
        <v>73</v>
      </c>
      <c r="D71">
        <f t="shared" si="0"/>
        <v>0.47</v>
      </c>
      <c r="E71">
        <f t="shared" si="1"/>
        <v>3.2100000000000002E-3</v>
      </c>
      <c r="F71">
        <f t="shared" si="2"/>
        <v>0.47</v>
      </c>
      <c r="G71">
        <v>1</v>
      </c>
      <c r="H71">
        <v>1.5405405405405406</v>
      </c>
      <c r="I71" s="35">
        <v>1460.33733659017</v>
      </c>
      <c r="J71">
        <v>7.54</v>
      </c>
      <c r="K71" s="16">
        <v>59.1549096253095</v>
      </c>
      <c r="L71" s="37">
        <v>88.338793053445002</v>
      </c>
      <c r="M71" s="5">
        <v>35</v>
      </c>
      <c r="N71">
        <f t="shared" si="3"/>
        <v>0.01</v>
      </c>
      <c r="O71">
        <v>3.7</v>
      </c>
      <c r="P71">
        <v>36.799999999999997</v>
      </c>
      <c r="Q71">
        <f t="shared" si="7"/>
        <v>1.06E-2</v>
      </c>
      <c r="R71" s="30">
        <v>5.7</v>
      </c>
      <c r="S71" s="42" t="s">
        <v>29</v>
      </c>
      <c r="T71" s="46">
        <v>2.2172472481903676E-4</v>
      </c>
      <c r="U71" s="33">
        <v>25.963815631317892</v>
      </c>
      <c r="V71" s="22">
        <f t="shared" si="5"/>
        <v>0.01</v>
      </c>
      <c r="W71" s="42">
        <v>26.839772727272727</v>
      </c>
      <c r="X71" s="52">
        <v>1.6592414664981032E-2</v>
      </c>
      <c r="Y71" s="16">
        <v>0.64731655039836</v>
      </c>
      <c r="Z71" s="37">
        <v>0.42815996497699699</v>
      </c>
    </row>
    <row r="72" spans="2:26" x14ac:dyDescent="0.3">
      <c r="B72" s="5">
        <v>41</v>
      </c>
      <c r="C72" s="5" t="s">
        <v>73</v>
      </c>
      <c r="D72">
        <f t="shared" si="0"/>
        <v>0.47</v>
      </c>
      <c r="E72">
        <f t="shared" si="1"/>
        <v>3.2100000000000002E-3</v>
      </c>
      <c r="F72">
        <f t="shared" si="2"/>
        <v>0.47</v>
      </c>
      <c r="G72">
        <v>1</v>
      </c>
      <c r="H72">
        <v>1.5405405405405406</v>
      </c>
      <c r="I72" s="35">
        <v>1461.82217134025</v>
      </c>
      <c r="J72">
        <v>7.54</v>
      </c>
      <c r="K72" s="16">
        <v>59.183104569441099</v>
      </c>
      <c r="L72" s="37">
        <v>88.380897882115605</v>
      </c>
      <c r="M72" s="5">
        <v>35</v>
      </c>
      <c r="N72">
        <f t="shared" si="3"/>
        <v>0.01</v>
      </c>
      <c r="O72">
        <v>3.7</v>
      </c>
      <c r="P72">
        <v>36.799999999999997</v>
      </c>
      <c r="Q72">
        <f t="shared" si="7"/>
        <v>1.06E-2</v>
      </c>
      <c r="R72" s="30">
        <v>5.7</v>
      </c>
      <c r="S72" s="42" t="s">
        <v>29</v>
      </c>
      <c r="T72" s="46">
        <v>2.4242648739116932E-4</v>
      </c>
      <c r="U72" s="33">
        <v>25.615307725184749</v>
      </c>
      <c r="V72" s="22">
        <f t="shared" si="5"/>
        <v>0.01</v>
      </c>
      <c r="W72" s="42">
        <v>26.709090909090996</v>
      </c>
      <c r="X72" s="52">
        <v>1.6789633375474081E-2</v>
      </c>
      <c r="Y72" s="16">
        <v>0.67608617486051004</v>
      </c>
      <c r="Z72" s="37">
        <v>0.44718929675375302</v>
      </c>
    </row>
    <row r="73" spans="2:26" x14ac:dyDescent="0.3">
      <c r="B73" s="5">
        <v>42</v>
      </c>
      <c r="C73" s="5" t="s">
        <v>73</v>
      </c>
      <c r="D73">
        <f t="shared" si="0"/>
        <v>0.47</v>
      </c>
      <c r="E73">
        <f t="shared" si="1"/>
        <v>3.2100000000000002E-3</v>
      </c>
      <c r="F73">
        <f t="shared" si="2"/>
        <v>0.47</v>
      </c>
      <c r="G73">
        <v>1</v>
      </c>
      <c r="H73">
        <v>1.5405405405405406</v>
      </c>
      <c r="I73" s="35">
        <v>1462.2514750528801</v>
      </c>
      <c r="J73">
        <v>7.54</v>
      </c>
      <c r="K73" s="16">
        <v>59.191253472642799</v>
      </c>
      <c r="L73" s="37">
        <v>88.393067020368093</v>
      </c>
      <c r="M73" s="5">
        <v>35</v>
      </c>
      <c r="N73">
        <f t="shared" si="3"/>
        <v>0.01</v>
      </c>
      <c r="O73">
        <v>3.7</v>
      </c>
      <c r="P73">
        <v>36.799999999999997</v>
      </c>
      <c r="Q73">
        <f t="shared" si="7"/>
        <v>1.06E-2</v>
      </c>
      <c r="R73" s="30">
        <v>5.7</v>
      </c>
      <c r="S73" s="42" t="s">
        <v>29</v>
      </c>
      <c r="T73" s="46">
        <v>2.6443264499825505E-4</v>
      </c>
      <c r="U73" s="33">
        <v>25.514651853618801</v>
      </c>
      <c r="V73" s="22">
        <f t="shared" si="5"/>
        <v>0.01</v>
      </c>
      <c r="W73" s="42">
        <v>26.5386363636364</v>
      </c>
      <c r="X73" s="52">
        <v>1.6964096080910242E-2</v>
      </c>
      <c r="Y73" s="16">
        <v>0.68327858097604699</v>
      </c>
      <c r="Z73" s="37">
        <v>0.45194662969794203</v>
      </c>
    </row>
    <row r="74" spans="2:26" x14ac:dyDescent="0.3">
      <c r="B74" s="5">
        <v>43</v>
      </c>
      <c r="C74" s="5" t="s">
        <v>74</v>
      </c>
      <c r="D74">
        <f t="shared" si="0"/>
        <v>0.47</v>
      </c>
      <c r="E74">
        <f t="shared" si="1"/>
        <v>3.2100000000000002E-3</v>
      </c>
      <c r="F74">
        <f t="shared" si="2"/>
        <v>0.47</v>
      </c>
      <c r="G74">
        <v>1</v>
      </c>
      <c r="H74">
        <v>1</v>
      </c>
      <c r="I74" s="35">
        <v>1457.97363089793</v>
      </c>
      <c r="J74">
        <v>7.54</v>
      </c>
      <c r="K74" s="16">
        <v>59.109993197535701</v>
      </c>
      <c r="L74" s="37">
        <v>59.109993197535701</v>
      </c>
      <c r="M74" s="5">
        <v>35</v>
      </c>
      <c r="N74">
        <f t="shared" si="3"/>
        <v>0.01</v>
      </c>
      <c r="O74">
        <v>3.7</v>
      </c>
      <c r="P74">
        <f>40</f>
        <v>40</v>
      </c>
      <c r="Q74">
        <f>0.01</f>
        <v>0.01</v>
      </c>
      <c r="R74">
        <v>3.7</v>
      </c>
      <c r="S74" s="42" t="s">
        <v>29</v>
      </c>
      <c r="T74" s="46">
        <v>1.4356586728364511E-4</v>
      </c>
      <c r="U74" s="33">
        <v>26.519788717433659</v>
      </c>
      <c r="V74" s="22">
        <f t="shared" si="5"/>
        <v>0.01</v>
      </c>
      <c r="W74" s="52" t="s">
        <v>29</v>
      </c>
      <c r="X74" s="52" t="s">
        <v>29</v>
      </c>
      <c r="Y74" s="16">
        <v>0.61135451982067401</v>
      </c>
      <c r="Z74" s="37">
        <v>0.404373300256053</v>
      </c>
    </row>
    <row r="75" spans="2:26" x14ac:dyDescent="0.3">
      <c r="B75" s="5">
        <v>44</v>
      </c>
      <c r="C75" s="5" t="s">
        <v>74</v>
      </c>
      <c r="D75">
        <f t="shared" si="0"/>
        <v>0.47</v>
      </c>
      <c r="E75">
        <f t="shared" si="1"/>
        <v>3.2100000000000002E-3</v>
      </c>
      <c r="F75">
        <f t="shared" si="2"/>
        <v>0.47</v>
      </c>
      <c r="G75">
        <v>1</v>
      </c>
      <c r="H75">
        <v>1</v>
      </c>
      <c r="I75" s="35">
        <v>1458.4779035629899</v>
      </c>
      <c r="J75">
        <v>7.54</v>
      </c>
      <c r="K75" s="16">
        <v>59.119579064584599</v>
      </c>
      <c r="L75" s="37">
        <v>59.119579064584599</v>
      </c>
      <c r="M75" s="5">
        <v>35</v>
      </c>
      <c r="N75">
        <f t="shared" si="3"/>
        <v>0.01</v>
      </c>
      <c r="O75">
        <v>3.7</v>
      </c>
      <c r="P75">
        <f>40</f>
        <v>40</v>
      </c>
      <c r="Q75">
        <f t="shared" ref="Q75:Q90" si="8">0.01</f>
        <v>0.01</v>
      </c>
      <c r="R75">
        <v>3.7</v>
      </c>
      <c r="S75" s="42" t="s">
        <v>29</v>
      </c>
      <c r="T75" s="46">
        <v>1.5929410242554746E-4</v>
      </c>
      <c r="U75" s="33">
        <v>26.401055205011971</v>
      </c>
      <c r="V75" s="22">
        <f t="shared" si="5"/>
        <v>0.01</v>
      </c>
      <c r="W75" s="52" t="s">
        <v>29</v>
      </c>
      <c r="X75" s="52" t="s">
        <v>29</v>
      </c>
      <c r="Y75" s="16">
        <v>0.61854692593621097</v>
      </c>
      <c r="Z75" s="37">
        <v>0.40913063320024201</v>
      </c>
    </row>
    <row r="76" spans="2:26" x14ac:dyDescent="0.3">
      <c r="B76" s="5">
        <v>45</v>
      </c>
      <c r="C76" s="5" t="s">
        <v>74</v>
      </c>
      <c r="D76">
        <f t="shared" si="0"/>
        <v>0.47</v>
      </c>
      <c r="E76">
        <f t="shared" si="1"/>
        <v>3.2100000000000002E-3</v>
      </c>
      <c r="F76">
        <f t="shared" si="2"/>
        <v>0.47</v>
      </c>
      <c r="G76">
        <v>1</v>
      </c>
      <c r="H76">
        <v>1</v>
      </c>
      <c r="I76" s="35">
        <v>1459.2853264785899</v>
      </c>
      <c r="J76">
        <v>7.54</v>
      </c>
      <c r="K76" s="16">
        <v>59.1349237602249</v>
      </c>
      <c r="L76" s="37">
        <v>59.1349237602249</v>
      </c>
      <c r="M76" s="5">
        <v>35</v>
      </c>
      <c r="N76">
        <f t="shared" si="3"/>
        <v>0.01</v>
      </c>
      <c r="O76">
        <v>3.7</v>
      </c>
      <c r="P76">
        <f>40</f>
        <v>40</v>
      </c>
      <c r="Q76">
        <f t="shared" si="8"/>
        <v>0.01</v>
      </c>
      <c r="R76">
        <v>3.7</v>
      </c>
      <c r="S76" s="42" t="s">
        <v>29</v>
      </c>
      <c r="T76" s="46">
        <v>1.7807044515308901E-4</v>
      </c>
      <c r="U76" s="33">
        <v>26.21108166565859</v>
      </c>
      <c r="V76" s="22">
        <f t="shared" si="5"/>
        <v>0.01</v>
      </c>
      <c r="W76" s="52" t="s">
        <v>29</v>
      </c>
      <c r="X76" s="52" t="s">
        <v>29</v>
      </c>
      <c r="Y76" s="16">
        <v>0.63293173816728598</v>
      </c>
      <c r="Z76" s="37">
        <v>0.41864529908862003</v>
      </c>
    </row>
    <row r="77" spans="2:26" x14ac:dyDescent="0.3">
      <c r="B77" s="5">
        <v>46</v>
      </c>
      <c r="C77" s="5" t="s">
        <v>74</v>
      </c>
      <c r="D77">
        <f t="shared" si="0"/>
        <v>0.47</v>
      </c>
      <c r="E77">
        <f t="shared" si="1"/>
        <v>3.2100000000000002E-3</v>
      </c>
      <c r="F77">
        <f t="shared" si="2"/>
        <v>0.47</v>
      </c>
      <c r="G77">
        <v>1</v>
      </c>
      <c r="H77">
        <v>1</v>
      </c>
      <c r="I77" s="35">
        <v>1460.22823202719</v>
      </c>
      <c r="J77">
        <v>7.54</v>
      </c>
      <c r="K77" s="16">
        <v>59.152837255085998</v>
      </c>
      <c r="L77" s="37">
        <v>59.152837255085998</v>
      </c>
      <c r="M77" s="5">
        <v>35</v>
      </c>
      <c r="N77">
        <f t="shared" si="3"/>
        <v>0.01</v>
      </c>
      <c r="O77">
        <v>3.7</v>
      </c>
      <c r="P77">
        <f>40</f>
        <v>40</v>
      </c>
      <c r="Q77">
        <f t="shared" si="8"/>
        <v>0.01</v>
      </c>
      <c r="R77">
        <v>3.7</v>
      </c>
      <c r="S77" s="42" t="s">
        <v>29</v>
      </c>
      <c r="T77" s="46">
        <v>1.9642005281864287E-4</v>
      </c>
      <c r="U77" s="33">
        <v>25.989446339453991</v>
      </c>
      <c r="V77" s="22">
        <f t="shared" si="5"/>
        <v>0.01</v>
      </c>
      <c r="W77" s="52" t="s">
        <v>29</v>
      </c>
      <c r="X77" s="52" t="s">
        <v>29</v>
      </c>
      <c r="Y77" s="16">
        <v>0.64731655039836</v>
      </c>
      <c r="Z77" s="37">
        <v>0.42815996497699699</v>
      </c>
    </row>
    <row r="78" spans="2:26" x14ac:dyDescent="0.3">
      <c r="B78" s="5">
        <v>47</v>
      </c>
      <c r="C78" s="5" t="s">
        <v>74</v>
      </c>
      <c r="D78">
        <f t="shared" si="0"/>
        <v>0.47</v>
      </c>
      <c r="E78">
        <f t="shared" si="1"/>
        <v>3.2100000000000002E-3</v>
      </c>
      <c r="F78">
        <f t="shared" si="2"/>
        <v>0.47</v>
      </c>
      <c r="G78">
        <v>1</v>
      </c>
      <c r="H78">
        <v>1</v>
      </c>
      <c r="I78" s="35">
        <v>1461.47573220203</v>
      </c>
      <c r="J78">
        <v>7.54</v>
      </c>
      <c r="K78" s="16">
        <v>59.176527598666297</v>
      </c>
      <c r="L78" s="37">
        <v>59.176527598666297</v>
      </c>
      <c r="M78" s="5">
        <v>35</v>
      </c>
      <c r="N78">
        <f t="shared" si="3"/>
        <v>0.01</v>
      </c>
      <c r="O78">
        <v>3.7</v>
      </c>
      <c r="P78">
        <f>40</f>
        <v>40</v>
      </c>
      <c r="Q78">
        <f t="shared" si="8"/>
        <v>0.01</v>
      </c>
      <c r="R78">
        <v>3.7</v>
      </c>
      <c r="S78" s="42" t="s">
        <v>29</v>
      </c>
      <c r="T78" s="46">
        <v>2.1470869833248332E-4</v>
      </c>
      <c r="U78" s="33">
        <v>25.696569778497938</v>
      </c>
      <c r="V78" s="22">
        <f t="shared" si="5"/>
        <v>0.01</v>
      </c>
      <c r="W78" s="52" t="s">
        <v>29</v>
      </c>
      <c r="X78" s="52" t="s">
        <v>29</v>
      </c>
      <c r="Y78" s="16">
        <v>0.66889376874497297</v>
      </c>
      <c r="Z78" s="37">
        <v>0.44243196380956401</v>
      </c>
    </row>
    <row r="79" spans="2:26" x14ac:dyDescent="0.3">
      <c r="B79" s="5">
        <v>48</v>
      </c>
      <c r="C79" s="5" t="s">
        <v>74</v>
      </c>
      <c r="D79">
        <f t="shared" si="0"/>
        <v>0.47</v>
      </c>
      <c r="E79">
        <f t="shared" si="1"/>
        <v>3.2100000000000002E-3</v>
      </c>
      <c r="F79">
        <f t="shared" si="2"/>
        <v>0.47</v>
      </c>
      <c r="G79">
        <v>1</v>
      </c>
      <c r="H79">
        <v>1</v>
      </c>
      <c r="I79" s="35">
        <v>1461.9144490953399</v>
      </c>
      <c r="J79">
        <v>7.54</v>
      </c>
      <c r="K79" s="16">
        <v>59.184856263609198</v>
      </c>
      <c r="L79" s="37">
        <v>59.184856263609198</v>
      </c>
      <c r="M79" s="5">
        <v>35</v>
      </c>
      <c r="N79">
        <f t="shared" si="3"/>
        <v>0.01</v>
      </c>
      <c r="O79">
        <v>3.7</v>
      </c>
      <c r="P79">
        <f>40</f>
        <v>40</v>
      </c>
      <c r="Q79">
        <f t="shared" si="8"/>
        <v>0.01</v>
      </c>
      <c r="R79">
        <v>3.7</v>
      </c>
      <c r="S79" s="42" t="s">
        <v>29</v>
      </c>
      <c r="T79" s="46">
        <v>2.3220483587405575E-4</v>
      </c>
      <c r="U79" s="33">
        <v>25.593667964715031</v>
      </c>
      <c r="V79" s="22">
        <f t="shared" si="5"/>
        <v>0.01</v>
      </c>
      <c r="W79" s="52" t="s">
        <v>29</v>
      </c>
      <c r="X79" s="52" t="s">
        <v>29</v>
      </c>
      <c r="Y79" s="16">
        <v>0.67608617486051004</v>
      </c>
      <c r="Z79" s="37">
        <v>0.44718929675375302</v>
      </c>
    </row>
    <row r="80" spans="2:26" x14ac:dyDescent="0.3">
      <c r="B80" s="5">
        <v>49</v>
      </c>
      <c r="C80" s="5" t="s">
        <v>74</v>
      </c>
      <c r="D80">
        <f t="shared" si="0"/>
        <v>0.47</v>
      </c>
      <c r="E80">
        <f t="shared" si="1"/>
        <v>3.2100000000000002E-3</v>
      </c>
      <c r="F80">
        <f t="shared" si="2"/>
        <v>0.47</v>
      </c>
      <c r="G80">
        <v>1</v>
      </c>
      <c r="H80">
        <v>1</v>
      </c>
      <c r="I80" s="35">
        <v>1462.3871556690101</v>
      </c>
      <c r="J80">
        <v>7.54</v>
      </c>
      <c r="K80" s="16">
        <v>59.193828640606803</v>
      </c>
      <c r="L80" s="37">
        <v>59.193828640606803</v>
      </c>
      <c r="M80" s="5">
        <v>35</v>
      </c>
      <c r="N80">
        <f t="shared" si="3"/>
        <v>0.01</v>
      </c>
      <c r="O80">
        <v>3.7</v>
      </c>
      <c r="P80">
        <f>40</f>
        <v>40</v>
      </c>
      <c r="Q80">
        <f t="shared" si="8"/>
        <v>0.01</v>
      </c>
      <c r="R80">
        <v>3.7</v>
      </c>
      <c r="S80" s="42" t="s">
        <v>29</v>
      </c>
      <c r="T80" s="46">
        <v>2.522613837875679E-4</v>
      </c>
      <c r="U80" s="33">
        <v>25.48284969770285</v>
      </c>
      <c r="V80" s="22">
        <f t="shared" si="5"/>
        <v>0.01</v>
      </c>
      <c r="W80" s="52" t="s">
        <v>29</v>
      </c>
      <c r="X80" s="52" t="s">
        <v>29</v>
      </c>
      <c r="Y80" s="16">
        <v>0.68327858097604699</v>
      </c>
      <c r="Z80" s="37">
        <v>0.45194662969794203</v>
      </c>
    </row>
    <row r="81" spans="2:26" x14ac:dyDescent="0.3">
      <c r="B81" s="5">
        <v>50</v>
      </c>
      <c r="C81" s="5" t="s">
        <v>75</v>
      </c>
      <c r="D81">
        <f t="shared" si="0"/>
        <v>0.47</v>
      </c>
      <c r="E81">
        <f t="shared" si="1"/>
        <v>3.2100000000000002E-3</v>
      </c>
      <c r="F81">
        <f t="shared" si="2"/>
        <v>0.47</v>
      </c>
      <c r="G81">
        <v>1</v>
      </c>
      <c r="H81">
        <v>1</v>
      </c>
      <c r="I81" s="35">
        <v>1496.4634520530899</v>
      </c>
      <c r="J81">
        <v>7.54</v>
      </c>
      <c r="K81" s="16">
        <v>59.836419033112897</v>
      </c>
      <c r="L81" s="37">
        <v>59.836419033112897</v>
      </c>
      <c r="M81" s="5">
        <v>30</v>
      </c>
      <c r="N81">
        <f t="shared" si="3"/>
        <v>0.01</v>
      </c>
      <c r="O81">
        <v>3.7</v>
      </c>
      <c r="P81">
        <v>30</v>
      </c>
      <c r="Q81">
        <f t="shared" si="8"/>
        <v>0.01</v>
      </c>
      <c r="R81">
        <v>3.7</v>
      </c>
      <c r="S81" s="42" t="s">
        <v>29</v>
      </c>
      <c r="T81" s="46">
        <v>1.4399260234563478E-4</v>
      </c>
      <c r="U81" s="33">
        <v>22.64379946273494</v>
      </c>
      <c r="V81" s="22">
        <f t="shared" si="5"/>
        <v>0.01</v>
      </c>
      <c r="W81" s="52" t="s">
        <v>29</v>
      </c>
      <c r="X81" s="52" t="s">
        <v>29</v>
      </c>
      <c r="Y81" s="16">
        <v>0.70929979780816799</v>
      </c>
      <c r="Z81" s="37">
        <v>0.46191737519552001</v>
      </c>
    </row>
    <row r="82" spans="2:26" x14ac:dyDescent="0.3">
      <c r="B82" s="5">
        <v>51</v>
      </c>
      <c r="C82" s="5" t="s">
        <v>75</v>
      </c>
      <c r="D82">
        <f t="shared" si="0"/>
        <v>0.47</v>
      </c>
      <c r="E82">
        <f t="shared" si="1"/>
        <v>3.2100000000000002E-3</v>
      </c>
      <c r="F82">
        <f t="shared" si="2"/>
        <v>0.47</v>
      </c>
      <c r="G82">
        <v>1</v>
      </c>
      <c r="H82">
        <v>1</v>
      </c>
      <c r="I82" s="35">
        <v>1497.2349903014599</v>
      </c>
      <c r="J82">
        <v>7.54</v>
      </c>
      <c r="K82" s="16">
        <v>59.850873293132402</v>
      </c>
      <c r="L82" s="37">
        <v>59.850873293132402</v>
      </c>
      <c r="M82" s="5">
        <v>30</v>
      </c>
      <c r="N82">
        <f t="shared" si="3"/>
        <v>0.01</v>
      </c>
      <c r="O82">
        <v>3.7</v>
      </c>
      <c r="P82">
        <v>30</v>
      </c>
      <c r="Q82">
        <f t="shared" si="8"/>
        <v>0.01</v>
      </c>
      <c r="R82">
        <v>3.7</v>
      </c>
      <c r="S82" s="42" t="s">
        <v>29</v>
      </c>
      <c r="T82" s="46">
        <v>1.5929410242554746E-4</v>
      </c>
      <c r="U82" s="33">
        <v>22.469656816807159</v>
      </c>
      <c r="V82" s="22">
        <f t="shared" si="5"/>
        <v>0.01</v>
      </c>
      <c r="W82" s="52" t="s">
        <v>29</v>
      </c>
      <c r="X82" s="52" t="s">
        <v>29</v>
      </c>
      <c r="Y82" s="16">
        <v>0.71888493021098099</v>
      </c>
      <c r="Z82" s="37">
        <v>0.468159501887352</v>
      </c>
    </row>
    <row r="83" spans="2:26" x14ac:dyDescent="0.3">
      <c r="B83" s="5">
        <v>52</v>
      </c>
      <c r="C83" s="5" t="s">
        <v>75</v>
      </c>
      <c r="D83">
        <f t="shared" si="0"/>
        <v>0.47</v>
      </c>
      <c r="E83">
        <f t="shared" si="1"/>
        <v>3.2100000000000002E-3</v>
      </c>
      <c r="F83">
        <f t="shared" si="2"/>
        <v>0.47</v>
      </c>
      <c r="G83">
        <v>1</v>
      </c>
      <c r="H83">
        <v>1</v>
      </c>
      <c r="I83" s="35">
        <v>1497.5157081677501</v>
      </c>
      <c r="J83">
        <v>7.54</v>
      </c>
      <c r="K83" s="16">
        <v>59.856131325956298</v>
      </c>
      <c r="L83" s="37">
        <v>59.856131325956298</v>
      </c>
      <c r="M83" s="5">
        <v>30</v>
      </c>
      <c r="N83">
        <f t="shared" si="3"/>
        <v>0.01</v>
      </c>
      <c r="O83">
        <v>3.7</v>
      </c>
      <c r="P83">
        <v>30</v>
      </c>
      <c r="Q83">
        <f t="shared" si="8"/>
        <v>0.01</v>
      </c>
      <c r="R83">
        <v>3.7</v>
      </c>
      <c r="S83" s="42" t="s">
        <v>29</v>
      </c>
      <c r="T83" s="46">
        <v>1.7807044515308901E-4</v>
      </c>
      <c r="U83" s="33">
        <v>22.40633243789156</v>
      </c>
      <c r="V83" s="22">
        <f t="shared" si="5"/>
        <v>0.01</v>
      </c>
      <c r="W83" s="52" t="s">
        <v>29</v>
      </c>
      <c r="X83" s="52" t="s">
        <v>29</v>
      </c>
      <c r="Y83" s="16">
        <v>0.72847006261379399</v>
      </c>
      <c r="Z83" s="37">
        <v>0.474401628579183</v>
      </c>
    </row>
    <row r="84" spans="2:26" x14ac:dyDescent="0.3">
      <c r="B84" s="5">
        <v>53</v>
      </c>
      <c r="C84" s="5" t="s">
        <v>75</v>
      </c>
      <c r="D84">
        <f t="shared" si="0"/>
        <v>0.47</v>
      </c>
      <c r="E84">
        <f t="shared" si="1"/>
        <v>3.2100000000000002E-3</v>
      </c>
      <c r="F84">
        <f t="shared" si="2"/>
        <v>0.47</v>
      </c>
      <c r="G84">
        <v>1</v>
      </c>
      <c r="H84">
        <v>1</v>
      </c>
      <c r="I84" s="35">
        <v>1497.7614074553101</v>
      </c>
      <c r="J84">
        <v>7.54</v>
      </c>
      <c r="K84" s="16">
        <v>59.8607329867313</v>
      </c>
      <c r="L84" s="37">
        <v>59.8607329867313</v>
      </c>
      <c r="M84" s="5">
        <v>30</v>
      </c>
      <c r="N84">
        <f t="shared" si="3"/>
        <v>0.01</v>
      </c>
      <c r="O84">
        <v>3.7</v>
      </c>
      <c r="P84">
        <v>30</v>
      </c>
      <c r="Q84">
        <f t="shared" si="8"/>
        <v>0.01</v>
      </c>
      <c r="R84">
        <v>3.7</v>
      </c>
      <c r="S84" s="42" t="s">
        <v>29</v>
      </c>
      <c r="T84" s="46">
        <v>1.9727352294262129E-4</v>
      </c>
      <c r="U84" s="33">
        <v>22.350923304385482</v>
      </c>
      <c r="V84" s="22">
        <f t="shared" si="5"/>
        <v>0.01</v>
      </c>
      <c r="W84" s="52" t="s">
        <v>29</v>
      </c>
      <c r="X84" s="52" t="s">
        <v>29</v>
      </c>
      <c r="Y84" s="16">
        <v>0.72847006261379399</v>
      </c>
      <c r="Z84" s="37">
        <v>0.474401628579183</v>
      </c>
    </row>
    <row r="85" spans="2:26" x14ac:dyDescent="0.3">
      <c r="B85" s="5">
        <v>54</v>
      </c>
      <c r="C85" s="5" t="s">
        <v>75</v>
      </c>
      <c r="D85">
        <f t="shared" si="0"/>
        <v>0.47</v>
      </c>
      <c r="E85">
        <f t="shared" si="1"/>
        <v>3.2100000000000002E-3</v>
      </c>
      <c r="F85">
        <f t="shared" si="2"/>
        <v>0.47</v>
      </c>
      <c r="G85">
        <v>1</v>
      </c>
      <c r="H85">
        <v>1</v>
      </c>
      <c r="I85" s="35">
        <v>1498.0774010513501</v>
      </c>
      <c r="J85">
        <v>7.54</v>
      </c>
      <c r="K85" s="16">
        <v>59.866650558815898</v>
      </c>
      <c r="L85" s="37">
        <v>59.866650558815898</v>
      </c>
      <c r="M85" s="5">
        <v>30</v>
      </c>
      <c r="N85">
        <f t="shared" si="3"/>
        <v>0.01</v>
      </c>
      <c r="O85">
        <v>3.7</v>
      </c>
      <c r="P85">
        <v>30</v>
      </c>
      <c r="Q85">
        <f t="shared" si="8"/>
        <v>0.01</v>
      </c>
      <c r="R85">
        <v>3.7</v>
      </c>
      <c r="S85" s="42" t="s">
        <v>29</v>
      </c>
      <c r="T85" s="46">
        <v>2.1562313060817509E-4</v>
      </c>
      <c r="U85" s="33">
        <v>22.279683277453781</v>
      </c>
      <c r="V85" s="22">
        <f t="shared" si="5"/>
        <v>0.01</v>
      </c>
      <c r="W85" s="52" t="s">
        <v>29</v>
      </c>
      <c r="X85" s="52" t="s">
        <v>29</v>
      </c>
      <c r="Y85" s="16">
        <v>0.73805519501660699</v>
      </c>
      <c r="Z85" s="37">
        <v>0.48064375527101399</v>
      </c>
    </row>
    <row r="86" spans="2:26" x14ac:dyDescent="0.3">
      <c r="B86" s="5">
        <v>55</v>
      </c>
      <c r="C86" s="5" t="s">
        <v>75</v>
      </c>
      <c r="D86">
        <f t="shared" si="0"/>
        <v>0.47</v>
      </c>
      <c r="E86">
        <f t="shared" si="1"/>
        <v>3.2100000000000002E-3</v>
      </c>
      <c r="F86">
        <f t="shared" si="2"/>
        <v>0.47</v>
      </c>
      <c r="G86">
        <v>1</v>
      </c>
      <c r="H86">
        <v>1</v>
      </c>
      <c r="I86" s="35">
        <v>1498.3935024545499</v>
      </c>
      <c r="J86">
        <v>7.54</v>
      </c>
      <c r="K86" s="16">
        <v>59.872569454391801</v>
      </c>
      <c r="L86" s="37">
        <v>59.872569454391801</v>
      </c>
      <c r="M86" s="5">
        <v>30</v>
      </c>
      <c r="N86">
        <f t="shared" si="3"/>
        <v>0.01</v>
      </c>
      <c r="O86">
        <v>3.7</v>
      </c>
      <c r="P86">
        <v>30</v>
      </c>
      <c r="Q86">
        <f t="shared" si="8"/>
        <v>0.01</v>
      </c>
      <c r="R86">
        <v>3.7</v>
      </c>
      <c r="S86" s="42" t="s">
        <v>29</v>
      </c>
      <c r="T86" s="46">
        <v>2.3397273827372746E-4</v>
      </c>
      <c r="U86" s="33">
        <v>22.20844325052208</v>
      </c>
      <c r="V86" s="22">
        <f t="shared" si="5"/>
        <v>0.01</v>
      </c>
      <c r="W86" s="52" t="s">
        <v>29</v>
      </c>
      <c r="X86" s="52" t="s">
        <v>29</v>
      </c>
      <c r="Y86" s="16">
        <v>0.74764032741941999</v>
      </c>
      <c r="Z86" s="37">
        <v>0.48688588196284599</v>
      </c>
    </row>
    <row r="87" spans="2:26" x14ac:dyDescent="0.3">
      <c r="B87" s="5">
        <v>56</v>
      </c>
      <c r="C87" s="5" t="s">
        <v>75</v>
      </c>
      <c r="D87">
        <f t="shared" si="0"/>
        <v>0.47</v>
      </c>
      <c r="E87">
        <f t="shared" si="1"/>
        <v>3.2100000000000002E-3</v>
      </c>
      <c r="F87">
        <f t="shared" si="2"/>
        <v>0.47</v>
      </c>
      <c r="G87">
        <v>1</v>
      </c>
      <c r="H87">
        <v>1</v>
      </c>
      <c r="I87" s="35">
        <v>1498.5340245995201</v>
      </c>
      <c r="J87">
        <v>7.54</v>
      </c>
      <c r="K87" s="16">
        <v>59.875200458985397</v>
      </c>
      <c r="L87" s="37">
        <v>59.875200458985397</v>
      </c>
      <c r="M87" s="5">
        <v>30</v>
      </c>
      <c r="N87">
        <f t="shared" si="3"/>
        <v>0.01</v>
      </c>
      <c r="O87">
        <v>3.7</v>
      </c>
      <c r="P87">
        <v>30</v>
      </c>
      <c r="Q87">
        <f t="shared" si="8"/>
        <v>0.01</v>
      </c>
      <c r="R87">
        <v>3.7</v>
      </c>
      <c r="S87" s="42" t="s">
        <v>29</v>
      </c>
      <c r="T87" s="46">
        <v>2.5366351327696227E-4</v>
      </c>
      <c r="U87" s="33">
        <v>22.176781463670871</v>
      </c>
      <c r="V87" s="22">
        <f t="shared" si="5"/>
        <v>0.01</v>
      </c>
      <c r="W87" s="52" t="s">
        <v>29</v>
      </c>
      <c r="X87" s="52" t="s">
        <v>29</v>
      </c>
      <c r="Y87" s="16">
        <v>0.74764032741941999</v>
      </c>
      <c r="Z87" s="37">
        <v>0.48688588196284599</v>
      </c>
    </row>
    <row r="88" spans="2:26" x14ac:dyDescent="0.3">
      <c r="B88" s="5">
        <v>57</v>
      </c>
      <c r="C88" s="5" t="s">
        <v>76</v>
      </c>
      <c r="D88">
        <f t="shared" si="0"/>
        <v>0.47</v>
      </c>
      <c r="E88">
        <f t="shared" si="1"/>
        <v>3.2100000000000002E-3</v>
      </c>
      <c r="F88">
        <f t="shared" si="2"/>
        <v>0.47</v>
      </c>
      <c r="G88">
        <v>1</v>
      </c>
      <c r="H88">
        <v>1</v>
      </c>
      <c r="I88" s="35">
        <v>756.13519614147106</v>
      </c>
      <c r="J88">
        <v>7.54</v>
      </c>
      <c r="K88" s="16">
        <v>31.993971827807101</v>
      </c>
      <c r="L88" s="37">
        <v>31.993971827807101</v>
      </c>
      <c r="M88" s="5">
        <v>35</v>
      </c>
      <c r="N88">
        <f t="shared" si="3"/>
        <v>0.01</v>
      </c>
      <c r="O88">
        <v>1.9</v>
      </c>
      <c r="P88">
        <v>30</v>
      </c>
      <c r="Q88">
        <f t="shared" si="8"/>
        <v>0.01</v>
      </c>
      <c r="R88">
        <v>1.9</v>
      </c>
      <c r="S88" s="42" t="s">
        <v>29</v>
      </c>
      <c r="T88" s="46">
        <v>1.422856620976763E-4</v>
      </c>
      <c r="U88" s="33">
        <v>23.131926594620701</v>
      </c>
      <c r="V88" s="22">
        <f t="shared" si="5"/>
        <v>0.01</v>
      </c>
      <c r="W88" s="52" t="s">
        <v>29</v>
      </c>
      <c r="X88" s="52" t="s">
        <v>29</v>
      </c>
      <c r="Y88" s="16">
        <v>0.85589632774894298</v>
      </c>
      <c r="Z88" s="37">
        <v>0.56612262035847405</v>
      </c>
    </row>
    <row r="89" spans="2:26" x14ac:dyDescent="0.3">
      <c r="B89" s="5">
        <v>58</v>
      </c>
      <c r="C89" s="5" t="s">
        <v>76</v>
      </c>
      <c r="D89">
        <f t="shared" si="0"/>
        <v>0.47</v>
      </c>
      <c r="E89">
        <f t="shared" si="1"/>
        <v>3.2100000000000002E-3</v>
      </c>
      <c r="F89">
        <f t="shared" si="2"/>
        <v>0.47</v>
      </c>
      <c r="G89">
        <v>1</v>
      </c>
      <c r="H89">
        <v>1</v>
      </c>
      <c r="I89" s="35">
        <v>756.83720442875006</v>
      </c>
      <c r="J89">
        <v>7.54</v>
      </c>
      <c r="K89" s="16">
        <v>32.007893263811397</v>
      </c>
      <c r="L89" s="37">
        <v>32.007893263811397</v>
      </c>
      <c r="M89" s="5">
        <v>35</v>
      </c>
      <c r="N89">
        <f t="shared" si="3"/>
        <v>0.01</v>
      </c>
      <c r="O89">
        <v>1.9</v>
      </c>
      <c r="P89">
        <v>30</v>
      </c>
      <c r="Q89">
        <f t="shared" si="8"/>
        <v>0.01</v>
      </c>
      <c r="R89">
        <v>1.9</v>
      </c>
      <c r="S89" s="42" t="s">
        <v>29</v>
      </c>
      <c r="T89" s="46">
        <v>1.9294521017101284E-4</v>
      </c>
      <c r="U89" s="33">
        <v>22.815303492223002</v>
      </c>
      <c r="V89" s="22">
        <f t="shared" si="5"/>
        <v>0.01</v>
      </c>
      <c r="W89" s="52" t="s">
        <v>29</v>
      </c>
      <c r="X89" s="52" t="s">
        <v>29</v>
      </c>
      <c r="Y89" s="16">
        <v>0.87747354609555495</v>
      </c>
      <c r="Z89" s="37">
        <v>0.58039461919104096</v>
      </c>
    </row>
    <row r="90" spans="2:26" ht="15" thickBot="1" x14ac:dyDescent="0.35">
      <c r="B90" s="5">
        <v>59</v>
      </c>
      <c r="C90" s="7" t="s">
        <v>76</v>
      </c>
      <c r="D90" s="8">
        <f t="shared" si="0"/>
        <v>0.47</v>
      </c>
      <c r="E90" s="8">
        <f t="shared" si="1"/>
        <v>3.2100000000000002E-3</v>
      </c>
      <c r="F90" s="8">
        <f t="shared" si="2"/>
        <v>0.47</v>
      </c>
      <c r="G90" s="8">
        <v>1</v>
      </c>
      <c r="H90" s="8">
        <v>1</v>
      </c>
      <c r="I90" s="54">
        <v>757.96261063224495</v>
      </c>
      <c r="J90" s="8">
        <v>7.54</v>
      </c>
      <c r="K90" s="49">
        <v>32.030196042474699</v>
      </c>
      <c r="L90" s="50">
        <v>32.030196042474699</v>
      </c>
      <c r="M90" s="7">
        <v>35</v>
      </c>
      <c r="N90" s="8">
        <f t="shared" si="3"/>
        <v>0.01</v>
      </c>
      <c r="O90" s="8">
        <v>1.9</v>
      </c>
      <c r="P90" s="8">
        <v>30</v>
      </c>
      <c r="Q90" s="8">
        <f t="shared" si="8"/>
        <v>0.01</v>
      </c>
      <c r="R90" s="8">
        <v>1.9</v>
      </c>
      <c r="S90" s="43" t="s">
        <v>29</v>
      </c>
      <c r="T90" s="47">
        <v>2.706109914531203E-4</v>
      </c>
      <c r="U90" s="34">
        <v>22.308707253078399</v>
      </c>
      <c r="V90" s="23">
        <f t="shared" si="5"/>
        <v>0.01</v>
      </c>
      <c r="W90" s="53" t="s">
        <v>29</v>
      </c>
      <c r="X90" s="53" t="s">
        <v>29</v>
      </c>
      <c r="Y90" s="49">
        <v>0.91343557667324204</v>
      </c>
      <c r="Z90" s="50">
        <v>0.604181283911985</v>
      </c>
    </row>
    <row r="91" spans="2:26" x14ac:dyDescent="0.3">
      <c r="B91" s="3"/>
    </row>
  </sheetData>
  <mergeCells count="4">
    <mergeCell ref="E11:F11"/>
    <mergeCell ref="G11:H11"/>
    <mergeCell ref="I11:J11"/>
    <mergeCell ref="C7:N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DeAntonellis2017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Zeoli Alanis</dc:creator>
  <cp:lastModifiedBy>Zeoli Alanis</cp:lastModifiedBy>
  <dcterms:created xsi:type="dcterms:W3CDTF">2023-10-02T08:13:39Z</dcterms:created>
  <dcterms:modified xsi:type="dcterms:W3CDTF">2025-08-12T09:16:35Z</dcterms:modified>
</cp:coreProperties>
</file>