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Z\alaniszeo_git\OSD-ECMTest\IEC\"/>
    </mc:Choice>
  </mc:AlternateContent>
  <xr:revisionPtr revIDLastSave="0" documentId="13_ncr:1_{9506E7B7-8F8D-4E81-B6BF-7AF5146B1B6A}" xr6:coauthVersionLast="47" xr6:coauthVersionMax="47" xr10:uidLastSave="{00000000-0000-0000-0000-000000000000}"/>
  <bookViews>
    <workbookView xWindow="-108" yWindow="-108" windowWidth="30936" windowHeight="16776" xr2:uid="{1306219A-737B-4B5D-BCFD-98C34D3C77CC}"/>
  </bookViews>
  <sheets>
    <sheet name="Characteristics" sheetId="7" r:id="rId1"/>
    <sheet name="Data"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8" l="1"/>
  <c r="M61" i="8"/>
  <c r="U61" i="8" s="1"/>
  <c r="U60" i="8"/>
  <c r="P60" i="8"/>
  <c r="M60" i="8"/>
  <c r="P59" i="8"/>
  <c r="M59" i="8"/>
  <c r="U59" i="8" s="1"/>
  <c r="U58" i="8"/>
  <c r="P58" i="8"/>
  <c r="M58" i="8"/>
  <c r="E58" i="8"/>
  <c r="D58" i="8"/>
  <c r="P57" i="8"/>
  <c r="M57" i="8"/>
  <c r="U57" i="8" s="1"/>
  <c r="U56" i="8"/>
  <c r="P56" i="8"/>
  <c r="M56" i="8"/>
  <c r="P55" i="8"/>
  <c r="M55" i="8"/>
  <c r="U55" i="8" s="1"/>
  <c r="U54" i="8"/>
  <c r="P54" i="8"/>
  <c r="M54" i="8"/>
  <c r="E54" i="8"/>
  <c r="D54" i="8"/>
  <c r="P53" i="8"/>
  <c r="M53" i="8"/>
  <c r="U53" i="8" s="1"/>
  <c r="U52" i="8"/>
  <c r="P52" i="8"/>
  <c r="M52" i="8"/>
  <c r="U51" i="8"/>
  <c r="P51" i="8"/>
  <c r="O51" i="8"/>
  <c r="M51" i="8"/>
  <c r="P50" i="8"/>
  <c r="O50" i="8"/>
  <c r="M50" i="8"/>
  <c r="U50" i="8" s="1"/>
  <c r="P49" i="8"/>
  <c r="O49" i="8"/>
  <c r="M49" i="8"/>
  <c r="U49" i="8" s="1"/>
  <c r="E49" i="8"/>
  <c r="P48" i="8"/>
  <c r="O48" i="8"/>
  <c r="M48" i="8"/>
  <c r="U48" i="8" s="1"/>
  <c r="E48" i="8"/>
  <c r="D48" i="8"/>
  <c r="P47" i="8"/>
  <c r="O47" i="8"/>
  <c r="M47" i="8"/>
  <c r="U47" i="8" s="1"/>
  <c r="D47" i="8"/>
  <c r="C47" i="8"/>
  <c r="P46" i="8"/>
  <c r="O46" i="8"/>
  <c r="M46" i="8"/>
  <c r="U46" i="8" s="1"/>
  <c r="U45" i="8"/>
  <c r="P45" i="8"/>
  <c r="O45" i="8"/>
  <c r="M45" i="8"/>
  <c r="U44" i="8"/>
  <c r="P44" i="8"/>
  <c r="M44" i="8"/>
  <c r="P43" i="8"/>
  <c r="M43" i="8"/>
  <c r="U43" i="8" s="1"/>
  <c r="E43" i="8"/>
  <c r="P42" i="8"/>
  <c r="M42" i="8"/>
  <c r="U42" i="8" s="1"/>
  <c r="D42" i="8"/>
  <c r="C42" i="8"/>
  <c r="P41" i="8"/>
  <c r="M41" i="8"/>
  <c r="U41" i="8" s="1"/>
  <c r="U40" i="8"/>
  <c r="P40" i="8"/>
  <c r="M40" i="8"/>
  <c r="P39" i="8"/>
  <c r="M39" i="8"/>
  <c r="U39" i="8" s="1"/>
  <c r="E39" i="8"/>
  <c r="P38" i="8"/>
  <c r="M38" i="8"/>
  <c r="U38" i="8" s="1"/>
  <c r="D38" i="8"/>
  <c r="C38" i="8"/>
  <c r="P37" i="8"/>
  <c r="M37" i="8"/>
  <c r="U37" i="8" s="1"/>
  <c r="U36" i="8"/>
  <c r="P36" i="8"/>
  <c r="M36" i="8"/>
  <c r="P35" i="8"/>
  <c r="M35" i="8"/>
  <c r="U35" i="8" s="1"/>
  <c r="E35" i="8"/>
  <c r="P34" i="8"/>
  <c r="M34" i="8"/>
  <c r="U34" i="8" s="1"/>
  <c r="D34" i="8"/>
  <c r="C34" i="8"/>
  <c r="P33" i="8"/>
  <c r="M33" i="8"/>
  <c r="U33" i="8" s="1"/>
  <c r="U32" i="8"/>
  <c r="P32" i="8"/>
  <c r="M32" i="8"/>
  <c r="P31" i="8"/>
  <c r="M31" i="8"/>
  <c r="U31" i="8" s="1"/>
  <c r="E31" i="8"/>
  <c r="P30" i="8"/>
  <c r="M30" i="8"/>
  <c r="U30" i="8" s="1"/>
  <c r="D30" i="8"/>
  <c r="C30" i="8"/>
  <c r="P29" i="8"/>
  <c r="M29" i="8"/>
  <c r="U29" i="8" s="1"/>
  <c r="U28" i="8"/>
  <c r="P28" i="8"/>
  <c r="M28" i="8"/>
  <c r="P27" i="8"/>
  <c r="M27" i="8"/>
  <c r="U27" i="8" s="1"/>
  <c r="E27" i="8"/>
  <c r="P26" i="8"/>
  <c r="M26" i="8"/>
  <c r="U26" i="8" s="1"/>
  <c r="D26" i="8"/>
  <c r="C26" i="8"/>
  <c r="P25" i="8"/>
  <c r="M25" i="8"/>
  <c r="U25" i="8" s="1"/>
  <c r="U24" i="8"/>
  <c r="P24" i="8"/>
  <c r="M24" i="8"/>
  <c r="P23" i="8"/>
  <c r="M23" i="8"/>
  <c r="U23" i="8" s="1"/>
  <c r="E23" i="8"/>
  <c r="P22" i="8"/>
  <c r="M22" i="8"/>
  <c r="U22" i="8" s="1"/>
  <c r="D22" i="8"/>
  <c r="C22" i="8"/>
  <c r="P21" i="8"/>
  <c r="M21" i="8"/>
  <c r="U21" i="8" s="1"/>
  <c r="U20" i="8"/>
  <c r="P20" i="8"/>
  <c r="M20" i="8"/>
  <c r="P19" i="8"/>
  <c r="M19" i="8"/>
  <c r="U19" i="8" s="1"/>
  <c r="E19" i="8"/>
  <c r="P18" i="8"/>
  <c r="M18" i="8"/>
  <c r="U18" i="8" s="1"/>
  <c r="D18" i="8"/>
  <c r="C18" i="8"/>
  <c r="P17" i="8"/>
  <c r="M17" i="8"/>
  <c r="U17" i="8" s="1"/>
  <c r="U16" i="8"/>
  <c r="P16" i="8"/>
  <c r="M16" i="8"/>
  <c r="P15" i="8"/>
  <c r="M15" i="8"/>
  <c r="U15" i="8" s="1"/>
  <c r="E15" i="8"/>
  <c r="P14" i="8"/>
  <c r="M14" i="8"/>
  <c r="U14" i="8" s="1"/>
  <c r="D14" i="8"/>
  <c r="C14" i="8"/>
  <c r="P13" i="8"/>
  <c r="M13" i="8"/>
  <c r="U13" i="8" s="1"/>
  <c r="U12" i="8"/>
  <c r="P12" i="8"/>
  <c r="M12" i="8"/>
  <c r="P11" i="8"/>
  <c r="M11" i="8"/>
  <c r="U11" i="8" s="1"/>
  <c r="E11" i="8"/>
  <c r="P10" i="8"/>
  <c r="M10" i="8"/>
  <c r="U10" i="8" s="1"/>
  <c r="D10" i="8"/>
  <c r="C10" i="8"/>
  <c r="P9" i="8"/>
  <c r="M9" i="8"/>
  <c r="U9" i="8" s="1"/>
  <c r="U8" i="8"/>
  <c r="P8" i="8"/>
  <c r="M8" i="8"/>
  <c r="P7" i="8"/>
  <c r="M7" i="8"/>
  <c r="U7" i="8" s="1"/>
  <c r="E7" i="8"/>
  <c r="P6" i="8"/>
  <c r="M6" i="8"/>
  <c r="U6" i="8" s="1"/>
  <c r="D6" i="8"/>
  <c r="C6" i="8"/>
  <c r="P5" i="8"/>
  <c r="M5" i="8"/>
  <c r="U5" i="8" s="1"/>
  <c r="E5" i="8"/>
  <c r="U4" i="8"/>
  <c r="P4" i="8"/>
  <c r="M4" i="8"/>
  <c r="P3" i="8"/>
  <c r="M3" i="8"/>
  <c r="U3" i="8" s="1"/>
  <c r="E3" i="8"/>
  <c r="C22" i="7"/>
  <c r="C21" i="7"/>
  <c r="C20" i="7"/>
  <c r="D59" i="8" s="1"/>
  <c r="C18" i="7"/>
  <c r="E51" i="8" s="1"/>
  <c r="C17" i="7"/>
  <c r="C49" i="8" s="1"/>
  <c r="C16" i="8" l="1"/>
  <c r="E21" i="8"/>
  <c r="E25" i="8"/>
  <c r="C32" i="8"/>
  <c r="E41" i="8"/>
  <c r="D3" i="8"/>
  <c r="D7" i="8"/>
  <c r="D11" i="8"/>
  <c r="D15" i="8"/>
  <c r="D19" i="8"/>
  <c r="D23" i="8"/>
  <c r="D27" i="8"/>
  <c r="D31" i="8"/>
  <c r="D35" i="8"/>
  <c r="D39" i="8"/>
  <c r="D43" i="8"/>
  <c r="C48" i="8"/>
  <c r="D49" i="8"/>
  <c r="E50" i="8"/>
  <c r="C54" i="8"/>
  <c r="E55" i="8"/>
  <c r="C58" i="8"/>
  <c r="E59" i="8"/>
  <c r="C61" i="8"/>
  <c r="C5" i="8"/>
  <c r="E6" i="8"/>
  <c r="C9" i="8"/>
  <c r="E10" i="8"/>
  <c r="C13" i="8"/>
  <c r="E14" i="8"/>
  <c r="C17" i="8"/>
  <c r="E18" i="8"/>
  <c r="C21" i="8"/>
  <c r="E22" i="8"/>
  <c r="C25" i="8"/>
  <c r="E26" i="8"/>
  <c r="C29" i="8"/>
  <c r="E30" i="8"/>
  <c r="C33" i="8"/>
  <c r="E34" i="8"/>
  <c r="C37" i="8"/>
  <c r="E38" i="8"/>
  <c r="C41" i="8"/>
  <c r="E42" i="8"/>
  <c r="C45" i="8"/>
  <c r="D46" i="8"/>
  <c r="E47" i="8"/>
  <c r="D53" i="8"/>
  <c r="D57" i="8"/>
  <c r="D61" i="8"/>
  <c r="C53" i="8"/>
  <c r="C57" i="8"/>
  <c r="D5" i="8"/>
  <c r="D9" i="8"/>
  <c r="D13" i="8"/>
  <c r="D17" i="8"/>
  <c r="D21" i="8"/>
  <c r="D25" i="8"/>
  <c r="D29" i="8"/>
  <c r="D33" i="8"/>
  <c r="D37" i="8"/>
  <c r="D41" i="8"/>
  <c r="D45" i="8"/>
  <c r="E46" i="8"/>
  <c r="C52" i="8"/>
  <c r="E53" i="8"/>
  <c r="C56" i="8"/>
  <c r="E57" i="8"/>
  <c r="C60" i="8"/>
  <c r="E61" i="8"/>
  <c r="C12" i="8"/>
  <c r="C20" i="8"/>
  <c r="E29" i="8"/>
  <c r="C36" i="8"/>
  <c r="C40" i="8"/>
  <c r="C44" i="8"/>
  <c r="C51" i="8"/>
  <c r="D52" i="8"/>
  <c r="D56" i="8"/>
  <c r="D60" i="8"/>
  <c r="C8" i="8"/>
  <c r="E13" i="8"/>
  <c r="E17" i="8"/>
  <c r="C28" i="8"/>
  <c r="E33" i="8"/>
  <c r="E37" i="8"/>
  <c r="D4" i="8"/>
  <c r="D8" i="8"/>
  <c r="D12" i="8"/>
  <c r="D16" i="8"/>
  <c r="D20" i="8"/>
  <c r="D24" i="8"/>
  <c r="D28" i="8"/>
  <c r="D32" i="8"/>
  <c r="D36" i="8"/>
  <c r="D40" i="8"/>
  <c r="D44" i="8"/>
  <c r="C50" i="8"/>
  <c r="D51" i="8"/>
  <c r="E52" i="8"/>
  <c r="C55" i="8"/>
  <c r="E56" i="8"/>
  <c r="C59" i="8"/>
  <c r="E60" i="8"/>
  <c r="C46" i="8"/>
  <c r="C4" i="8"/>
  <c r="E9" i="8"/>
  <c r="C24" i="8"/>
  <c r="E45" i="8"/>
  <c r="C3" i="8"/>
  <c r="E4" i="8"/>
  <c r="C7" i="8"/>
  <c r="E8" i="8"/>
  <c r="C11" i="8"/>
  <c r="E12" i="8"/>
  <c r="C15" i="8"/>
  <c r="E16" i="8"/>
  <c r="C19" i="8"/>
  <c r="E20" i="8"/>
  <c r="C23" i="8"/>
  <c r="E24" i="8"/>
  <c r="C27" i="8"/>
  <c r="E28" i="8"/>
  <c r="C31" i="8"/>
  <c r="E32" i="8"/>
  <c r="C35" i="8"/>
  <c r="E36" i="8"/>
  <c r="C39" i="8"/>
  <c r="E40" i="8"/>
  <c r="C43" i="8"/>
  <c r="E44" i="8"/>
  <c r="D50" i="8"/>
  <c r="D55" i="8"/>
  <c r="C19" i="7"/>
</calcChain>
</file>

<file path=xl/sharedStrings.xml><?xml version="1.0" encoding="utf-8"?>
<sst xmlns="http://schemas.openxmlformats.org/spreadsheetml/2006/main" count="247" uniqueCount="93">
  <si>
    <t>Authors</t>
  </si>
  <si>
    <t>Title</t>
  </si>
  <si>
    <t>Year</t>
  </si>
  <si>
    <t>HEX characteristics</t>
  </si>
  <si>
    <t>Data type</t>
  </si>
  <si>
    <t>L</t>
  </si>
  <si>
    <t>m/s</t>
  </si>
  <si>
    <t>-</t>
  </si>
  <si>
    <t>m</t>
  </si>
  <si>
    <t>Configuration</t>
  </si>
  <si>
    <t>Water recirculation</t>
  </si>
  <si>
    <t>Run</t>
  </si>
  <si>
    <t>epsilon_wb</t>
  </si>
  <si>
    <t>Inlet conditions</t>
  </si>
  <si>
    <t>Outlet conditions</t>
  </si>
  <si>
    <t>HEX type</t>
  </si>
  <si>
    <t>Water injection type</t>
  </si>
  <si>
    <t>wf</t>
  </si>
  <si>
    <t>Geometry</t>
  </si>
  <si>
    <t>Length</t>
  </si>
  <si>
    <t>Height</t>
  </si>
  <si>
    <t>Paper information</t>
  </si>
  <si>
    <t>Operating conditions</t>
  </si>
  <si>
    <t>Water supplied</t>
  </si>
  <si>
    <t>Wall thickness</t>
  </si>
  <si>
    <t>Primary fluid velocity</t>
  </si>
  <si>
    <t>Secondary fluid velocity</t>
  </si>
  <si>
    <t>epsilon_dp</t>
  </si>
  <si>
    <t>kg/kg</t>
  </si>
  <si>
    <t>NA</t>
  </si>
  <si>
    <t>Testing conditions</t>
  </si>
  <si>
    <t>W</t>
  </si>
  <si>
    <t>h_ch</t>
  </si>
  <si>
    <t>Channel height</t>
  </si>
  <si>
    <t>Number of channels</t>
  </si>
  <si>
    <t>SPR</t>
  </si>
  <si>
    <t>Temperature</t>
  </si>
  <si>
    <t>pd</t>
  </si>
  <si>
    <t>sw</t>
  </si>
  <si>
    <t>Wall material</t>
  </si>
  <si>
    <t>Measurement uncertainties</t>
  </si>
  <si>
    <t>K</t>
  </si>
  <si>
    <t>Width</t>
  </si>
  <si>
    <t>Humidity</t>
  </si>
  <si>
    <t>%</t>
  </si>
  <si>
    <t>Air flow</t>
  </si>
  <si>
    <t>Secondary-to-Primary flow rate ratio</t>
  </si>
  <si>
    <t>kg/s</t>
  </si>
  <si>
    <t>Test</t>
  </si>
  <si>
    <t>T_pdi</t>
  </si>
  <si>
    <t>w_pdi</t>
  </si>
  <si>
    <t>v_pdi</t>
  </si>
  <si>
    <t>T_swi</t>
  </si>
  <si>
    <t>w_swi</t>
  </si>
  <si>
    <t>v_swi</t>
  </si>
  <si>
    <t>T_wfi</t>
  </si>
  <si>
    <t>m_dot_wf</t>
  </si>
  <si>
    <t>T_pdo</t>
  </si>
  <si>
    <t>w_pdo</t>
  </si>
  <si>
    <t>T_swo</t>
  </si>
  <si>
    <r>
      <t xml:space="preserve">De Antonellis </t>
    </r>
    <r>
      <rPr>
        <i/>
        <sz val="11"/>
        <color theme="1"/>
        <rFont val="Calibri"/>
        <family val="2"/>
        <scheme val="minor"/>
      </rPr>
      <t>et al.</t>
    </r>
  </si>
  <si>
    <t>Modeling and experimental study of an indirect evaporative cooler</t>
  </si>
  <si>
    <t>Experimental data, extracted from table and graphs</t>
  </si>
  <si>
    <t>IEC</t>
  </si>
  <si>
    <t>Yes</t>
  </si>
  <si>
    <t>T1</t>
  </si>
  <si>
    <t>Aluminium alloy</t>
  </si>
  <si>
    <t>T2</t>
  </si>
  <si>
    <t>Crossflow</t>
  </si>
  <si>
    <t>Parallel</t>
  </si>
  <si>
    <t>T3</t>
  </si>
  <si>
    <t>T4</t>
  </si>
  <si>
    <t>T5</t>
  </si>
  <si>
    <t>T6</t>
  </si>
  <si>
    <t>T10</t>
  </si>
  <si>
    <t>T11</t>
  </si>
  <si>
    <t>T12</t>
  </si>
  <si>
    <t>XPP</t>
  </si>
  <si>
    <t>Test number indicates similair operating conditions</t>
  </si>
  <si>
    <t>w_swo</t>
  </si>
  <si>
    <r>
      <rPr>
        <b/>
        <sz val="11"/>
        <color theme="1"/>
        <rFont val="Calibri"/>
        <family val="2"/>
        <scheme val="minor"/>
      </rPr>
      <t>NB:</t>
    </r>
    <r>
      <rPr>
        <sz val="11"/>
        <color theme="1"/>
        <rFont val="Calibri"/>
        <family val="2"/>
        <scheme val="minor"/>
      </rPr>
      <t xml:space="preserve"> For T10-12 the outlet conditions on secondary side are not avaiblable</t>
    </r>
  </si>
  <si>
    <t>Sprayed-water</t>
  </si>
  <si>
    <t>1.9-3.7</t>
  </si>
  <si>
    <t>1.9-5.7</t>
  </si>
  <si>
    <t>1-1.54</t>
  </si>
  <si>
    <t>0.008-0.02</t>
  </si>
  <si>
    <t>WWR</t>
  </si>
  <si>
    <t>Re</t>
  </si>
  <si>
    <t>Nu</t>
  </si>
  <si>
    <t>h_T_pd</t>
  </si>
  <si>
    <t>h_T_sw</t>
  </si>
  <si>
    <t>Description</t>
  </si>
  <si>
    <t>Experimental study of a crossflow IEC, consisting of a commercial 118-channel plate heat exchanger with water spray nozzles installed at the inlet of the secondary channels. Investigation of the effect of the secondary air inlet conditions and sprayed water flow rate on the performance of the heat exchanger. Measurement of the air conditions at the outlet of the secondary channel, implying the possibility of performing a model validation on the secondary side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</si>
</sst>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
    <numFmt numFmtId="167" formatCode="0.00000"/>
    <numFmt numFmtId="168" formatCode="0.00000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7">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14" xfId="0" applyFont="1" applyBorder="1"/>
    <xf numFmtId="2" fontId="0" fillId="0" borderId="0" xfId="0" applyNumberFormat="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164" fontId="0" fillId="0" borderId="2" xfId="0" applyNumberFormat="1" applyBorder="1"/>
    <xf numFmtId="0" fontId="0" fillId="0" borderId="0" xfId="0" quotePrefix="1"/>
    <xf numFmtId="0" fontId="1" fillId="0" borderId="4" xfId="0" applyFont="1" applyBorder="1" applyAlignment="1">
      <alignment wrapText="1"/>
    </xf>
    <xf numFmtId="0" fontId="0" fillId="0" borderId="5" xfId="0" applyBorder="1" applyAlignment="1">
      <alignment vertical="center"/>
    </xf>
    <xf numFmtId="0" fontId="1" fillId="0" borderId="7" xfId="0" applyFont="1" applyBorder="1"/>
    <xf numFmtId="165" fontId="0" fillId="0" borderId="0" xfId="0" applyNumberFormat="1"/>
    <xf numFmtId="166" fontId="0" fillId="0" borderId="0" xfId="0" applyNumberFormat="1"/>
    <xf numFmtId="166" fontId="0" fillId="0" borderId="2" xfId="0" applyNumberFormat="1" applyBorder="1"/>
    <xf numFmtId="166" fontId="0" fillId="0" borderId="1" xfId="0" applyNumberFormat="1" applyBorder="1"/>
    <xf numFmtId="166" fontId="0" fillId="0" borderId="4" xfId="0" applyNumberFormat="1" applyBorder="1"/>
    <xf numFmtId="166" fontId="0" fillId="0" borderId="6" xfId="0" applyNumberFormat="1" applyBorder="1"/>
    <xf numFmtId="1" fontId="0" fillId="0" borderId="0" xfId="0" applyNumberFormat="1"/>
    <xf numFmtId="2" fontId="0" fillId="0" borderId="3" xfId="0" applyNumberFormat="1" applyBorder="1"/>
    <xf numFmtId="2" fontId="0" fillId="0" borderId="5" xfId="0" applyNumberFormat="1" applyBorder="1"/>
    <xf numFmtId="0" fontId="0" fillId="0" borderId="1" xfId="0" applyBorder="1" applyAlignment="1">
      <alignment horizontal="right"/>
    </xf>
    <xf numFmtId="0" fontId="0" fillId="0" borderId="4" xfId="0" applyBorder="1" applyAlignment="1">
      <alignment horizontal="right"/>
    </xf>
    <xf numFmtId="0" fontId="0" fillId="0" borderId="4" xfId="0" applyBorder="1" applyAlignment="1">
      <alignment horizontal="right" vertical="center"/>
    </xf>
    <xf numFmtId="166" fontId="0" fillId="0" borderId="2" xfId="0" applyNumberFormat="1" applyBorder="1" applyAlignment="1">
      <alignment horizontal="right"/>
    </xf>
    <xf numFmtId="166" fontId="0" fillId="0" borderId="0" xfId="0" applyNumberFormat="1" applyAlignment="1">
      <alignment horizontal="right"/>
    </xf>
    <xf numFmtId="166" fontId="0" fillId="0" borderId="7" xfId="0" applyNumberFormat="1" applyBorder="1" applyAlignment="1">
      <alignment horizontal="right"/>
    </xf>
    <xf numFmtId="167" fontId="0" fillId="0" borderId="6" xfId="0" applyNumberFormat="1" applyBorder="1" applyAlignment="1">
      <alignment horizontal="right"/>
    </xf>
    <xf numFmtId="168" fontId="0" fillId="0" borderId="2" xfId="0" applyNumberFormat="1" applyBorder="1"/>
    <xf numFmtId="168" fontId="0" fillId="0" borderId="0" xfId="0" applyNumberFormat="1"/>
    <xf numFmtId="168" fontId="0" fillId="0" borderId="7" xfId="0" applyNumberFormat="1" applyBorder="1"/>
    <xf numFmtId="2" fontId="0" fillId="0" borderId="2" xfId="0" applyNumberFormat="1" applyBorder="1"/>
    <xf numFmtId="2" fontId="0" fillId="0" borderId="7" xfId="0" applyNumberFormat="1" applyBorder="1"/>
    <xf numFmtId="2" fontId="0" fillId="0" borderId="8" xfId="0" applyNumberFormat="1" applyBorder="1"/>
    <xf numFmtId="164" fontId="0" fillId="0" borderId="2"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1" fontId="0" fillId="0" borderId="7" xfId="0" applyNumberFormat="1" applyBorder="1"/>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0" xfId="0" applyAlignment="1">
      <alignment horizontal="left" vertical="top"/>
    </xf>
    <xf numFmtId="0" fontId="0" fillId="0" borderId="5" xfId="0" applyBorder="1" applyAlignment="1">
      <alignment horizontal="left" vertical="top"/>
    </xf>
    <xf numFmtId="0" fontId="1" fillId="0" borderId="14" xfId="0" applyFont="1" applyBorder="1" applyAlignment="1">
      <alignment horizontal="left" vertical="top"/>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340883</xdr:colOff>
      <xdr:row>3</xdr:row>
      <xdr:rowOff>49817</xdr:rowOff>
    </xdr:from>
    <xdr:to>
      <xdr:col>21</xdr:col>
      <xdr:colOff>538292</xdr:colOff>
      <xdr:row>26</xdr:row>
      <xdr:rowOff>256454</xdr:rowOff>
    </xdr:to>
    <xdr:pic>
      <xdr:nvPicPr>
        <xdr:cNvPr id="2" name="Image 1">
          <a:extLst>
            <a:ext uri="{FF2B5EF4-FFF2-40B4-BE49-F238E27FC236}">
              <a16:creationId xmlns:a16="http://schemas.microsoft.com/office/drawing/2014/main" id="{98393059-6138-4F99-AE63-F9AEC6C6B9B8}"/>
            </a:ext>
          </a:extLst>
        </xdr:cNvPr>
        <xdr:cNvPicPr>
          <a:picLocks noChangeAspect="1"/>
        </xdr:cNvPicPr>
      </xdr:nvPicPr>
      <xdr:blipFill>
        <a:blip xmlns:r="http://schemas.openxmlformats.org/officeDocument/2006/relationships" r:embed="rId1"/>
        <a:stretch>
          <a:fillRect/>
        </a:stretch>
      </xdr:blipFill>
      <xdr:spPr>
        <a:xfrm>
          <a:off x="10521203" y="613697"/>
          <a:ext cx="4700829" cy="508343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39AE-1F4F-4168-9100-36AEBF8E31DD}">
  <dimension ref="B1:AA91"/>
  <sheetViews>
    <sheetView tabSelected="1" zoomScaleNormal="100" workbookViewId="0">
      <selection activeCell="B24" sqref="B24"/>
    </sheetView>
  </sheetViews>
  <sheetFormatPr defaultColWidth="8.88671875" defaultRowHeight="14.4" x14ac:dyDescent="0.3"/>
  <cols>
    <col min="1" max="1" width="2.6640625" customWidth="1"/>
    <col min="2" max="2" width="22.33203125" bestFit="1" customWidth="1"/>
    <col min="3" max="3" width="15.5546875" customWidth="1"/>
    <col min="6" max="6" width="13.33203125" bestFit="1" customWidth="1"/>
    <col min="7" max="7" width="11.33203125" customWidth="1"/>
    <col min="8" max="19" width="9.33203125" customWidth="1"/>
    <col min="20" max="20" width="9.6640625" bestFit="1" customWidth="1"/>
    <col min="21" max="24" width="9.33203125" customWidth="1"/>
    <col min="25" max="25" width="10.5546875" bestFit="1" customWidth="1"/>
    <col min="26" max="26" width="10.21875" bestFit="1" customWidth="1"/>
  </cols>
  <sheetData>
    <row r="1" spans="2:16" ht="15" thickBot="1" x14ac:dyDescent="0.35"/>
    <row r="2" spans="2:16" ht="15" thickBot="1" x14ac:dyDescent="0.35">
      <c r="B2" s="10" t="s">
        <v>21</v>
      </c>
      <c r="C2" s="11"/>
      <c r="D2" s="11"/>
      <c r="E2" s="11"/>
      <c r="F2" s="11"/>
      <c r="G2" s="11"/>
      <c r="H2" s="11"/>
      <c r="I2" s="11"/>
      <c r="J2" s="11"/>
      <c r="K2" s="11"/>
      <c r="L2" s="11"/>
      <c r="M2" s="11"/>
      <c r="N2" s="12"/>
    </row>
    <row r="3" spans="2:16" x14ac:dyDescent="0.3">
      <c r="B3" s="20" t="s">
        <v>0</v>
      </c>
      <c r="C3" s="55" t="s">
        <v>60</v>
      </c>
      <c r="D3" s="56"/>
      <c r="E3" s="56"/>
      <c r="F3" s="56"/>
      <c r="G3" s="56"/>
      <c r="H3" s="56"/>
      <c r="I3" s="56"/>
      <c r="J3" s="56"/>
      <c r="K3" s="56"/>
      <c r="L3" s="56"/>
      <c r="M3" s="56"/>
      <c r="N3" s="57"/>
    </row>
    <row r="4" spans="2:16" x14ac:dyDescent="0.3">
      <c r="B4" s="21" t="s">
        <v>1</v>
      </c>
      <c r="C4" s="58" t="s">
        <v>61</v>
      </c>
      <c r="D4" s="59"/>
      <c r="E4" s="59"/>
      <c r="F4" s="59"/>
      <c r="G4" s="59"/>
      <c r="H4" s="59"/>
      <c r="I4" s="59"/>
      <c r="J4" s="59"/>
      <c r="K4" s="59"/>
      <c r="L4" s="59"/>
      <c r="M4" s="59"/>
      <c r="N4" s="60"/>
    </row>
    <row r="5" spans="2:16" x14ac:dyDescent="0.3">
      <c r="B5" s="21" t="s">
        <v>2</v>
      </c>
      <c r="C5" s="58">
        <v>2017</v>
      </c>
      <c r="D5" s="59"/>
      <c r="E5" s="59"/>
      <c r="F5" s="59"/>
      <c r="G5" s="59"/>
      <c r="H5" s="59"/>
      <c r="I5" s="59"/>
      <c r="J5" s="59"/>
      <c r="K5" s="59"/>
      <c r="L5" s="59"/>
      <c r="M5" s="59"/>
      <c r="N5" s="60"/>
    </row>
    <row r="6" spans="2:16" x14ac:dyDescent="0.3">
      <c r="B6" s="21" t="s">
        <v>4</v>
      </c>
      <c r="C6" s="58" t="s">
        <v>62</v>
      </c>
      <c r="D6" s="59"/>
      <c r="E6" s="59"/>
      <c r="F6" s="59"/>
      <c r="G6" s="59"/>
      <c r="H6" s="59"/>
      <c r="I6" s="59"/>
      <c r="J6" s="59"/>
      <c r="K6" s="59"/>
      <c r="L6" s="59"/>
      <c r="M6" s="59"/>
      <c r="N6" s="60"/>
    </row>
    <row r="7" spans="2:16" ht="60" customHeight="1" thickBot="1" x14ac:dyDescent="0.35">
      <c r="B7" s="61" t="s">
        <v>91</v>
      </c>
      <c r="C7" s="64" t="s">
        <v>92</v>
      </c>
      <c r="D7" s="65"/>
      <c r="E7" s="65"/>
      <c r="F7" s="65"/>
      <c r="G7" s="65"/>
      <c r="H7" s="65"/>
      <c r="I7" s="65"/>
      <c r="J7" s="65"/>
      <c r="K7" s="65"/>
      <c r="L7" s="65"/>
      <c r="M7" s="65"/>
      <c r="N7" s="66"/>
    </row>
    <row r="8" spans="2:16" ht="15" thickBot="1" x14ac:dyDescent="0.35"/>
    <row r="9" spans="2:16" ht="15" thickBot="1" x14ac:dyDescent="0.35">
      <c r="B9" s="10" t="s">
        <v>3</v>
      </c>
      <c r="C9" s="18"/>
      <c r="E9" s="10" t="s">
        <v>9</v>
      </c>
      <c r="F9" s="17"/>
      <c r="G9" s="17"/>
      <c r="H9" s="17"/>
      <c r="I9" s="17"/>
      <c r="J9" s="18"/>
    </row>
    <row r="10" spans="2:16" ht="15" thickBot="1" x14ac:dyDescent="0.35">
      <c r="B10" s="20" t="s">
        <v>15</v>
      </c>
      <c r="C10" s="6" t="s">
        <v>63</v>
      </c>
      <c r="E10" s="10" t="s">
        <v>37</v>
      </c>
      <c r="F10" s="11" t="s">
        <v>17</v>
      </c>
      <c r="G10" s="10" t="s">
        <v>37</v>
      </c>
      <c r="H10" s="12" t="s">
        <v>38</v>
      </c>
      <c r="I10" s="11" t="s">
        <v>38</v>
      </c>
      <c r="J10" s="12" t="s">
        <v>17</v>
      </c>
    </row>
    <row r="11" spans="2:16" ht="15" thickBot="1" x14ac:dyDescent="0.35">
      <c r="B11" s="21" t="s">
        <v>16</v>
      </c>
      <c r="C11" s="6" t="s">
        <v>81</v>
      </c>
      <c r="E11" s="62" t="s">
        <v>68</v>
      </c>
      <c r="F11" s="63"/>
      <c r="G11" s="62" t="s">
        <v>68</v>
      </c>
      <c r="H11" s="63"/>
      <c r="I11" s="62" t="s">
        <v>69</v>
      </c>
      <c r="J11" s="63"/>
    </row>
    <row r="12" spans="2:16" x14ac:dyDescent="0.3">
      <c r="B12" s="21" t="s">
        <v>10</v>
      </c>
      <c r="C12" s="6" t="s">
        <v>64</v>
      </c>
    </row>
    <row r="13" spans="2:16" x14ac:dyDescent="0.3">
      <c r="B13" s="21" t="s">
        <v>39</v>
      </c>
      <c r="C13" s="6" t="s">
        <v>66</v>
      </c>
    </row>
    <row r="14" spans="2:16" ht="15" thickBot="1" x14ac:dyDescent="0.35">
      <c r="B14" s="15" t="s">
        <v>9</v>
      </c>
      <c r="C14" s="9" t="s">
        <v>77</v>
      </c>
    </row>
    <row r="15" spans="2:16" ht="15" thickBot="1" x14ac:dyDescent="0.35">
      <c r="B15" s="1"/>
    </row>
    <row r="16" spans="2:16" ht="15" thickBot="1" x14ac:dyDescent="0.35">
      <c r="B16" s="10" t="s">
        <v>18</v>
      </c>
      <c r="C16" s="17"/>
      <c r="D16" s="18"/>
      <c r="F16" s="10" t="s">
        <v>40</v>
      </c>
      <c r="G16" s="17"/>
      <c r="H16" s="18"/>
      <c r="P16" s="16"/>
    </row>
    <row r="17" spans="2:27" x14ac:dyDescent="0.3">
      <c r="B17" s="20" t="s">
        <v>19</v>
      </c>
      <c r="C17" s="3">
        <f>0.47</f>
        <v>0.47</v>
      </c>
      <c r="D17" s="4" t="s">
        <v>8</v>
      </c>
      <c r="F17" s="20" t="s">
        <v>36</v>
      </c>
      <c r="G17" s="25">
        <v>0.2</v>
      </c>
      <c r="H17" s="6" t="s">
        <v>41</v>
      </c>
      <c r="P17" s="29"/>
    </row>
    <row r="18" spans="2:27" x14ac:dyDescent="0.3">
      <c r="B18" s="21" t="s">
        <v>42</v>
      </c>
      <c r="C18">
        <f>0.47</f>
        <v>0.47</v>
      </c>
      <c r="D18" s="6" t="s">
        <v>8</v>
      </c>
      <c r="F18" s="21" t="s">
        <v>43</v>
      </c>
      <c r="G18" s="30">
        <v>3.583199356913183</v>
      </c>
      <c r="H18" s="6" t="s">
        <v>44</v>
      </c>
    </row>
    <row r="19" spans="2:27" ht="15" thickBot="1" x14ac:dyDescent="0.35">
      <c r="B19" s="21" t="s">
        <v>20</v>
      </c>
      <c r="C19">
        <f>C22*C20+(C22-1)*C21</f>
        <v>0.39516000000000001</v>
      </c>
      <c r="D19" s="6" t="s">
        <v>8</v>
      </c>
      <c r="F19" s="15" t="s">
        <v>45</v>
      </c>
      <c r="G19" s="8">
        <v>0.5</v>
      </c>
      <c r="H19" s="9" t="s">
        <v>44</v>
      </c>
      <c r="I19" s="25"/>
    </row>
    <row r="20" spans="2:27" x14ac:dyDescent="0.3">
      <c r="B20" s="21" t="s">
        <v>33</v>
      </c>
      <c r="C20">
        <f>0.00321</f>
        <v>3.2100000000000002E-3</v>
      </c>
      <c r="D20" s="6" t="s">
        <v>8</v>
      </c>
    </row>
    <row r="21" spans="2:27" x14ac:dyDescent="0.3">
      <c r="B21" s="21" t="s">
        <v>24</v>
      </c>
      <c r="C21">
        <f>0.00014</f>
        <v>1.3999999999999999E-4</v>
      </c>
      <c r="D21" s="6" t="s">
        <v>8</v>
      </c>
    </row>
    <row r="22" spans="2:27" ht="15" thickBot="1" x14ac:dyDescent="0.35">
      <c r="B22" s="15" t="s">
        <v>34</v>
      </c>
      <c r="C22" s="8">
        <f>118</f>
        <v>118</v>
      </c>
      <c r="D22" s="9" t="s">
        <v>7</v>
      </c>
    </row>
    <row r="23" spans="2:27" ht="15" thickBot="1" x14ac:dyDescent="0.35">
      <c r="B23" s="1"/>
    </row>
    <row r="24" spans="2:27" ht="15" thickBot="1" x14ac:dyDescent="0.35">
      <c r="B24" s="2" t="s">
        <v>22</v>
      </c>
      <c r="C24" s="3"/>
      <c r="D24" s="4"/>
      <c r="F24" s="10" t="s">
        <v>48</v>
      </c>
      <c r="G24" s="17"/>
      <c r="H24" s="17"/>
      <c r="I24" s="17"/>
      <c r="J24" s="17"/>
      <c r="K24" s="17"/>
      <c r="L24" s="18"/>
    </row>
    <row r="25" spans="2:27" x14ac:dyDescent="0.3">
      <c r="B25" s="2" t="s">
        <v>25</v>
      </c>
      <c r="C25" s="38" t="s">
        <v>82</v>
      </c>
      <c r="D25" s="4" t="s">
        <v>6</v>
      </c>
      <c r="F25" s="5" t="s">
        <v>78</v>
      </c>
      <c r="L25" s="6"/>
    </row>
    <row r="26" spans="2:27" ht="15" thickBot="1" x14ac:dyDescent="0.35">
      <c r="B26" s="19" t="s">
        <v>26</v>
      </c>
      <c r="C26" s="39" t="s">
        <v>83</v>
      </c>
      <c r="D26" s="6" t="s">
        <v>6</v>
      </c>
      <c r="F26" s="7" t="s">
        <v>80</v>
      </c>
      <c r="G26" s="8"/>
      <c r="H26" s="8"/>
      <c r="I26" s="8"/>
      <c r="J26" s="8"/>
      <c r="K26" s="8"/>
      <c r="L26" s="9"/>
    </row>
    <row r="27" spans="2:27" ht="28.8" x14ac:dyDescent="0.3">
      <c r="B27" s="26" t="s">
        <v>46</v>
      </c>
      <c r="C27" s="40" t="s">
        <v>84</v>
      </c>
      <c r="D27" s="27" t="s">
        <v>28</v>
      </c>
    </row>
    <row r="28" spans="2:27" ht="15" thickBot="1" x14ac:dyDescent="0.35">
      <c r="B28" s="14" t="s">
        <v>23</v>
      </c>
      <c r="C28" s="44" t="s">
        <v>85</v>
      </c>
      <c r="D28" s="9" t="s">
        <v>47</v>
      </c>
      <c r="F28" s="16"/>
      <c r="G28" s="16"/>
      <c r="H28" s="16"/>
      <c r="I28" s="16"/>
      <c r="J28" s="16"/>
      <c r="K28" s="16"/>
      <c r="L28" s="16"/>
      <c r="M28" s="16"/>
      <c r="X28" s="16"/>
      <c r="Y28" s="16"/>
    </row>
    <row r="29" spans="2:27" x14ac:dyDescent="0.3">
      <c r="B29" s="1"/>
    </row>
    <row r="32" spans="2:27" x14ac:dyDescent="0.3">
      <c r="AA32" s="22"/>
    </row>
    <row r="90" spans="2:2" ht="15" thickBot="1" x14ac:dyDescent="0.35"/>
    <row r="91" spans="2:2" x14ac:dyDescent="0.3">
      <c r="B91" s="3"/>
    </row>
  </sheetData>
  <mergeCells count="4">
    <mergeCell ref="E11:F11"/>
    <mergeCell ref="G11:H11"/>
    <mergeCell ref="I11:J11"/>
    <mergeCell ref="C7:N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4C4A0-8F7A-4896-8181-6639F6707EA9}">
  <dimension ref="A1:Y61"/>
  <sheetViews>
    <sheetView workbookViewId="0">
      <selection activeCell="AA7" sqref="AA7"/>
    </sheetView>
  </sheetViews>
  <sheetFormatPr defaultRowHeight="14.4" x14ac:dyDescent="0.3"/>
  <cols>
    <col min="24" max="24" width="10.5546875" bestFit="1" customWidth="1"/>
    <col min="25" max="25" width="10.21875" bestFit="1" customWidth="1"/>
  </cols>
  <sheetData>
    <row r="1" spans="1:25" ht="15" thickBot="1" x14ac:dyDescent="0.35">
      <c r="A1" s="2"/>
      <c r="B1" s="10" t="s">
        <v>30</v>
      </c>
      <c r="C1" s="11"/>
      <c r="D1" s="11"/>
      <c r="E1" s="11"/>
      <c r="F1" s="11"/>
      <c r="G1" s="11"/>
      <c r="H1" s="11"/>
      <c r="I1" s="11"/>
      <c r="J1" s="11"/>
      <c r="K1" s="12"/>
      <c r="L1" s="10" t="s">
        <v>13</v>
      </c>
      <c r="M1" s="11"/>
      <c r="N1" s="11"/>
      <c r="O1" s="11"/>
      <c r="P1" s="11"/>
      <c r="Q1" s="11"/>
      <c r="R1" s="11"/>
      <c r="S1" s="12"/>
      <c r="T1" s="12" t="s">
        <v>14</v>
      </c>
      <c r="U1" s="3"/>
      <c r="V1" s="3"/>
      <c r="W1" s="17"/>
      <c r="X1" s="3"/>
      <c r="Y1" s="4"/>
    </row>
    <row r="2" spans="1:25" ht="15" thickBot="1" x14ac:dyDescent="0.35">
      <c r="A2" s="14" t="s">
        <v>11</v>
      </c>
      <c r="B2" s="10" t="s">
        <v>48</v>
      </c>
      <c r="C2" s="11" t="s">
        <v>5</v>
      </c>
      <c r="D2" s="11" t="s">
        <v>32</v>
      </c>
      <c r="E2" s="11" t="s">
        <v>31</v>
      </c>
      <c r="F2" s="11" t="s">
        <v>86</v>
      </c>
      <c r="G2" s="11" t="s">
        <v>35</v>
      </c>
      <c r="H2" s="11" t="s">
        <v>87</v>
      </c>
      <c r="I2" s="11" t="s">
        <v>88</v>
      </c>
      <c r="J2" s="11" t="s">
        <v>89</v>
      </c>
      <c r="K2" s="12" t="s">
        <v>90</v>
      </c>
      <c r="L2" s="10" t="s">
        <v>49</v>
      </c>
      <c r="M2" s="11" t="s">
        <v>50</v>
      </c>
      <c r="N2" s="28" t="s">
        <v>51</v>
      </c>
      <c r="O2" s="11" t="s">
        <v>52</v>
      </c>
      <c r="P2" s="11" t="s">
        <v>53</v>
      </c>
      <c r="Q2" s="28" t="s">
        <v>54</v>
      </c>
      <c r="R2" s="28" t="s">
        <v>55</v>
      </c>
      <c r="S2" s="28" t="s">
        <v>56</v>
      </c>
      <c r="T2" s="10" t="s">
        <v>57</v>
      </c>
      <c r="U2" s="11" t="s">
        <v>58</v>
      </c>
      <c r="V2" s="11" t="s">
        <v>59</v>
      </c>
      <c r="W2" s="11" t="s">
        <v>79</v>
      </c>
      <c r="X2" s="11" t="s">
        <v>12</v>
      </c>
      <c r="Y2" s="12" t="s">
        <v>27</v>
      </c>
    </row>
    <row r="3" spans="1:25" x14ac:dyDescent="0.3">
      <c r="A3" s="5">
        <v>1</v>
      </c>
      <c r="B3" s="5" t="s">
        <v>65</v>
      </c>
      <c r="C3">
        <f>Characteristics!$C$17</f>
        <v>0.47</v>
      </c>
      <c r="D3">
        <f>Characteristics!$C$20</f>
        <v>3.2100000000000002E-3</v>
      </c>
      <c r="E3" s="3">
        <f>Characteristics!$C$18</f>
        <v>0.47</v>
      </c>
      <c r="F3" s="3">
        <v>1</v>
      </c>
      <c r="G3">
        <v>1</v>
      </c>
      <c r="H3" s="35">
        <v>1469.155322245</v>
      </c>
      <c r="I3">
        <v>7.54</v>
      </c>
      <c r="J3" s="16">
        <v>59.322117515109703</v>
      </c>
      <c r="K3" s="37">
        <v>59.322117515109703</v>
      </c>
      <c r="L3" s="13">
        <v>35</v>
      </c>
      <c r="M3" s="3">
        <f>10*0.001</f>
        <v>0.01</v>
      </c>
      <c r="N3" s="3">
        <v>3.7</v>
      </c>
      <c r="O3" s="3">
        <v>30</v>
      </c>
      <c r="P3" s="24">
        <f>0.0106</f>
        <v>1.06E-2</v>
      </c>
      <c r="Q3" s="31">
        <v>3.7</v>
      </c>
      <c r="R3" s="41" t="s">
        <v>29</v>
      </c>
      <c r="S3" s="45">
        <v>1.4446126327180494E-4</v>
      </c>
      <c r="T3" s="32">
        <v>23.902492396952802</v>
      </c>
      <c r="U3" s="24">
        <f>M3</f>
        <v>0.01</v>
      </c>
      <c r="V3" s="41">
        <v>26.50568181818182</v>
      </c>
      <c r="W3" s="51">
        <v>1.6508975979772432E-2</v>
      </c>
      <c r="X3" s="48">
        <v>0.79835707882464502</v>
      </c>
      <c r="Y3" s="36">
        <v>0.52806395680496299</v>
      </c>
    </row>
    <row r="4" spans="1:25" x14ac:dyDescent="0.3">
      <c r="A4" s="5">
        <v>2</v>
      </c>
      <c r="B4" s="5" t="s">
        <v>65</v>
      </c>
      <c r="C4">
        <f>Characteristics!$C$17</f>
        <v>0.47</v>
      </c>
      <c r="D4">
        <f>Characteristics!$C$20</f>
        <v>3.2100000000000002E-3</v>
      </c>
      <c r="E4">
        <f>Characteristics!$C$18</f>
        <v>0.47</v>
      </c>
      <c r="F4">
        <v>1</v>
      </c>
      <c r="G4">
        <v>1</v>
      </c>
      <c r="H4" s="35">
        <v>1468.83854236615</v>
      </c>
      <c r="I4">
        <v>7.54</v>
      </c>
      <c r="J4" s="16">
        <v>59.316120386992701</v>
      </c>
      <c r="K4" s="37">
        <v>59.316120386992701</v>
      </c>
      <c r="L4" s="5">
        <v>35</v>
      </c>
      <c r="M4">
        <f>10*0.001</f>
        <v>0.01</v>
      </c>
      <c r="N4">
        <v>3.7</v>
      </c>
      <c r="O4">
        <v>30</v>
      </c>
      <c r="P4" s="22">
        <f>0.0106</f>
        <v>1.06E-2</v>
      </c>
      <c r="Q4" s="30">
        <v>3.7</v>
      </c>
      <c r="R4" s="42" t="s">
        <v>29</v>
      </c>
      <c r="S4" s="46">
        <v>1.6027001178968512E-4</v>
      </c>
      <c r="T4" s="33">
        <v>23.9761972624515</v>
      </c>
      <c r="U4" s="22">
        <f>M4</f>
        <v>0.01</v>
      </c>
      <c r="V4" s="42">
        <v>26.10227272727273</v>
      </c>
      <c r="W4" s="52">
        <v>1.675549936788874E-2</v>
      </c>
      <c r="X4" s="16">
        <v>0.79116467270910695</v>
      </c>
      <c r="Y4" s="37">
        <v>0.52330662386077498</v>
      </c>
    </row>
    <row r="5" spans="1:25" x14ac:dyDescent="0.3">
      <c r="A5" s="5">
        <v>3</v>
      </c>
      <c r="B5" s="5" t="s">
        <v>65</v>
      </c>
      <c r="C5">
        <f>Characteristics!$C$17</f>
        <v>0.47</v>
      </c>
      <c r="D5">
        <f>Characteristics!$C$20</f>
        <v>3.2100000000000002E-3</v>
      </c>
      <c r="E5">
        <f>Characteristics!$C$18</f>
        <v>0.47</v>
      </c>
      <c r="F5">
        <v>1</v>
      </c>
      <c r="G5">
        <v>1</v>
      </c>
      <c r="H5" s="35">
        <v>1469.51167663103</v>
      </c>
      <c r="I5">
        <v>7.54</v>
      </c>
      <c r="J5" s="16">
        <v>59.328862991233301</v>
      </c>
      <c r="K5" s="37">
        <v>59.328862991233301</v>
      </c>
      <c r="L5" s="5">
        <v>35</v>
      </c>
      <c r="M5">
        <f>10*0.001</f>
        <v>0.01</v>
      </c>
      <c r="N5">
        <v>3.7</v>
      </c>
      <c r="O5">
        <v>30</v>
      </c>
      <c r="P5" s="22">
        <f>0.0106</f>
        <v>1.06E-2</v>
      </c>
      <c r="Q5" s="30">
        <v>3.7</v>
      </c>
      <c r="R5" s="42" t="s">
        <v>29</v>
      </c>
      <c r="S5" s="46">
        <v>1.7899000990631022E-4</v>
      </c>
      <c r="T5" s="33">
        <v>23.819610482788597</v>
      </c>
      <c r="U5" s="22">
        <f>M5</f>
        <v>0.01</v>
      </c>
      <c r="V5" s="42">
        <v>25.92613636363637</v>
      </c>
      <c r="W5" s="52">
        <v>1.6744121365360302E-2</v>
      </c>
      <c r="X5" s="16">
        <v>0.80554948494018197</v>
      </c>
      <c r="Y5" s="37">
        <v>0.53282128974915199</v>
      </c>
    </row>
    <row r="6" spans="1:25" x14ac:dyDescent="0.3">
      <c r="A6" s="5">
        <v>4</v>
      </c>
      <c r="B6" s="5" t="s">
        <v>65</v>
      </c>
      <c r="C6">
        <f>Characteristics!$C$17</f>
        <v>0.47</v>
      </c>
      <c r="D6">
        <f>Characteristics!$C$20</f>
        <v>3.2100000000000002E-3</v>
      </c>
      <c r="E6">
        <f>Characteristics!$C$18</f>
        <v>0.47</v>
      </c>
      <c r="F6">
        <v>1</v>
      </c>
      <c r="G6">
        <v>1</v>
      </c>
      <c r="H6" s="35">
        <v>1471.44780979199</v>
      </c>
      <c r="I6">
        <v>7.54</v>
      </c>
      <c r="J6" s="16">
        <v>59.365496369751099</v>
      </c>
      <c r="K6" s="37">
        <v>59.365496369751099</v>
      </c>
      <c r="L6" s="5">
        <v>35</v>
      </c>
      <c r="M6">
        <f>10*0.001</f>
        <v>0.01</v>
      </c>
      <c r="N6">
        <v>3.7</v>
      </c>
      <c r="O6">
        <v>30</v>
      </c>
      <c r="P6" s="22">
        <f>0.0106</f>
        <v>1.06E-2</v>
      </c>
      <c r="Q6" s="30">
        <v>3.7</v>
      </c>
      <c r="R6" s="42" t="s">
        <v>29</v>
      </c>
      <c r="S6" s="46">
        <v>1.9913279755331924E-4</v>
      </c>
      <c r="T6" s="33">
        <v>23.369866565159899</v>
      </c>
      <c r="U6" s="22">
        <f>M6</f>
        <v>0.01</v>
      </c>
      <c r="V6" s="42">
        <v>25.88636363636364</v>
      </c>
      <c r="W6" s="52">
        <v>1.6793426042983561E-2</v>
      </c>
      <c r="X6" s="16">
        <v>0.83431910940233101</v>
      </c>
      <c r="Y6" s="37">
        <v>0.55185062152590802</v>
      </c>
    </row>
    <row r="7" spans="1:25" x14ac:dyDescent="0.3">
      <c r="A7" s="5">
        <v>5</v>
      </c>
      <c r="B7" s="5" t="s">
        <v>65</v>
      </c>
      <c r="C7">
        <f>Characteristics!$C$17</f>
        <v>0.47</v>
      </c>
      <c r="D7">
        <f>Characteristics!$C$20</f>
        <v>3.2100000000000002E-3</v>
      </c>
      <c r="E7">
        <f>Characteristics!$C$18</f>
        <v>0.47</v>
      </c>
      <c r="F7">
        <v>1</v>
      </c>
      <c r="G7">
        <v>1</v>
      </c>
      <c r="H7" s="35">
        <v>1470.2729996211599</v>
      </c>
      <c r="I7">
        <v>7.54</v>
      </c>
      <c r="J7" s="16">
        <v>59.3432711116129</v>
      </c>
      <c r="K7" s="37">
        <v>59.3432711116129</v>
      </c>
      <c r="L7" s="5">
        <v>35</v>
      </c>
      <c r="M7">
        <f>10*0.001</f>
        <v>0.01</v>
      </c>
      <c r="N7">
        <v>3.7</v>
      </c>
      <c r="O7">
        <v>30</v>
      </c>
      <c r="P7" s="22">
        <f>0.0106</f>
        <v>1.06E-2</v>
      </c>
      <c r="Q7" s="30">
        <v>3.7</v>
      </c>
      <c r="R7" s="42" t="s">
        <v>29</v>
      </c>
      <c r="S7" s="46">
        <v>2.1977898719902599E-4</v>
      </c>
      <c r="T7" s="33">
        <v>23.642648678787101</v>
      </c>
      <c r="U7" s="22">
        <f>M7</f>
        <v>0.01</v>
      </c>
      <c r="V7" s="42">
        <v>25.44886363636364</v>
      </c>
      <c r="W7" s="52">
        <v>1.7115802781289498E-2</v>
      </c>
      <c r="X7" s="16">
        <v>0.81993429717125599</v>
      </c>
      <c r="Y7" s="37">
        <v>0.54233595563753001</v>
      </c>
    </row>
    <row r="8" spans="1:25" x14ac:dyDescent="0.3">
      <c r="A8" s="5">
        <v>6</v>
      </c>
      <c r="B8" s="5" t="s">
        <v>65</v>
      </c>
      <c r="C8">
        <f>Characteristics!$C$17</f>
        <v>0.47</v>
      </c>
      <c r="D8">
        <f>Characteristics!$C$20</f>
        <v>3.2100000000000002E-3</v>
      </c>
      <c r="E8">
        <f>Characteristics!$C$18</f>
        <v>0.47</v>
      </c>
      <c r="F8">
        <v>1</v>
      </c>
      <c r="G8">
        <v>1</v>
      </c>
      <c r="H8" s="35">
        <v>1471.12740130868</v>
      </c>
      <c r="I8">
        <v>7.54</v>
      </c>
      <c r="J8" s="16">
        <v>59.359435808640598</v>
      </c>
      <c r="K8" s="37">
        <v>59.359435808640598</v>
      </c>
      <c r="L8" s="5">
        <v>35</v>
      </c>
      <c r="M8">
        <f>10*0.001</f>
        <v>0.01</v>
      </c>
      <c r="N8">
        <v>3.7</v>
      </c>
      <c r="O8">
        <v>30</v>
      </c>
      <c r="P8" s="22">
        <f>0.0106</f>
        <v>1.06E-2</v>
      </c>
      <c r="Q8" s="30">
        <v>3.7</v>
      </c>
      <c r="R8" s="42" t="s">
        <v>29</v>
      </c>
      <c r="S8" s="46">
        <v>2.4048230047578984E-4</v>
      </c>
      <c r="T8" s="33">
        <v>23.4442280725569</v>
      </c>
      <c r="U8" s="22">
        <f>M8</f>
        <v>0.01</v>
      </c>
      <c r="V8" s="42">
        <v>25.32954545454546</v>
      </c>
      <c r="W8" s="52">
        <v>1.712338811630847E-2</v>
      </c>
      <c r="X8" s="16">
        <v>0.83431910940233101</v>
      </c>
      <c r="Y8" s="37">
        <v>0.55185062152590802</v>
      </c>
    </row>
    <row r="9" spans="1:25" x14ac:dyDescent="0.3">
      <c r="A9" s="5">
        <v>7</v>
      </c>
      <c r="B9" s="5" t="s">
        <v>65</v>
      </c>
      <c r="C9">
        <f>Characteristics!$C$17</f>
        <v>0.47</v>
      </c>
      <c r="D9">
        <f>Characteristics!$C$20</f>
        <v>3.2100000000000002E-3</v>
      </c>
      <c r="E9">
        <f>Characteristics!$C$18</f>
        <v>0.47</v>
      </c>
      <c r="F9">
        <v>1</v>
      </c>
      <c r="G9">
        <v>1</v>
      </c>
      <c r="H9" s="35">
        <v>1472.2233634649399</v>
      </c>
      <c r="I9">
        <v>7.54</v>
      </c>
      <c r="J9" s="16">
        <v>59.3801630085432</v>
      </c>
      <c r="K9" s="37">
        <v>59.3801630085432</v>
      </c>
      <c r="L9" s="5">
        <v>35</v>
      </c>
      <c r="M9">
        <f>10*0.001</f>
        <v>0.01</v>
      </c>
      <c r="N9">
        <v>3.7</v>
      </c>
      <c r="O9">
        <v>30</v>
      </c>
      <c r="P9" s="22">
        <f>0.0106</f>
        <v>1.06E-2</v>
      </c>
      <c r="Q9" s="30">
        <v>3.7</v>
      </c>
      <c r="R9" s="42" t="s">
        <v>29</v>
      </c>
      <c r="S9" s="46">
        <v>2.6199093433661587E-4</v>
      </c>
      <c r="T9" s="33">
        <v>23.189981748436601</v>
      </c>
      <c r="U9" s="22">
        <f>M9</f>
        <v>0.01</v>
      </c>
      <c r="V9" s="42">
        <v>25.13636363636364</v>
      </c>
      <c r="W9" s="52">
        <v>1.7168900126422248E-2</v>
      </c>
      <c r="X9" s="16">
        <v>0.84870392163340602</v>
      </c>
      <c r="Y9" s="37">
        <v>0.56136528741428604</v>
      </c>
    </row>
    <row r="10" spans="1:25" x14ac:dyDescent="0.3">
      <c r="A10" s="5">
        <v>8</v>
      </c>
      <c r="B10" s="5" t="s">
        <v>67</v>
      </c>
      <c r="C10">
        <f>Characteristics!$C$17</f>
        <v>0.47</v>
      </c>
      <c r="D10">
        <f>Characteristics!$C$20</f>
        <v>3.2100000000000002E-3</v>
      </c>
      <c r="E10">
        <f>Characteristics!$C$18</f>
        <v>0.47</v>
      </c>
      <c r="F10">
        <v>1</v>
      </c>
      <c r="G10">
        <v>1.5405405405405406</v>
      </c>
      <c r="H10" s="35">
        <v>1468.3603452521199</v>
      </c>
      <c r="I10">
        <v>7.54</v>
      </c>
      <c r="J10" s="16">
        <v>59.307066016878601</v>
      </c>
      <c r="K10" s="37">
        <v>88.566015308904696</v>
      </c>
      <c r="L10" s="5">
        <v>35</v>
      </c>
      <c r="M10">
        <f>10*0.001</f>
        <v>0.01</v>
      </c>
      <c r="N10">
        <v>3.7</v>
      </c>
      <c r="O10">
        <v>30</v>
      </c>
      <c r="P10" s="22">
        <f>0.0106</f>
        <v>1.06E-2</v>
      </c>
      <c r="Q10" s="30">
        <v>5.7</v>
      </c>
      <c r="R10" s="42" t="s">
        <v>29</v>
      </c>
      <c r="S10" s="46">
        <v>1.453930564405385E-4</v>
      </c>
      <c r="T10" s="33">
        <v>24.0875076269541</v>
      </c>
      <c r="U10" s="22">
        <f>M10</f>
        <v>0.01</v>
      </c>
      <c r="V10" s="42">
        <v>25.30113636363637</v>
      </c>
      <c r="W10" s="52">
        <v>1.512465233881163E-2</v>
      </c>
      <c r="X10" s="16">
        <v>0.78397226659357</v>
      </c>
      <c r="Y10" s="37">
        <v>0.51854929091658597</v>
      </c>
    </row>
    <row r="11" spans="1:25" x14ac:dyDescent="0.3">
      <c r="A11" s="5">
        <v>9</v>
      </c>
      <c r="B11" s="5" t="s">
        <v>67</v>
      </c>
      <c r="C11">
        <f>Characteristics!$C$17</f>
        <v>0.47</v>
      </c>
      <c r="D11">
        <f>Characteristics!$C$20</f>
        <v>3.2100000000000002E-3</v>
      </c>
      <c r="E11">
        <f>Characteristics!$C$18</f>
        <v>0.47</v>
      </c>
      <c r="F11">
        <v>1</v>
      </c>
      <c r="G11">
        <v>1.5405405405405406</v>
      </c>
      <c r="H11" s="35">
        <v>1469.3035744010299</v>
      </c>
      <c r="I11">
        <v>7.54</v>
      </c>
      <c r="J11" s="16">
        <v>59.324923912605101</v>
      </c>
      <c r="K11" s="37">
        <v>88.592683339757002</v>
      </c>
      <c r="L11" s="5">
        <v>35</v>
      </c>
      <c r="M11">
        <f>10*0.001</f>
        <v>0.01</v>
      </c>
      <c r="N11">
        <v>3.7</v>
      </c>
      <c r="O11">
        <v>30</v>
      </c>
      <c r="P11" s="22">
        <f>0.0106</f>
        <v>1.06E-2</v>
      </c>
      <c r="Q11" s="30">
        <v>5.7</v>
      </c>
      <c r="R11" s="42" t="s">
        <v>29</v>
      </c>
      <c r="S11" s="46">
        <v>1.6076483081856537E-4</v>
      </c>
      <c r="T11" s="33">
        <v>23.868007540756601</v>
      </c>
      <c r="U11" s="22">
        <f>M11</f>
        <v>0.01</v>
      </c>
      <c r="V11" s="42">
        <v>25.08522727272728</v>
      </c>
      <c r="W11" s="52">
        <v>1.5325663716814149E-2</v>
      </c>
      <c r="X11" s="16">
        <v>0.79835707882464502</v>
      </c>
      <c r="Y11" s="37">
        <v>0.52806395680496299</v>
      </c>
    </row>
    <row r="12" spans="1:25" x14ac:dyDescent="0.3">
      <c r="A12" s="5">
        <v>10</v>
      </c>
      <c r="B12" s="5" t="s">
        <v>67</v>
      </c>
      <c r="C12">
        <f>Characteristics!$C$17</f>
        <v>0.47</v>
      </c>
      <c r="D12">
        <f>Characteristics!$C$20</f>
        <v>3.2100000000000002E-3</v>
      </c>
      <c r="E12">
        <f>Characteristics!$C$18</f>
        <v>0.47</v>
      </c>
      <c r="F12">
        <v>1</v>
      </c>
      <c r="G12">
        <v>1.5405405405405406</v>
      </c>
      <c r="H12" s="35">
        <v>1471.1341026560899</v>
      </c>
      <c r="I12">
        <v>7.54</v>
      </c>
      <c r="J12" s="16">
        <v>59.359562574089601</v>
      </c>
      <c r="K12" s="37">
        <v>88.644410872905397</v>
      </c>
      <c r="L12" s="5">
        <v>35</v>
      </c>
      <c r="M12">
        <f>10*0.001</f>
        <v>0.01</v>
      </c>
      <c r="N12">
        <v>3.7</v>
      </c>
      <c r="O12">
        <v>30</v>
      </c>
      <c r="P12" s="22">
        <f>0.0106</f>
        <v>1.06E-2</v>
      </c>
      <c r="Q12" s="30">
        <v>5.7</v>
      </c>
      <c r="R12" s="42" t="s">
        <v>29</v>
      </c>
      <c r="S12" s="46">
        <v>1.7997798907074374E-4</v>
      </c>
      <c r="T12" s="33">
        <v>23.442672532526</v>
      </c>
      <c r="U12" s="22">
        <f>M12</f>
        <v>0.01</v>
      </c>
      <c r="V12" s="42">
        <v>24.97727272727273</v>
      </c>
      <c r="W12" s="52">
        <v>1.526877370417193E-2</v>
      </c>
      <c r="X12" s="16">
        <v>0.83431910940233101</v>
      </c>
      <c r="Y12" s="37">
        <v>0.55185062152590802</v>
      </c>
    </row>
    <row r="13" spans="1:25" x14ac:dyDescent="0.3">
      <c r="A13" s="5">
        <v>11</v>
      </c>
      <c r="B13" s="5" t="s">
        <v>67</v>
      </c>
      <c r="C13">
        <f>Characteristics!$C$17</f>
        <v>0.47</v>
      </c>
      <c r="D13">
        <f>Characteristics!$C$20</f>
        <v>3.2100000000000002E-3</v>
      </c>
      <c r="E13">
        <f>Characteristics!$C$18</f>
        <v>0.47</v>
      </c>
      <c r="F13">
        <v>1</v>
      </c>
      <c r="G13">
        <v>1.5405405405405406</v>
      </c>
      <c r="H13" s="35">
        <v>1471.20705853096</v>
      </c>
      <c r="I13">
        <v>7.54</v>
      </c>
      <c r="J13" s="16">
        <v>59.360942604305201</v>
      </c>
      <c r="K13" s="37">
        <v>88.646471736566497</v>
      </c>
      <c r="L13" s="5">
        <v>35</v>
      </c>
      <c r="M13">
        <f>10*0.001</f>
        <v>0.01</v>
      </c>
      <c r="N13">
        <v>3.7</v>
      </c>
      <c r="O13">
        <v>30</v>
      </c>
      <c r="P13" s="22">
        <f>0.0106</f>
        <v>1.06E-2</v>
      </c>
      <c r="Q13" s="30">
        <v>5.7</v>
      </c>
      <c r="R13" s="42" t="s">
        <v>29</v>
      </c>
      <c r="S13" s="46">
        <v>2.0012524851715328E-4</v>
      </c>
      <c r="T13" s="33">
        <v>23.425738502989301</v>
      </c>
      <c r="U13" s="22">
        <f>M13</f>
        <v>0.01</v>
      </c>
      <c r="V13" s="42">
        <v>24.73863636363637</v>
      </c>
      <c r="W13" s="52">
        <v>1.5538053097345132E-2</v>
      </c>
      <c r="X13" s="16">
        <v>0.83431910940233101</v>
      </c>
      <c r="Y13" s="37">
        <v>0.55185062152590802</v>
      </c>
    </row>
    <row r="14" spans="1:25" x14ac:dyDescent="0.3">
      <c r="A14" s="5">
        <v>12</v>
      </c>
      <c r="B14" s="5" t="s">
        <v>67</v>
      </c>
      <c r="C14">
        <f>Characteristics!$C$17</f>
        <v>0.47</v>
      </c>
      <c r="D14">
        <f>Characteristics!$C$20</f>
        <v>3.2100000000000002E-3</v>
      </c>
      <c r="E14">
        <f>Characteristics!$C$18</f>
        <v>0.47</v>
      </c>
      <c r="F14">
        <v>1</v>
      </c>
      <c r="G14">
        <v>1.5405405405405406</v>
      </c>
      <c r="H14" s="35">
        <v>1471.91189031411</v>
      </c>
      <c r="I14">
        <v>7.54</v>
      </c>
      <c r="J14" s="16">
        <v>59.374273200782902</v>
      </c>
      <c r="K14" s="37">
        <v>88.666378939721497</v>
      </c>
      <c r="L14" s="5">
        <v>35</v>
      </c>
      <c r="M14">
        <f>10*0.001</f>
        <v>0.01</v>
      </c>
      <c r="N14">
        <v>3.7</v>
      </c>
      <c r="O14">
        <v>30</v>
      </c>
      <c r="P14" s="22">
        <f>0.0106</f>
        <v>1.06E-2</v>
      </c>
      <c r="Q14" s="30">
        <v>5.7</v>
      </c>
      <c r="R14" s="42" t="s">
        <v>29</v>
      </c>
      <c r="S14" s="46">
        <v>2.2027099332182958E-4</v>
      </c>
      <c r="T14" s="33">
        <v>23.262207575873099</v>
      </c>
      <c r="U14" s="22">
        <f>M14</f>
        <v>0.01</v>
      </c>
      <c r="V14" s="42">
        <v>24.869318181818191</v>
      </c>
      <c r="W14" s="52">
        <v>1.5610113780025281E-2</v>
      </c>
      <c r="X14" s="16">
        <v>0.84151151551786896</v>
      </c>
      <c r="Y14" s="37">
        <v>0.55660795447009703</v>
      </c>
    </row>
    <row r="15" spans="1:25" x14ac:dyDescent="0.3">
      <c r="A15" s="5">
        <v>13</v>
      </c>
      <c r="B15" s="5" t="s">
        <v>67</v>
      </c>
      <c r="C15">
        <f>Characteristics!$C$17</f>
        <v>0.47</v>
      </c>
      <c r="D15">
        <f>Characteristics!$C$20</f>
        <v>3.2100000000000002E-3</v>
      </c>
      <c r="E15">
        <f>Characteristics!$C$18</f>
        <v>0.47</v>
      </c>
      <c r="F15">
        <v>1</v>
      </c>
      <c r="G15">
        <v>1.5405405405405406</v>
      </c>
      <c r="H15" s="35">
        <v>1472.3914232864599</v>
      </c>
      <c r="I15">
        <v>7.54</v>
      </c>
      <c r="J15" s="16">
        <v>59.383340652766698</v>
      </c>
      <c r="K15" s="37">
        <v>88.679919789828304</v>
      </c>
      <c r="L15" s="5">
        <v>35</v>
      </c>
      <c r="M15">
        <f>10*0.001</f>
        <v>0.01</v>
      </c>
      <c r="N15">
        <v>3.7</v>
      </c>
      <c r="O15">
        <v>30</v>
      </c>
      <c r="P15" s="22">
        <f>0.0106</f>
        <v>1.06E-2</v>
      </c>
      <c r="Q15" s="30">
        <v>5.7</v>
      </c>
      <c r="R15" s="42" t="s">
        <v>29</v>
      </c>
      <c r="S15" s="46">
        <v>2.3998333421359455E-4</v>
      </c>
      <c r="T15" s="33">
        <v>23.151021527069702</v>
      </c>
      <c r="U15" s="22">
        <f>M15</f>
        <v>0.01</v>
      </c>
      <c r="V15" s="42">
        <v>24.76136363636364</v>
      </c>
      <c r="W15" s="52">
        <v>1.5689759797724391E-2</v>
      </c>
      <c r="X15" s="16">
        <v>0.84870392163340602</v>
      </c>
      <c r="Y15" s="37">
        <v>0.56136528741428604</v>
      </c>
    </row>
    <row r="16" spans="1:25" x14ac:dyDescent="0.3">
      <c r="A16" s="5">
        <v>14</v>
      </c>
      <c r="B16" s="5" t="s">
        <v>67</v>
      </c>
      <c r="C16">
        <f>Characteristics!$C$17</f>
        <v>0.47</v>
      </c>
      <c r="D16">
        <f>Characteristics!$C$20</f>
        <v>3.2100000000000002E-3</v>
      </c>
      <c r="E16">
        <f>Characteristics!$C$18</f>
        <v>0.47</v>
      </c>
      <c r="F16">
        <v>1</v>
      </c>
      <c r="G16">
        <v>1.5405405405405406</v>
      </c>
      <c r="H16" s="35">
        <v>1471.8019238336501</v>
      </c>
      <c r="I16">
        <v>7.54</v>
      </c>
      <c r="J16" s="16">
        <v>59.3721936212618</v>
      </c>
      <c r="K16" s="37">
        <v>88.6632734063664</v>
      </c>
      <c r="L16" s="5">
        <v>35</v>
      </c>
      <c r="M16">
        <f>10*0.001</f>
        <v>0.01</v>
      </c>
      <c r="N16">
        <v>3.7</v>
      </c>
      <c r="O16">
        <v>30</v>
      </c>
      <c r="P16" s="22">
        <f>0.0106</f>
        <v>1.06E-2</v>
      </c>
      <c r="Q16" s="30">
        <v>5.7</v>
      </c>
      <c r="R16" s="42" t="s">
        <v>29</v>
      </c>
      <c r="S16" s="46">
        <v>2.6199194409777033E-4</v>
      </c>
      <c r="T16" s="33">
        <v>23.287713013489601</v>
      </c>
      <c r="U16" s="22">
        <f>M16</f>
        <v>0.01</v>
      </c>
      <c r="V16" s="42">
        <v>24.35795454545455</v>
      </c>
      <c r="W16" s="52">
        <v>1.576940581542351E-2</v>
      </c>
      <c r="X16" s="16">
        <v>0.84151151551786896</v>
      </c>
      <c r="Y16" s="37">
        <v>0.55660795447009703</v>
      </c>
    </row>
    <row r="17" spans="1:25" x14ac:dyDescent="0.3">
      <c r="A17" s="5">
        <v>15</v>
      </c>
      <c r="B17" s="5" t="s">
        <v>70</v>
      </c>
      <c r="C17">
        <f>Characteristics!$C$17</f>
        <v>0.47</v>
      </c>
      <c r="D17">
        <f>Characteristics!$C$20</f>
        <v>3.2100000000000002E-3</v>
      </c>
      <c r="E17">
        <f>Characteristics!$C$18</f>
        <v>0.47</v>
      </c>
      <c r="F17">
        <v>1</v>
      </c>
      <c r="G17">
        <v>1</v>
      </c>
      <c r="H17" s="35">
        <v>1463.6952068324599</v>
      </c>
      <c r="I17">
        <v>7.54</v>
      </c>
      <c r="J17" s="16">
        <v>59.218648158973799</v>
      </c>
      <c r="K17" s="37">
        <v>59.218648158973799</v>
      </c>
      <c r="L17" s="5">
        <v>35</v>
      </c>
      <c r="M17">
        <f>10*0.001</f>
        <v>0.01</v>
      </c>
      <c r="N17">
        <v>3.7</v>
      </c>
      <c r="O17">
        <v>30</v>
      </c>
      <c r="P17" s="22">
        <f>0.0134</f>
        <v>1.34E-2</v>
      </c>
      <c r="Q17" s="30">
        <v>3.7</v>
      </c>
      <c r="R17" s="42" t="s">
        <v>29</v>
      </c>
      <c r="S17" s="46">
        <v>1.4490837108610785E-4</v>
      </c>
      <c r="T17" s="33">
        <v>25.176500401502523</v>
      </c>
      <c r="U17" s="22">
        <f>M17</f>
        <v>0.01</v>
      </c>
      <c r="V17" s="42">
        <v>26.994318181818191</v>
      </c>
      <c r="W17" s="52">
        <v>1.85504424778761E-2</v>
      </c>
      <c r="X17" s="16">
        <v>0.70485579932265896</v>
      </c>
      <c r="Y17" s="37">
        <v>0.46621862853050799</v>
      </c>
    </row>
    <row r="18" spans="1:25" x14ac:dyDescent="0.3">
      <c r="A18" s="5">
        <v>16</v>
      </c>
      <c r="B18" s="5" t="s">
        <v>70</v>
      </c>
      <c r="C18">
        <f>Characteristics!$C$17</f>
        <v>0.47</v>
      </c>
      <c r="D18">
        <f>Characteristics!$C$20</f>
        <v>3.2100000000000002E-3</v>
      </c>
      <c r="E18">
        <f>Characteristics!$C$18</f>
        <v>0.47</v>
      </c>
      <c r="F18">
        <v>1</v>
      </c>
      <c r="G18">
        <v>1</v>
      </c>
      <c r="H18" s="35">
        <v>1464.0215305277</v>
      </c>
      <c r="I18">
        <v>7.54</v>
      </c>
      <c r="J18" s="16">
        <v>59.224838037437202</v>
      </c>
      <c r="K18" s="37">
        <v>59.224838037437202</v>
      </c>
      <c r="L18" s="5">
        <v>35</v>
      </c>
      <c r="M18">
        <f>10*0.001</f>
        <v>0.01</v>
      </c>
      <c r="N18">
        <v>3.7</v>
      </c>
      <c r="O18">
        <v>30</v>
      </c>
      <c r="P18" s="22">
        <f>0.0134</f>
        <v>1.34E-2</v>
      </c>
      <c r="Q18" s="30">
        <v>3.7</v>
      </c>
      <c r="R18" s="42" t="s">
        <v>29</v>
      </c>
      <c r="S18" s="46">
        <v>1.6170744285681646E-4</v>
      </c>
      <c r="T18" s="33">
        <v>25.10014346775456</v>
      </c>
      <c r="U18" s="22">
        <f>M18</f>
        <v>0.01</v>
      </c>
      <c r="V18" s="42">
        <v>26.65909090909091</v>
      </c>
      <c r="W18" s="52">
        <v>1.8512515802781279E-2</v>
      </c>
      <c r="X18" s="16">
        <v>0.71204820543819602</v>
      </c>
      <c r="Y18" s="37">
        <v>0.470975961474697</v>
      </c>
    </row>
    <row r="19" spans="1:25" x14ac:dyDescent="0.3">
      <c r="A19" s="5">
        <v>17</v>
      </c>
      <c r="B19" s="5" t="s">
        <v>70</v>
      </c>
      <c r="C19">
        <f>Characteristics!$C$17</f>
        <v>0.47</v>
      </c>
      <c r="D19">
        <f>Characteristics!$C$20</f>
        <v>3.2100000000000002E-3</v>
      </c>
      <c r="E19">
        <f>Characteristics!$C$18</f>
        <v>0.47</v>
      </c>
      <c r="F19">
        <v>1</v>
      </c>
      <c r="G19">
        <v>1</v>
      </c>
      <c r="H19" s="35">
        <v>1464.72085007902</v>
      </c>
      <c r="I19">
        <v>7.54</v>
      </c>
      <c r="J19" s="16">
        <v>59.238100510761299</v>
      </c>
      <c r="K19" s="37">
        <v>59.238100510761299</v>
      </c>
      <c r="L19" s="5">
        <v>35</v>
      </c>
      <c r="M19">
        <f>10*0.001</f>
        <v>0.01</v>
      </c>
      <c r="N19">
        <v>3.7</v>
      </c>
      <c r="O19">
        <v>30</v>
      </c>
      <c r="P19" s="22">
        <f>0.0134</f>
        <v>1.34E-2</v>
      </c>
      <c r="Q19" s="30">
        <v>3.7</v>
      </c>
      <c r="R19" s="42" t="s">
        <v>29</v>
      </c>
      <c r="S19" s="46">
        <v>1.8141924280510617E-4</v>
      </c>
      <c r="T19" s="33">
        <v>24.936601384101301</v>
      </c>
      <c r="U19" s="22">
        <f>M19</f>
        <v>0.01</v>
      </c>
      <c r="V19" s="42">
        <v>26.63068181818182</v>
      </c>
      <c r="W19" s="52">
        <v>1.8671807838179511E-2</v>
      </c>
      <c r="X19" s="16">
        <v>0.72643301766927104</v>
      </c>
      <c r="Y19" s="37">
        <v>0.48049062736307502</v>
      </c>
    </row>
    <row r="20" spans="1:25" x14ac:dyDescent="0.3">
      <c r="A20" s="5">
        <v>18</v>
      </c>
      <c r="B20" s="5" t="s">
        <v>70</v>
      </c>
      <c r="C20">
        <f>Characteristics!$C$17</f>
        <v>0.47</v>
      </c>
      <c r="D20">
        <f>Characteristics!$C$20</f>
        <v>3.2100000000000002E-3</v>
      </c>
      <c r="E20">
        <f>Characteristics!$C$18</f>
        <v>0.47</v>
      </c>
      <c r="F20">
        <v>1</v>
      </c>
      <c r="G20">
        <v>1</v>
      </c>
      <c r="H20" s="35">
        <v>1465.88399993903</v>
      </c>
      <c r="I20">
        <v>7.54</v>
      </c>
      <c r="J20" s="16">
        <v>59.260151632645297</v>
      </c>
      <c r="K20" s="37">
        <v>59.260151632645297</v>
      </c>
      <c r="L20" s="5">
        <v>35</v>
      </c>
      <c r="M20">
        <f>10*0.001</f>
        <v>0.01</v>
      </c>
      <c r="N20">
        <v>3.7</v>
      </c>
      <c r="O20">
        <v>30</v>
      </c>
      <c r="P20" s="22">
        <f>0.0134</f>
        <v>1.34E-2</v>
      </c>
      <c r="Q20" s="30">
        <v>3.7</v>
      </c>
      <c r="R20" s="42" t="s">
        <v>29</v>
      </c>
      <c r="S20" s="46">
        <v>2.0156386965993235E-4</v>
      </c>
      <c r="T20" s="33">
        <v>24.6648679849621</v>
      </c>
      <c r="U20" s="22">
        <f>M20</f>
        <v>0.01</v>
      </c>
      <c r="V20" s="42">
        <v>26.59659090909091</v>
      </c>
      <c r="W20" s="52">
        <v>1.8834892541087229E-2</v>
      </c>
      <c r="X20" s="16">
        <v>0.74081782990034595</v>
      </c>
      <c r="Y20" s="37">
        <v>0.49000529325145298</v>
      </c>
    </row>
    <row r="21" spans="1:25" x14ac:dyDescent="0.3">
      <c r="A21" s="5">
        <v>19</v>
      </c>
      <c r="B21" s="5" t="s">
        <v>70</v>
      </c>
      <c r="C21">
        <f>Characteristics!$C$17</f>
        <v>0.47</v>
      </c>
      <c r="D21">
        <f>Characteristics!$C$20</f>
        <v>3.2100000000000002E-3</v>
      </c>
      <c r="E21">
        <f>Characteristics!$C$18</f>
        <v>0.47</v>
      </c>
      <c r="F21">
        <v>1</v>
      </c>
      <c r="G21">
        <v>1</v>
      </c>
      <c r="H21" s="35">
        <v>1465.9116821192199</v>
      </c>
      <c r="I21">
        <v>7.54</v>
      </c>
      <c r="J21" s="16">
        <v>59.260676316133399</v>
      </c>
      <c r="K21" s="37">
        <v>59.260676316133399</v>
      </c>
      <c r="L21" s="5">
        <v>35</v>
      </c>
      <c r="M21">
        <f>10*0.001</f>
        <v>0.01</v>
      </c>
      <c r="N21">
        <v>3.7</v>
      </c>
      <c r="O21">
        <v>30</v>
      </c>
      <c r="P21" s="22">
        <f>0.0134</f>
        <v>1.34E-2</v>
      </c>
      <c r="Q21" s="30">
        <v>3.7</v>
      </c>
      <c r="R21" s="42" t="s">
        <v>29</v>
      </c>
      <c r="S21" s="46">
        <v>2.2171123729503603E-4</v>
      </c>
      <c r="T21" s="33">
        <v>24.6584051623954</v>
      </c>
      <c r="U21" s="22">
        <f>M21</f>
        <v>0.01</v>
      </c>
      <c r="V21" s="42">
        <v>26.369318181818191</v>
      </c>
      <c r="W21" s="52">
        <v>1.8891782553729451E-2</v>
      </c>
      <c r="X21" s="16">
        <v>0.74081782990034595</v>
      </c>
      <c r="Y21" s="37">
        <v>0.49000529325145298</v>
      </c>
    </row>
    <row r="22" spans="1:25" x14ac:dyDescent="0.3">
      <c r="A22" s="5">
        <v>20</v>
      </c>
      <c r="B22" s="5" t="s">
        <v>70</v>
      </c>
      <c r="C22">
        <f>Characteristics!$C$17</f>
        <v>0.47</v>
      </c>
      <c r="D22">
        <f>Characteristics!$C$20</f>
        <v>3.2100000000000002E-3</v>
      </c>
      <c r="E22">
        <f>Characteristics!$C$18</f>
        <v>0.47</v>
      </c>
      <c r="F22">
        <v>1</v>
      </c>
      <c r="G22">
        <v>1</v>
      </c>
      <c r="H22" s="35">
        <v>1466.10383545132</v>
      </c>
      <c r="I22">
        <v>7.54</v>
      </c>
      <c r="J22" s="16">
        <v>59.264318201802197</v>
      </c>
      <c r="K22" s="37">
        <v>59.264318201802197</v>
      </c>
      <c r="L22" s="5">
        <v>35</v>
      </c>
      <c r="M22">
        <f>10*0.001</f>
        <v>0.01</v>
      </c>
      <c r="N22">
        <v>3.7</v>
      </c>
      <c r="O22">
        <v>30</v>
      </c>
      <c r="P22" s="22">
        <f>0.0134</f>
        <v>1.34E-2</v>
      </c>
      <c r="Q22" s="30">
        <v>3.7</v>
      </c>
      <c r="R22" s="42" t="s">
        <v>29</v>
      </c>
      <c r="S22" s="46">
        <v>2.4192020036060033E-4</v>
      </c>
      <c r="T22" s="33">
        <v>24.613549508063201</v>
      </c>
      <c r="U22" s="22">
        <f>M22</f>
        <v>0.01</v>
      </c>
      <c r="V22" s="42">
        <v>26.14772727272728</v>
      </c>
      <c r="W22" s="52">
        <v>1.9001769911504422E-2</v>
      </c>
      <c r="X22" s="16">
        <v>0.74801023601588301</v>
      </c>
      <c r="Y22" s="37">
        <v>0.49476262619564099</v>
      </c>
    </row>
    <row r="23" spans="1:25" x14ac:dyDescent="0.3">
      <c r="A23" s="5">
        <v>21</v>
      </c>
      <c r="B23" s="5" t="s">
        <v>70</v>
      </c>
      <c r="C23">
        <f>Characteristics!$C$17</f>
        <v>0.47</v>
      </c>
      <c r="D23">
        <f>Characteristics!$C$20</f>
        <v>3.2100000000000002E-3</v>
      </c>
      <c r="E23">
        <f>Characteristics!$C$18</f>
        <v>0.47</v>
      </c>
      <c r="F23">
        <v>1</v>
      </c>
      <c r="G23">
        <v>1</v>
      </c>
      <c r="H23" s="35">
        <v>1467.64289910309</v>
      </c>
      <c r="I23">
        <v>7.54</v>
      </c>
      <c r="J23" s="16">
        <v>59.293478531232402</v>
      </c>
      <c r="K23" s="37">
        <v>59.293478531232402</v>
      </c>
      <c r="L23" s="5">
        <v>35</v>
      </c>
      <c r="M23">
        <f>10*0.001</f>
        <v>0.01</v>
      </c>
      <c r="N23">
        <v>3.7</v>
      </c>
      <c r="O23">
        <v>30</v>
      </c>
      <c r="P23" s="22">
        <f>0.0134</f>
        <v>1.34E-2</v>
      </c>
      <c r="Q23" s="30">
        <v>3.7</v>
      </c>
      <c r="R23" s="42" t="s">
        <v>29</v>
      </c>
      <c r="S23" s="46">
        <v>2.6448161841427574E-4</v>
      </c>
      <c r="T23" s="33">
        <v>24.254618208690502</v>
      </c>
      <c r="U23" s="22">
        <f>M23</f>
        <v>0.01</v>
      </c>
      <c r="V23" s="42">
        <v>26.20454545454546</v>
      </c>
      <c r="W23" s="52">
        <v>1.9134513274336282E-2</v>
      </c>
      <c r="X23" s="16">
        <v>0.76958745436249498</v>
      </c>
      <c r="Y23" s="37">
        <v>0.50903462502820795</v>
      </c>
    </row>
    <row r="24" spans="1:25" x14ac:dyDescent="0.3">
      <c r="A24" s="5">
        <v>22</v>
      </c>
      <c r="B24" s="5" t="s">
        <v>71</v>
      </c>
      <c r="C24">
        <f>Characteristics!$C$17</f>
        <v>0.47</v>
      </c>
      <c r="D24">
        <f>Characteristics!$C$20</f>
        <v>3.2100000000000002E-3</v>
      </c>
      <c r="E24">
        <f>Characteristics!$C$18</f>
        <v>0.47</v>
      </c>
      <c r="F24">
        <v>1</v>
      </c>
      <c r="G24">
        <v>1.5405405405405406</v>
      </c>
      <c r="H24" s="35">
        <v>1465.32230604866</v>
      </c>
      <c r="I24">
        <v>7.54</v>
      </c>
      <c r="J24" s="16">
        <v>59.249504195186198</v>
      </c>
      <c r="K24" s="37">
        <v>88.480055548565701</v>
      </c>
      <c r="L24" s="5">
        <v>35</v>
      </c>
      <c r="M24">
        <f>10*0.001</f>
        <v>0.01</v>
      </c>
      <c r="N24">
        <v>3.7</v>
      </c>
      <c r="O24">
        <v>30</v>
      </c>
      <c r="P24" s="22">
        <f>0.0134</f>
        <v>1.34E-2</v>
      </c>
      <c r="Q24" s="30">
        <v>5.7</v>
      </c>
      <c r="R24" s="42" t="s">
        <v>29</v>
      </c>
      <c r="S24" s="46">
        <v>1.4490444023018275E-4</v>
      </c>
      <c r="T24" s="33">
        <v>24.796046548260399</v>
      </c>
      <c r="U24" s="22">
        <f>M24</f>
        <v>0.01</v>
      </c>
      <c r="V24" s="42">
        <v>26.45454545454546</v>
      </c>
      <c r="W24" s="52">
        <v>1.742781289506953E-2</v>
      </c>
      <c r="X24" s="16">
        <v>0.733625423784808</v>
      </c>
      <c r="Y24" s="37">
        <v>0.48524796030726403</v>
      </c>
    </row>
    <row r="25" spans="1:25" x14ac:dyDescent="0.3">
      <c r="A25" s="5">
        <v>23</v>
      </c>
      <c r="B25" s="5" t="s">
        <v>71</v>
      </c>
      <c r="C25">
        <f>Characteristics!$C$17</f>
        <v>0.47</v>
      </c>
      <c r="D25">
        <f>Characteristics!$C$20</f>
        <v>3.2100000000000002E-3</v>
      </c>
      <c r="E25">
        <f>Characteristics!$C$18</f>
        <v>0.47</v>
      </c>
      <c r="F25">
        <v>1</v>
      </c>
      <c r="G25">
        <v>1.5405405405405406</v>
      </c>
      <c r="H25" s="35">
        <v>1465.7090039576301</v>
      </c>
      <c r="I25">
        <v>7.54</v>
      </c>
      <c r="J25" s="16">
        <v>59.2568346625484</v>
      </c>
      <c r="K25" s="37">
        <v>88.491002478303301</v>
      </c>
      <c r="L25" s="5">
        <v>35</v>
      </c>
      <c r="M25">
        <f>10*0.001</f>
        <v>0.01</v>
      </c>
      <c r="N25">
        <v>3.7</v>
      </c>
      <c r="O25">
        <v>30</v>
      </c>
      <c r="P25" s="22">
        <f>0.0134</f>
        <v>1.34E-2</v>
      </c>
      <c r="Q25" s="30">
        <v>5.7</v>
      </c>
      <c r="R25" s="42" t="s">
        <v>29</v>
      </c>
      <c r="S25" s="46">
        <v>1.61703367749299E-4</v>
      </c>
      <c r="T25" s="33">
        <v>24.7057280052192</v>
      </c>
      <c r="U25" s="22">
        <f>M25</f>
        <v>0.01</v>
      </c>
      <c r="V25" s="42">
        <v>26.22159090909091</v>
      </c>
      <c r="W25" s="52">
        <v>1.74960809102402E-2</v>
      </c>
      <c r="X25" s="16">
        <v>0.74081782990034595</v>
      </c>
      <c r="Y25" s="37">
        <v>0.49000529325145298</v>
      </c>
    </row>
    <row r="26" spans="1:25" x14ac:dyDescent="0.3">
      <c r="A26" s="5">
        <v>24</v>
      </c>
      <c r="B26" s="5" t="s">
        <v>71</v>
      </c>
      <c r="C26">
        <f>Characteristics!$C$17</f>
        <v>0.47</v>
      </c>
      <c r="D26">
        <f>Characteristics!$C$20</f>
        <v>3.2100000000000002E-3</v>
      </c>
      <c r="E26">
        <f>Characteristics!$C$18</f>
        <v>0.47</v>
      </c>
      <c r="F26">
        <v>1</v>
      </c>
      <c r="G26">
        <v>1.5405405405405406</v>
      </c>
      <c r="H26" s="35">
        <v>1466.5144006119399</v>
      </c>
      <c r="I26">
        <v>7.54</v>
      </c>
      <c r="J26" s="16">
        <v>59.2720987641462</v>
      </c>
      <c r="K26" s="37">
        <v>88.513797075078699</v>
      </c>
      <c r="L26" s="5">
        <v>35</v>
      </c>
      <c r="M26">
        <f>10*0.001</f>
        <v>0.01</v>
      </c>
      <c r="N26">
        <v>3.7</v>
      </c>
      <c r="O26">
        <v>30</v>
      </c>
      <c r="P26" s="22">
        <f>0.0134</f>
        <v>1.34E-2</v>
      </c>
      <c r="Q26" s="30">
        <v>5.7</v>
      </c>
      <c r="R26" s="42" t="s">
        <v>29</v>
      </c>
      <c r="S26" s="46">
        <v>1.8091897827856747E-4</v>
      </c>
      <c r="T26" s="33">
        <v>24.517740354974499</v>
      </c>
      <c r="U26" s="22">
        <f>M26</f>
        <v>0.01</v>
      </c>
      <c r="V26" s="42">
        <v>25.89204545454546</v>
      </c>
      <c r="W26" s="52">
        <v>1.746573957016434E-2</v>
      </c>
      <c r="X26" s="16">
        <v>0.75520264213142096</v>
      </c>
      <c r="Y26" s="37">
        <v>0.49951995913982999</v>
      </c>
    </row>
    <row r="27" spans="1:25" x14ac:dyDescent="0.3">
      <c r="A27" s="5">
        <v>25</v>
      </c>
      <c r="B27" s="5" t="s">
        <v>71</v>
      </c>
      <c r="C27">
        <f>Characteristics!$C$17</f>
        <v>0.47</v>
      </c>
      <c r="D27">
        <f>Characteristics!$C$20</f>
        <v>3.2100000000000002E-3</v>
      </c>
      <c r="E27">
        <f>Characteristics!$C$18</f>
        <v>0.47</v>
      </c>
      <c r="F27">
        <v>1</v>
      </c>
      <c r="G27">
        <v>1.5405405405405406</v>
      </c>
      <c r="H27" s="35">
        <v>1467.26051026343</v>
      </c>
      <c r="I27">
        <v>7.54</v>
      </c>
      <c r="J27" s="16">
        <v>59.286235079716498</v>
      </c>
      <c r="K27" s="37">
        <v>88.534907496235903</v>
      </c>
      <c r="L27" s="5">
        <v>35</v>
      </c>
      <c r="M27">
        <f>10*0.001</f>
        <v>0.01</v>
      </c>
      <c r="N27">
        <v>3.7</v>
      </c>
      <c r="O27">
        <v>30</v>
      </c>
      <c r="P27" s="22">
        <f>0.0134</f>
        <v>1.34E-2</v>
      </c>
      <c r="Q27" s="30">
        <v>5.7</v>
      </c>
      <c r="R27" s="42" t="s">
        <v>29</v>
      </c>
      <c r="S27" s="46">
        <v>2.0112660701689032E-4</v>
      </c>
      <c r="T27" s="33">
        <v>24.343739814679299</v>
      </c>
      <c r="U27" s="22">
        <f>M27</f>
        <v>0.01</v>
      </c>
      <c r="V27" s="42">
        <v>25.94886363636364</v>
      </c>
      <c r="W27" s="52">
        <v>1.7757774968394431E-2</v>
      </c>
      <c r="X27" s="16">
        <v>0.76958745436249498</v>
      </c>
      <c r="Y27" s="37">
        <v>0.50903462502820795</v>
      </c>
    </row>
    <row r="28" spans="1:25" x14ac:dyDescent="0.3">
      <c r="A28" s="5">
        <v>26</v>
      </c>
      <c r="B28" s="5" t="s">
        <v>71</v>
      </c>
      <c r="C28">
        <f>Characteristics!$C$17</f>
        <v>0.47</v>
      </c>
      <c r="D28">
        <f>Characteristics!$C$20</f>
        <v>3.2100000000000002E-3</v>
      </c>
      <c r="E28">
        <f>Characteristics!$C$18</f>
        <v>0.47</v>
      </c>
      <c r="F28">
        <v>1</v>
      </c>
      <c r="G28">
        <v>1.5405405405405406</v>
      </c>
      <c r="H28" s="35">
        <v>1468.50188836446</v>
      </c>
      <c r="I28">
        <v>7.54</v>
      </c>
      <c r="J28" s="16">
        <v>59.309746221092801</v>
      </c>
      <c r="K28" s="37">
        <v>88.570017783203497</v>
      </c>
      <c r="L28" s="5">
        <v>35</v>
      </c>
      <c r="M28">
        <f>10*0.001</f>
        <v>0.01</v>
      </c>
      <c r="N28">
        <v>3.7</v>
      </c>
      <c r="O28">
        <v>30</v>
      </c>
      <c r="P28" s="22">
        <f>0.0134</f>
        <v>1.34E-2</v>
      </c>
      <c r="Q28" s="30">
        <v>5.7</v>
      </c>
      <c r="R28" s="42" t="s">
        <v>29</v>
      </c>
      <c r="S28" s="46">
        <v>2.2127105355722627E-4</v>
      </c>
      <c r="T28" s="33">
        <v>24.0545544039235</v>
      </c>
      <c r="U28" s="22">
        <f>M28</f>
        <v>0.01</v>
      </c>
      <c r="V28" s="42">
        <v>25.82386363636364</v>
      </c>
      <c r="W28" s="52">
        <v>1.7780530973451322E-2</v>
      </c>
      <c r="X28" s="16">
        <v>0.78397226659357</v>
      </c>
      <c r="Y28" s="37">
        <v>0.51854929091658597</v>
      </c>
    </row>
    <row r="29" spans="1:25" x14ac:dyDescent="0.3">
      <c r="A29" s="5">
        <v>27</v>
      </c>
      <c r="B29" s="5" t="s">
        <v>71</v>
      </c>
      <c r="C29">
        <f>Characteristics!$C$17</f>
        <v>0.47</v>
      </c>
      <c r="D29">
        <f>Characteristics!$C$20</f>
        <v>3.2100000000000002E-3</v>
      </c>
      <c r="E29">
        <f>Characteristics!$C$18</f>
        <v>0.47</v>
      </c>
      <c r="F29">
        <v>1</v>
      </c>
      <c r="G29">
        <v>1.5405405405405406</v>
      </c>
      <c r="H29" s="35">
        <v>1468.94957571132</v>
      </c>
      <c r="I29">
        <v>7.54</v>
      </c>
      <c r="J29" s="16">
        <v>59.318222500004502</v>
      </c>
      <c r="K29" s="37">
        <v>88.582675806914196</v>
      </c>
      <c r="L29" s="5">
        <v>35</v>
      </c>
      <c r="M29">
        <f>10*0.001</f>
        <v>0.01</v>
      </c>
      <c r="N29">
        <v>3.7</v>
      </c>
      <c r="O29">
        <v>30</v>
      </c>
      <c r="P29" s="22">
        <f>0.0134</f>
        <v>1.34E-2</v>
      </c>
      <c r="Q29" s="30">
        <v>5.7</v>
      </c>
      <c r="R29" s="42" t="s">
        <v>29</v>
      </c>
      <c r="S29" s="46">
        <v>2.4141741143117546E-4</v>
      </c>
      <c r="T29" s="33">
        <v>23.950360316303801</v>
      </c>
      <c r="U29" s="22">
        <f>M29</f>
        <v>0.01</v>
      </c>
      <c r="V29" s="42">
        <v>25.47727272727273</v>
      </c>
      <c r="W29" s="52">
        <v>1.7924652338811631E-2</v>
      </c>
      <c r="X29" s="16">
        <v>0.79116467270910695</v>
      </c>
      <c r="Y29" s="37">
        <v>0.52330662386077498</v>
      </c>
    </row>
    <row r="30" spans="1:25" x14ac:dyDescent="0.3">
      <c r="A30" s="5">
        <v>28</v>
      </c>
      <c r="B30" s="5" t="s">
        <v>71</v>
      </c>
      <c r="C30">
        <f>Characteristics!$C$17</f>
        <v>0.47</v>
      </c>
      <c r="D30">
        <f>Characteristics!$C$20</f>
        <v>3.2100000000000002E-3</v>
      </c>
      <c r="E30">
        <f>Characteristics!$C$18</f>
        <v>0.47</v>
      </c>
      <c r="F30">
        <v>1</v>
      </c>
      <c r="G30">
        <v>1.5405405405405406</v>
      </c>
      <c r="H30" s="35">
        <v>1468.76709122071</v>
      </c>
      <c r="I30">
        <v>7.54</v>
      </c>
      <c r="J30" s="16">
        <v>59.314767608211902</v>
      </c>
      <c r="K30" s="37">
        <v>88.5775164554247</v>
      </c>
      <c r="L30" s="5">
        <v>35</v>
      </c>
      <c r="M30">
        <f>10*0.001</f>
        <v>0.01</v>
      </c>
      <c r="N30">
        <v>3.7</v>
      </c>
      <c r="O30">
        <v>30</v>
      </c>
      <c r="P30" s="22">
        <f>0.0134</f>
        <v>1.34E-2</v>
      </c>
      <c r="Q30" s="30">
        <v>5.7</v>
      </c>
      <c r="R30" s="42" t="s">
        <v>29</v>
      </c>
      <c r="S30" s="46">
        <v>2.6398297671816593E-4</v>
      </c>
      <c r="T30" s="33">
        <v>23.992825284113202</v>
      </c>
      <c r="U30" s="22">
        <f>M30</f>
        <v>0.01</v>
      </c>
      <c r="V30" s="42">
        <v>25.52272727272728</v>
      </c>
      <c r="W30" s="52">
        <v>1.7917067003792662E-2</v>
      </c>
      <c r="X30" s="16">
        <v>0.79116467270910695</v>
      </c>
      <c r="Y30" s="37">
        <v>0.52330662386077498</v>
      </c>
    </row>
    <row r="31" spans="1:25" x14ac:dyDescent="0.3">
      <c r="A31" s="5">
        <v>29</v>
      </c>
      <c r="B31" s="5" t="s">
        <v>72</v>
      </c>
      <c r="C31">
        <f>Characteristics!$C$17</f>
        <v>0.47</v>
      </c>
      <c r="D31">
        <f>Characteristics!$C$20</f>
        <v>3.2100000000000002E-3</v>
      </c>
      <c r="E31">
        <f>Characteristics!$C$18</f>
        <v>0.47</v>
      </c>
      <c r="F31">
        <v>1</v>
      </c>
      <c r="G31">
        <v>1</v>
      </c>
      <c r="H31" s="35">
        <v>1459.5586095390199</v>
      </c>
      <c r="I31">
        <v>7.54</v>
      </c>
      <c r="J31" s="16">
        <v>59.140116303314898</v>
      </c>
      <c r="K31" s="37">
        <v>59.140116303314898</v>
      </c>
      <c r="L31" s="5">
        <v>35</v>
      </c>
      <c r="M31">
        <f>10*0.001</f>
        <v>0.01</v>
      </c>
      <c r="N31">
        <v>3.7</v>
      </c>
      <c r="O31">
        <v>36.799999999999997</v>
      </c>
      <c r="P31" s="22">
        <f>0.0106</f>
        <v>1.06E-2</v>
      </c>
      <c r="Q31" s="30">
        <v>3.7</v>
      </c>
      <c r="R31" s="42" t="s">
        <v>29</v>
      </c>
      <c r="S31" s="46">
        <v>1.4448445171547306E-4</v>
      </c>
      <c r="T31" s="33">
        <v>26.14682109084902</v>
      </c>
      <c r="U31" s="22">
        <f>M31</f>
        <v>0.01</v>
      </c>
      <c r="V31" s="42">
        <v>27.657954545454547</v>
      </c>
      <c r="W31" s="52">
        <v>1.7734007585335009E-2</v>
      </c>
      <c r="X31" s="16">
        <v>0.64012414428282305</v>
      </c>
      <c r="Y31" s="37">
        <v>0.42340263203280798</v>
      </c>
    </row>
    <row r="32" spans="1:25" x14ac:dyDescent="0.3">
      <c r="A32" s="5">
        <v>30</v>
      </c>
      <c r="B32" s="5" t="s">
        <v>72</v>
      </c>
      <c r="C32">
        <f>Characteristics!$C$17</f>
        <v>0.47</v>
      </c>
      <c r="D32">
        <f>Characteristics!$C$20</f>
        <v>3.2100000000000002E-3</v>
      </c>
      <c r="E32">
        <f>Characteristics!$C$18</f>
        <v>0.47</v>
      </c>
      <c r="F32">
        <v>1</v>
      </c>
      <c r="G32">
        <v>1</v>
      </c>
      <c r="H32" s="35">
        <v>1460.0318599257801</v>
      </c>
      <c r="I32">
        <v>7.54</v>
      </c>
      <c r="J32" s="16">
        <v>59.149107069431103</v>
      </c>
      <c r="K32" s="37">
        <v>59.149107069431103</v>
      </c>
      <c r="L32" s="5">
        <v>35</v>
      </c>
      <c r="M32">
        <f>10*0.001</f>
        <v>0.01</v>
      </c>
      <c r="N32">
        <v>3.7</v>
      </c>
      <c r="O32">
        <v>36.799999999999997</v>
      </c>
      <c r="P32" s="22">
        <f>0.0106</f>
        <v>1.06E-2</v>
      </c>
      <c r="Q32" s="30">
        <v>3.7</v>
      </c>
      <c r="R32" s="42" t="s">
        <v>29</v>
      </c>
      <c r="S32" s="46">
        <v>1.6227503681465869E-4</v>
      </c>
      <c r="T32" s="33">
        <v>26.035585634524068</v>
      </c>
      <c r="U32" s="22">
        <f>M32</f>
        <v>0.01</v>
      </c>
      <c r="V32" s="42">
        <v>27.561363636363637</v>
      </c>
      <c r="W32" s="52">
        <v>1.7946396965865991E-2</v>
      </c>
      <c r="X32" s="16">
        <v>0.64731655039836</v>
      </c>
      <c r="Y32" s="37">
        <v>0.42815996497699699</v>
      </c>
    </row>
    <row r="33" spans="1:25" x14ac:dyDescent="0.3">
      <c r="A33" s="5">
        <v>31</v>
      </c>
      <c r="B33" s="5" t="s">
        <v>72</v>
      </c>
      <c r="C33">
        <f>Characteristics!$C$17</f>
        <v>0.47</v>
      </c>
      <c r="D33">
        <f>Characteristics!$C$20</f>
        <v>3.2100000000000002E-3</v>
      </c>
      <c r="E33">
        <f>Characteristics!$C$18</f>
        <v>0.47</v>
      </c>
      <c r="F33">
        <v>1</v>
      </c>
      <c r="G33">
        <v>1</v>
      </c>
      <c r="H33" s="35">
        <v>1461.0105898368399</v>
      </c>
      <c r="I33">
        <v>7.54</v>
      </c>
      <c r="J33" s="16">
        <v>59.167695743524803</v>
      </c>
      <c r="K33" s="37">
        <v>59.167695743524803</v>
      </c>
      <c r="L33" s="5">
        <v>35</v>
      </c>
      <c r="M33">
        <f>10*0.001</f>
        <v>0.01</v>
      </c>
      <c r="N33">
        <v>3.7</v>
      </c>
      <c r="O33">
        <v>36.799999999999997</v>
      </c>
      <c r="P33">
        <f>0.0106</f>
        <v>1.06E-2</v>
      </c>
      <c r="Q33" s="30">
        <v>3.7</v>
      </c>
      <c r="R33" s="42" t="s">
        <v>29</v>
      </c>
      <c r="S33" s="46">
        <v>1.8192415944553566E-4</v>
      </c>
      <c r="T33" s="33">
        <v>25.805724312936619</v>
      </c>
      <c r="U33" s="22">
        <f>M33</f>
        <v>0.01</v>
      </c>
      <c r="V33" s="42">
        <v>27.442045454545458</v>
      </c>
      <c r="W33" s="52">
        <v>1.7881921618204802E-2</v>
      </c>
      <c r="X33" s="16">
        <v>0.66170136262943502</v>
      </c>
      <c r="Y33" s="37">
        <v>0.437674630865375</v>
      </c>
    </row>
    <row r="34" spans="1:25" x14ac:dyDescent="0.3">
      <c r="A34" s="5">
        <v>32</v>
      </c>
      <c r="B34" s="5" t="s">
        <v>72</v>
      </c>
      <c r="C34">
        <f>Characteristics!$C$17</f>
        <v>0.47</v>
      </c>
      <c r="D34">
        <f>Characteristics!$C$20</f>
        <v>3.2100000000000002E-3</v>
      </c>
      <c r="E34">
        <f>Characteristics!$C$18</f>
        <v>0.47</v>
      </c>
      <c r="F34">
        <v>1</v>
      </c>
      <c r="G34">
        <v>1</v>
      </c>
      <c r="H34" s="35">
        <v>1461.1868390104401</v>
      </c>
      <c r="I34">
        <v>7.54</v>
      </c>
      <c r="J34" s="16">
        <v>59.171042444995798</v>
      </c>
      <c r="K34" s="37">
        <v>59.171042444995798</v>
      </c>
      <c r="L34" s="5">
        <v>35</v>
      </c>
      <c r="M34">
        <f>10*0.001</f>
        <v>0.01</v>
      </c>
      <c r="N34">
        <v>3.7</v>
      </c>
      <c r="O34">
        <v>36.799999999999997</v>
      </c>
      <c r="P34">
        <f>0.0106</f>
        <v>1.06E-2</v>
      </c>
      <c r="Q34" s="30">
        <v>3.7</v>
      </c>
      <c r="R34" s="42" t="s">
        <v>29</v>
      </c>
      <c r="S34" s="46">
        <v>2.020711664516558E-4</v>
      </c>
      <c r="T34" s="33">
        <v>25.764357467136698</v>
      </c>
      <c r="U34" s="22">
        <f>M34</f>
        <v>0.01</v>
      </c>
      <c r="V34" s="42">
        <v>27.322727272727278</v>
      </c>
      <c r="W34" s="52">
        <v>1.8101896333754738E-2</v>
      </c>
      <c r="X34" s="16">
        <v>0.66170136262943502</v>
      </c>
      <c r="Y34" s="37">
        <v>0.437674630865375</v>
      </c>
    </row>
    <row r="35" spans="1:25" x14ac:dyDescent="0.3">
      <c r="A35" s="5">
        <v>33</v>
      </c>
      <c r="B35" s="5" t="s">
        <v>72</v>
      </c>
      <c r="C35">
        <f>Characteristics!$C$17</f>
        <v>0.47</v>
      </c>
      <c r="D35">
        <f>Characteristics!$C$20</f>
        <v>3.2100000000000002E-3</v>
      </c>
      <c r="E35">
        <f>Characteristics!$C$18</f>
        <v>0.47</v>
      </c>
      <c r="F35">
        <v>1</v>
      </c>
      <c r="G35">
        <v>1</v>
      </c>
      <c r="H35" s="35">
        <v>1461.00623072843</v>
      </c>
      <c r="I35">
        <v>7.54</v>
      </c>
      <c r="J35" s="16">
        <v>59.167612967707797</v>
      </c>
      <c r="K35" s="37">
        <v>59.167612967707797</v>
      </c>
      <c r="L35" s="5">
        <v>35</v>
      </c>
      <c r="M35">
        <f>10*0.001</f>
        <v>0.01</v>
      </c>
      <c r="N35">
        <v>3.7</v>
      </c>
      <c r="O35">
        <v>36.799999999999997</v>
      </c>
      <c r="P35">
        <f>0.0106</f>
        <v>1.06E-2</v>
      </c>
      <c r="Q35" s="30">
        <v>3.7</v>
      </c>
      <c r="R35" s="42" t="s">
        <v>29</v>
      </c>
      <c r="S35" s="46">
        <v>2.2172310198860935E-4</v>
      </c>
      <c r="T35" s="33">
        <v>25.80674752676839</v>
      </c>
      <c r="U35" s="22">
        <f>M35</f>
        <v>0.01</v>
      </c>
      <c r="V35" s="42">
        <v>26.987500000000008</v>
      </c>
      <c r="W35" s="52">
        <v>1.8105689001264219E-2</v>
      </c>
      <c r="X35" s="16">
        <v>0.66170136262943502</v>
      </c>
      <c r="Y35" s="37">
        <v>0.437674630865375</v>
      </c>
    </row>
    <row r="36" spans="1:25" x14ac:dyDescent="0.3">
      <c r="A36" s="5">
        <v>34</v>
      </c>
      <c r="B36" s="5" t="s">
        <v>72</v>
      </c>
      <c r="C36">
        <f>Characteristics!$C$17</f>
        <v>0.47</v>
      </c>
      <c r="D36">
        <f>Characteristics!$C$20</f>
        <v>3.2100000000000002E-3</v>
      </c>
      <c r="E36">
        <f>Characteristics!$C$18</f>
        <v>0.47</v>
      </c>
      <c r="F36">
        <v>1</v>
      </c>
      <c r="G36">
        <v>1</v>
      </c>
      <c r="H36" s="35">
        <v>1462.0752764592501</v>
      </c>
      <c r="I36">
        <v>7.54</v>
      </c>
      <c r="J36" s="16">
        <v>59.187909091353802</v>
      </c>
      <c r="K36" s="37">
        <v>59.187909091353802</v>
      </c>
      <c r="L36" s="5">
        <v>35</v>
      </c>
      <c r="M36">
        <f>10*0.001</f>
        <v>0.01</v>
      </c>
      <c r="N36">
        <v>3.7</v>
      </c>
      <c r="O36">
        <v>36.799999999999997</v>
      </c>
      <c r="P36">
        <f>0.0106</f>
        <v>1.06E-2</v>
      </c>
      <c r="Q36" s="30">
        <v>3.7</v>
      </c>
      <c r="R36" s="42" t="s">
        <v>29</v>
      </c>
      <c r="S36" s="46">
        <v>2.4192993734316762E-4</v>
      </c>
      <c r="T36" s="33">
        <v>25.555958135360139</v>
      </c>
      <c r="U36" s="22">
        <f>M36</f>
        <v>0.01</v>
      </c>
      <c r="V36" s="42">
        <v>26.7261363636364</v>
      </c>
      <c r="W36" s="52">
        <v>1.8340834386852078E-2</v>
      </c>
      <c r="X36" s="16">
        <v>0.67608617486051004</v>
      </c>
      <c r="Y36" s="37">
        <v>0.44718929675375302</v>
      </c>
    </row>
    <row r="37" spans="1:25" x14ac:dyDescent="0.3">
      <c r="A37" s="5">
        <v>35</v>
      </c>
      <c r="B37" s="5" t="s">
        <v>72</v>
      </c>
      <c r="C37">
        <f>Characteristics!$C$17</f>
        <v>0.47</v>
      </c>
      <c r="D37">
        <f>Characteristics!$C$20</f>
        <v>3.2100000000000002E-3</v>
      </c>
      <c r="E37">
        <f>Characteristics!$C$18</f>
        <v>0.47</v>
      </c>
      <c r="F37">
        <v>1</v>
      </c>
      <c r="G37">
        <v>1</v>
      </c>
      <c r="H37" s="35">
        <v>1462.4004381581699</v>
      </c>
      <c r="I37">
        <v>7.54</v>
      </c>
      <c r="J37" s="16">
        <v>59.1940807316536</v>
      </c>
      <c r="K37" s="37">
        <v>59.1940807316536</v>
      </c>
      <c r="L37" s="5">
        <v>35</v>
      </c>
      <c r="M37">
        <f>10*0.001</f>
        <v>0.01</v>
      </c>
      <c r="N37">
        <v>3.7</v>
      </c>
      <c r="O37">
        <v>36.799999999999997</v>
      </c>
      <c r="P37">
        <f>0.0106</f>
        <v>1.06E-2</v>
      </c>
      <c r="Q37" s="30">
        <v>3.7</v>
      </c>
      <c r="R37" s="42" t="s">
        <v>29</v>
      </c>
      <c r="S37" s="46">
        <v>2.6399833951288194E-4</v>
      </c>
      <c r="T37" s="33">
        <v>25.479736673848471</v>
      </c>
      <c r="U37" s="22">
        <f>M37</f>
        <v>0.01</v>
      </c>
      <c r="V37" s="42">
        <v>26.2886363636364</v>
      </c>
      <c r="W37" s="52">
        <v>1.843185840707964E-2</v>
      </c>
      <c r="X37" s="16">
        <v>0.68327858097604699</v>
      </c>
      <c r="Y37" s="37">
        <v>0.45194662969794203</v>
      </c>
    </row>
    <row r="38" spans="1:25" x14ac:dyDescent="0.3">
      <c r="A38" s="5">
        <v>36</v>
      </c>
      <c r="B38" s="5" t="s">
        <v>73</v>
      </c>
      <c r="C38">
        <f>Characteristics!$C$17</f>
        <v>0.47</v>
      </c>
      <c r="D38">
        <f>Characteristics!$C$20</f>
        <v>3.2100000000000002E-3</v>
      </c>
      <c r="E38">
        <f>Characteristics!$C$18</f>
        <v>0.47</v>
      </c>
      <c r="F38">
        <v>1</v>
      </c>
      <c r="G38">
        <v>1.5405405405405406</v>
      </c>
      <c r="H38" s="35">
        <v>1456.9050364259899</v>
      </c>
      <c r="I38">
        <v>7.54</v>
      </c>
      <c r="J38" s="16">
        <v>59.089673875671203</v>
      </c>
      <c r="K38" s="37">
        <v>88.241373457616305</v>
      </c>
      <c r="L38" s="5">
        <v>35</v>
      </c>
      <c r="M38">
        <f>10*0.001</f>
        <v>0.01</v>
      </c>
      <c r="N38">
        <v>3.7</v>
      </c>
      <c r="O38">
        <v>36.799999999999997</v>
      </c>
      <c r="P38">
        <f>0.0106</f>
        <v>1.06E-2</v>
      </c>
      <c r="Q38" s="30">
        <v>5.7</v>
      </c>
      <c r="R38" s="42" t="s">
        <v>29</v>
      </c>
      <c r="S38" s="46">
        <v>1.4492485183067444E-4</v>
      </c>
      <c r="T38" s="33">
        <v>26.771614263260808</v>
      </c>
      <c r="U38" s="22">
        <f>M38</f>
        <v>0.01</v>
      </c>
      <c r="V38" s="42">
        <v>27.896590909090907</v>
      </c>
      <c r="W38" s="52">
        <v>1.622831858407079E-2</v>
      </c>
      <c r="X38" s="16">
        <v>0.58977730147406204</v>
      </c>
      <c r="Y38" s="37">
        <v>0.39010130142348598</v>
      </c>
    </row>
    <row r="39" spans="1:25" x14ac:dyDescent="0.3">
      <c r="A39" s="5">
        <v>37</v>
      </c>
      <c r="B39" s="5" t="s">
        <v>73</v>
      </c>
      <c r="C39">
        <f>Characteristics!$C$17</f>
        <v>0.47</v>
      </c>
      <c r="D39">
        <f>Characteristics!$C$20</f>
        <v>3.2100000000000002E-3</v>
      </c>
      <c r="E39">
        <f>Characteristics!$C$18</f>
        <v>0.47</v>
      </c>
      <c r="F39">
        <v>1</v>
      </c>
      <c r="G39">
        <v>1.5405405405405406</v>
      </c>
      <c r="H39" s="35">
        <v>1458.19203057615</v>
      </c>
      <c r="I39">
        <v>7.54</v>
      </c>
      <c r="J39" s="16">
        <v>59.114145049380902</v>
      </c>
      <c r="K39" s="37">
        <v>88.277917405765393</v>
      </c>
      <c r="L39" s="5">
        <v>35</v>
      </c>
      <c r="M39">
        <f>10*0.001</f>
        <v>0.01</v>
      </c>
      <c r="N39">
        <v>3.7</v>
      </c>
      <c r="O39">
        <v>36.799999999999997</v>
      </c>
      <c r="P39">
        <f>0.0106</f>
        <v>1.06E-2</v>
      </c>
      <c r="Q39" s="30">
        <v>5.7</v>
      </c>
      <c r="R39" s="42" t="s">
        <v>29</v>
      </c>
      <c r="S39" s="46">
        <v>1.6079169767786969E-4</v>
      </c>
      <c r="T39" s="33">
        <v>26.468357271631668</v>
      </c>
      <c r="U39" s="22">
        <f>M39</f>
        <v>0.01</v>
      </c>
      <c r="V39" s="42">
        <v>27.652272727272727</v>
      </c>
      <c r="W39" s="52">
        <v>1.6406573957016432E-2</v>
      </c>
      <c r="X39" s="16">
        <v>0.61135451982067401</v>
      </c>
      <c r="Y39" s="37">
        <v>0.404373300256053</v>
      </c>
    </row>
    <row r="40" spans="1:25" x14ac:dyDescent="0.3">
      <c r="A40" s="5">
        <v>38</v>
      </c>
      <c r="B40" s="5" t="s">
        <v>73</v>
      </c>
      <c r="C40">
        <f>Characteristics!$C$17</f>
        <v>0.47</v>
      </c>
      <c r="D40">
        <f>Characteristics!$C$20</f>
        <v>3.2100000000000002E-3</v>
      </c>
      <c r="E40">
        <f>Characteristics!$C$18</f>
        <v>0.47</v>
      </c>
      <c r="F40">
        <v>1</v>
      </c>
      <c r="G40">
        <v>1.5405405405405406</v>
      </c>
      <c r="H40" s="35">
        <v>1458.23430229113</v>
      </c>
      <c r="I40">
        <v>7.54</v>
      </c>
      <c r="J40" s="16">
        <v>59.114948606668399</v>
      </c>
      <c r="K40" s="37">
        <v>88.279117395442995</v>
      </c>
      <c r="L40" s="5">
        <v>35</v>
      </c>
      <c r="M40">
        <f>10*0.001</f>
        <v>0.01</v>
      </c>
      <c r="N40">
        <v>3.7</v>
      </c>
      <c r="O40">
        <v>36.799999999999997</v>
      </c>
      <c r="P40">
        <f>0.0106</f>
        <v>1.06E-2</v>
      </c>
      <c r="Q40" s="30">
        <v>5.7</v>
      </c>
      <c r="R40" s="42" t="s">
        <v>29</v>
      </c>
      <c r="S40" s="46">
        <v>1.8093902925007531E-4</v>
      </c>
      <c r="T40" s="33">
        <v>26.458404046741649</v>
      </c>
      <c r="U40" s="22">
        <f>M40</f>
        <v>0.01</v>
      </c>
      <c r="V40" s="42">
        <v>27.095454545454547</v>
      </c>
      <c r="W40" s="52">
        <v>1.6524146649810362E-2</v>
      </c>
      <c r="X40" s="16">
        <v>0.61135451982067401</v>
      </c>
      <c r="Y40" s="37">
        <v>0.404373300256053</v>
      </c>
    </row>
    <row r="41" spans="1:25" x14ac:dyDescent="0.3">
      <c r="A41" s="5">
        <v>39</v>
      </c>
      <c r="B41" s="5" t="s">
        <v>73</v>
      </c>
      <c r="C41">
        <f>Characteristics!$C$17</f>
        <v>0.47</v>
      </c>
      <c r="D41">
        <f>Characteristics!$C$20</f>
        <v>3.2100000000000002E-3</v>
      </c>
      <c r="E41">
        <f>Characteristics!$C$18</f>
        <v>0.47</v>
      </c>
      <c r="F41">
        <v>1</v>
      </c>
      <c r="G41">
        <v>1.5405405405405406</v>
      </c>
      <c r="H41" s="35">
        <v>1459.1515617668799</v>
      </c>
      <c r="I41">
        <v>7.54</v>
      </c>
      <c r="J41" s="16">
        <v>59.132381949904101</v>
      </c>
      <c r="K41" s="37">
        <v>88.305151422205597</v>
      </c>
      <c r="L41" s="5">
        <v>35</v>
      </c>
      <c r="M41">
        <f>10*0.001</f>
        <v>0.01</v>
      </c>
      <c r="N41">
        <v>3.7</v>
      </c>
      <c r="O41">
        <v>36.799999999999997</v>
      </c>
      <c r="P41">
        <f>0.0106</f>
        <v>1.06E-2</v>
      </c>
      <c r="Q41" s="30">
        <v>5.7</v>
      </c>
      <c r="R41" s="42" t="s">
        <v>29</v>
      </c>
      <c r="S41" s="46">
        <v>2.0207610706873705E-4</v>
      </c>
      <c r="T41" s="33">
        <v>26.242542585431849</v>
      </c>
      <c r="U41" s="22">
        <f>M41</f>
        <v>0.01</v>
      </c>
      <c r="V41" s="42">
        <v>26.976136363636368</v>
      </c>
      <c r="W41" s="52">
        <v>1.6721365360303411E-2</v>
      </c>
      <c r="X41" s="16">
        <v>0.63293173816728598</v>
      </c>
      <c r="Y41" s="37">
        <v>0.41864529908862003</v>
      </c>
    </row>
    <row r="42" spans="1:25" x14ac:dyDescent="0.3">
      <c r="A42" s="5">
        <v>40</v>
      </c>
      <c r="B42" s="5" t="s">
        <v>73</v>
      </c>
      <c r="C42">
        <f>Characteristics!$C$17</f>
        <v>0.47</v>
      </c>
      <c r="D42">
        <f>Characteristics!$C$20</f>
        <v>3.2100000000000002E-3</v>
      </c>
      <c r="E42">
        <f>Characteristics!$C$18</f>
        <v>0.47</v>
      </c>
      <c r="F42">
        <v>1</v>
      </c>
      <c r="G42">
        <v>1.5405405405405406</v>
      </c>
      <c r="H42" s="35">
        <v>1460.33733659017</v>
      </c>
      <c r="I42">
        <v>7.54</v>
      </c>
      <c r="J42" s="16">
        <v>59.1549096253095</v>
      </c>
      <c r="K42" s="37">
        <v>88.338793053445002</v>
      </c>
      <c r="L42" s="5">
        <v>35</v>
      </c>
      <c r="M42">
        <f>10*0.001</f>
        <v>0.01</v>
      </c>
      <c r="N42">
        <v>3.7</v>
      </c>
      <c r="O42">
        <v>36.799999999999997</v>
      </c>
      <c r="P42">
        <f>0.0106</f>
        <v>1.06E-2</v>
      </c>
      <c r="Q42" s="30">
        <v>5.7</v>
      </c>
      <c r="R42" s="42" t="s">
        <v>29</v>
      </c>
      <c r="S42" s="46">
        <v>2.2172472481903676E-4</v>
      </c>
      <c r="T42" s="33">
        <v>25.963815631317892</v>
      </c>
      <c r="U42" s="22">
        <f>M42</f>
        <v>0.01</v>
      </c>
      <c r="V42" s="42">
        <v>26.839772727272727</v>
      </c>
      <c r="W42" s="52">
        <v>1.6592414664981032E-2</v>
      </c>
      <c r="X42" s="16">
        <v>0.64731655039836</v>
      </c>
      <c r="Y42" s="37">
        <v>0.42815996497699699</v>
      </c>
    </row>
    <row r="43" spans="1:25" x14ac:dyDescent="0.3">
      <c r="A43" s="5">
        <v>41</v>
      </c>
      <c r="B43" s="5" t="s">
        <v>73</v>
      </c>
      <c r="C43">
        <f>Characteristics!$C$17</f>
        <v>0.47</v>
      </c>
      <c r="D43">
        <f>Characteristics!$C$20</f>
        <v>3.2100000000000002E-3</v>
      </c>
      <c r="E43">
        <f>Characteristics!$C$18</f>
        <v>0.47</v>
      </c>
      <c r="F43">
        <v>1</v>
      </c>
      <c r="G43">
        <v>1.5405405405405406</v>
      </c>
      <c r="H43" s="35">
        <v>1461.82217134025</v>
      </c>
      <c r="I43">
        <v>7.54</v>
      </c>
      <c r="J43" s="16">
        <v>59.183104569441099</v>
      </c>
      <c r="K43" s="37">
        <v>88.380897882115605</v>
      </c>
      <c r="L43" s="5">
        <v>35</v>
      </c>
      <c r="M43">
        <f>10*0.001</f>
        <v>0.01</v>
      </c>
      <c r="N43">
        <v>3.7</v>
      </c>
      <c r="O43">
        <v>36.799999999999997</v>
      </c>
      <c r="P43">
        <f>0.0106</f>
        <v>1.06E-2</v>
      </c>
      <c r="Q43" s="30">
        <v>5.7</v>
      </c>
      <c r="R43" s="42" t="s">
        <v>29</v>
      </c>
      <c r="S43" s="46">
        <v>2.4242648739116932E-4</v>
      </c>
      <c r="T43" s="33">
        <v>25.615307725184749</v>
      </c>
      <c r="U43" s="22">
        <f>M43</f>
        <v>0.01</v>
      </c>
      <c r="V43" s="42">
        <v>26.709090909090996</v>
      </c>
      <c r="W43" s="52">
        <v>1.6789633375474081E-2</v>
      </c>
      <c r="X43" s="16">
        <v>0.67608617486051004</v>
      </c>
      <c r="Y43" s="37">
        <v>0.44718929675375302</v>
      </c>
    </row>
    <row r="44" spans="1:25" x14ac:dyDescent="0.3">
      <c r="A44" s="5">
        <v>42</v>
      </c>
      <c r="B44" s="5" t="s">
        <v>73</v>
      </c>
      <c r="C44">
        <f>Characteristics!$C$17</f>
        <v>0.47</v>
      </c>
      <c r="D44">
        <f>Characteristics!$C$20</f>
        <v>3.2100000000000002E-3</v>
      </c>
      <c r="E44">
        <f>Characteristics!$C$18</f>
        <v>0.47</v>
      </c>
      <c r="F44">
        <v>1</v>
      </c>
      <c r="G44">
        <v>1.5405405405405406</v>
      </c>
      <c r="H44" s="35">
        <v>1462.2514750528801</v>
      </c>
      <c r="I44">
        <v>7.54</v>
      </c>
      <c r="J44" s="16">
        <v>59.191253472642799</v>
      </c>
      <c r="K44" s="37">
        <v>88.393067020368093</v>
      </c>
      <c r="L44" s="5">
        <v>35</v>
      </c>
      <c r="M44">
        <f>10*0.001</f>
        <v>0.01</v>
      </c>
      <c r="N44">
        <v>3.7</v>
      </c>
      <c r="O44">
        <v>36.799999999999997</v>
      </c>
      <c r="P44">
        <f>0.0106</f>
        <v>1.06E-2</v>
      </c>
      <c r="Q44" s="30">
        <v>5.7</v>
      </c>
      <c r="R44" s="42" t="s">
        <v>29</v>
      </c>
      <c r="S44" s="46">
        <v>2.6443264499825505E-4</v>
      </c>
      <c r="T44" s="33">
        <v>25.514651853618801</v>
      </c>
      <c r="U44" s="22">
        <f>M44</f>
        <v>0.01</v>
      </c>
      <c r="V44" s="42">
        <v>26.5386363636364</v>
      </c>
      <c r="W44" s="52">
        <v>1.6964096080910242E-2</v>
      </c>
      <c r="X44" s="16">
        <v>0.68327858097604699</v>
      </c>
      <c r="Y44" s="37">
        <v>0.45194662969794203</v>
      </c>
    </row>
    <row r="45" spans="1:25" x14ac:dyDescent="0.3">
      <c r="A45" s="5">
        <v>43</v>
      </c>
      <c r="B45" s="5" t="s">
        <v>74</v>
      </c>
      <c r="C45">
        <f>Characteristics!$C$17</f>
        <v>0.47</v>
      </c>
      <c r="D45">
        <f>Characteristics!$C$20</f>
        <v>3.2100000000000002E-3</v>
      </c>
      <c r="E45">
        <f>Characteristics!$C$18</f>
        <v>0.47</v>
      </c>
      <c r="F45">
        <v>1</v>
      </c>
      <c r="G45">
        <v>1</v>
      </c>
      <c r="H45" s="35">
        <v>1457.97363089793</v>
      </c>
      <c r="I45">
        <v>7.54</v>
      </c>
      <c r="J45" s="16">
        <v>59.109993197535701</v>
      </c>
      <c r="K45" s="37">
        <v>59.109993197535701</v>
      </c>
      <c r="L45" s="5">
        <v>35</v>
      </c>
      <c r="M45">
        <f>10*0.001</f>
        <v>0.01</v>
      </c>
      <c r="N45">
        <v>3.7</v>
      </c>
      <c r="O45">
        <f>40</f>
        <v>40</v>
      </c>
      <c r="P45">
        <f>0.01</f>
        <v>0.01</v>
      </c>
      <c r="Q45">
        <v>3.7</v>
      </c>
      <c r="R45" s="42" t="s">
        <v>29</v>
      </c>
      <c r="S45" s="46">
        <v>1.4356586728364511E-4</v>
      </c>
      <c r="T45" s="33">
        <v>26.519788717433659</v>
      </c>
      <c r="U45" s="22">
        <f>M45</f>
        <v>0.01</v>
      </c>
      <c r="V45" s="52" t="s">
        <v>29</v>
      </c>
      <c r="W45" s="52" t="s">
        <v>29</v>
      </c>
      <c r="X45" s="16">
        <v>0.61135451982067401</v>
      </c>
      <c r="Y45" s="37">
        <v>0.404373300256053</v>
      </c>
    </row>
    <row r="46" spans="1:25" x14ac:dyDescent="0.3">
      <c r="A46" s="5">
        <v>44</v>
      </c>
      <c r="B46" s="5" t="s">
        <v>74</v>
      </c>
      <c r="C46">
        <f>Characteristics!$C$17</f>
        <v>0.47</v>
      </c>
      <c r="D46">
        <f>Characteristics!$C$20</f>
        <v>3.2100000000000002E-3</v>
      </c>
      <c r="E46">
        <f>Characteristics!$C$18</f>
        <v>0.47</v>
      </c>
      <c r="F46">
        <v>1</v>
      </c>
      <c r="G46">
        <v>1</v>
      </c>
      <c r="H46" s="35">
        <v>1458.4779035629899</v>
      </c>
      <c r="I46">
        <v>7.54</v>
      </c>
      <c r="J46" s="16">
        <v>59.119579064584599</v>
      </c>
      <c r="K46" s="37">
        <v>59.119579064584599</v>
      </c>
      <c r="L46" s="5">
        <v>35</v>
      </c>
      <c r="M46">
        <f>10*0.001</f>
        <v>0.01</v>
      </c>
      <c r="N46">
        <v>3.7</v>
      </c>
      <c r="O46">
        <f>40</f>
        <v>40</v>
      </c>
      <c r="P46">
        <f>0.01</f>
        <v>0.01</v>
      </c>
      <c r="Q46">
        <v>3.7</v>
      </c>
      <c r="R46" s="42" t="s">
        <v>29</v>
      </c>
      <c r="S46" s="46">
        <v>1.5929410242554746E-4</v>
      </c>
      <c r="T46" s="33">
        <v>26.401055205011971</v>
      </c>
      <c r="U46" s="22">
        <f>M46</f>
        <v>0.01</v>
      </c>
      <c r="V46" s="52" t="s">
        <v>29</v>
      </c>
      <c r="W46" s="52" t="s">
        <v>29</v>
      </c>
      <c r="X46" s="16">
        <v>0.61854692593621097</v>
      </c>
      <c r="Y46" s="37">
        <v>0.40913063320024201</v>
      </c>
    </row>
    <row r="47" spans="1:25" x14ac:dyDescent="0.3">
      <c r="A47" s="5">
        <v>45</v>
      </c>
      <c r="B47" s="5" t="s">
        <v>74</v>
      </c>
      <c r="C47">
        <f>Characteristics!$C$17</f>
        <v>0.47</v>
      </c>
      <c r="D47">
        <f>Characteristics!$C$20</f>
        <v>3.2100000000000002E-3</v>
      </c>
      <c r="E47">
        <f>Characteristics!$C$18</f>
        <v>0.47</v>
      </c>
      <c r="F47">
        <v>1</v>
      </c>
      <c r="G47">
        <v>1</v>
      </c>
      <c r="H47" s="35">
        <v>1459.2853264785899</v>
      </c>
      <c r="I47">
        <v>7.54</v>
      </c>
      <c r="J47" s="16">
        <v>59.1349237602249</v>
      </c>
      <c r="K47" s="37">
        <v>59.1349237602249</v>
      </c>
      <c r="L47" s="5">
        <v>35</v>
      </c>
      <c r="M47">
        <f>10*0.001</f>
        <v>0.01</v>
      </c>
      <c r="N47">
        <v>3.7</v>
      </c>
      <c r="O47">
        <f>40</f>
        <v>40</v>
      </c>
      <c r="P47">
        <f>0.01</f>
        <v>0.01</v>
      </c>
      <c r="Q47">
        <v>3.7</v>
      </c>
      <c r="R47" s="42" t="s">
        <v>29</v>
      </c>
      <c r="S47" s="46">
        <v>1.7807044515308901E-4</v>
      </c>
      <c r="T47" s="33">
        <v>26.21108166565859</v>
      </c>
      <c r="U47" s="22">
        <f>M47</f>
        <v>0.01</v>
      </c>
      <c r="V47" s="52" t="s">
        <v>29</v>
      </c>
      <c r="W47" s="52" t="s">
        <v>29</v>
      </c>
      <c r="X47" s="16">
        <v>0.63293173816728598</v>
      </c>
      <c r="Y47" s="37">
        <v>0.41864529908862003</v>
      </c>
    </row>
    <row r="48" spans="1:25" x14ac:dyDescent="0.3">
      <c r="A48" s="5">
        <v>46</v>
      </c>
      <c r="B48" s="5" t="s">
        <v>74</v>
      </c>
      <c r="C48">
        <f>Characteristics!$C$17</f>
        <v>0.47</v>
      </c>
      <c r="D48">
        <f>Characteristics!$C$20</f>
        <v>3.2100000000000002E-3</v>
      </c>
      <c r="E48">
        <f>Characteristics!$C$18</f>
        <v>0.47</v>
      </c>
      <c r="F48">
        <v>1</v>
      </c>
      <c r="G48">
        <v>1</v>
      </c>
      <c r="H48" s="35">
        <v>1460.22823202719</v>
      </c>
      <c r="I48">
        <v>7.54</v>
      </c>
      <c r="J48" s="16">
        <v>59.152837255085998</v>
      </c>
      <c r="K48" s="37">
        <v>59.152837255085998</v>
      </c>
      <c r="L48" s="5">
        <v>35</v>
      </c>
      <c r="M48">
        <f>10*0.001</f>
        <v>0.01</v>
      </c>
      <c r="N48">
        <v>3.7</v>
      </c>
      <c r="O48">
        <f>40</f>
        <v>40</v>
      </c>
      <c r="P48">
        <f>0.01</f>
        <v>0.01</v>
      </c>
      <c r="Q48">
        <v>3.7</v>
      </c>
      <c r="R48" s="42" t="s">
        <v>29</v>
      </c>
      <c r="S48" s="46">
        <v>1.9642005281864287E-4</v>
      </c>
      <c r="T48" s="33">
        <v>25.989446339453991</v>
      </c>
      <c r="U48" s="22">
        <f>M48</f>
        <v>0.01</v>
      </c>
      <c r="V48" s="52" t="s">
        <v>29</v>
      </c>
      <c r="W48" s="52" t="s">
        <v>29</v>
      </c>
      <c r="X48" s="16">
        <v>0.64731655039836</v>
      </c>
      <c r="Y48" s="37">
        <v>0.42815996497699699</v>
      </c>
    </row>
    <row r="49" spans="1:25" x14ac:dyDescent="0.3">
      <c r="A49" s="5">
        <v>47</v>
      </c>
      <c r="B49" s="5" t="s">
        <v>74</v>
      </c>
      <c r="C49">
        <f>Characteristics!$C$17</f>
        <v>0.47</v>
      </c>
      <c r="D49">
        <f>Characteristics!$C$20</f>
        <v>3.2100000000000002E-3</v>
      </c>
      <c r="E49">
        <f>Characteristics!$C$18</f>
        <v>0.47</v>
      </c>
      <c r="F49">
        <v>1</v>
      </c>
      <c r="G49">
        <v>1</v>
      </c>
      <c r="H49" s="35">
        <v>1461.47573220203</v>
      </c>
      <c r="I49">
        <v>7.54</v>
      </c>
      <c r="J49" s="16">
        <v>59.176527598666297</v>
      </c>
      <c r="K49" s="37">
        <v>59.176527598666297</v>
      </c>
      <c r="L49" s="5">
        <v>35</v>
      </c>
      <c r="M49">
        <f>10*0.001</f>
        <v>0.01</v>
      </c>
      <c r="N49">
        <v>3.7</v>
      </c>
      <c r="O49">
        <f>40</f>
        <v>40</v>
      </c>
      <c r="P49">
        <f>0.01</f>
        <v>0.01</v>
      </c>
      <c r="Q49">
        <v>3.7</v>
      </c>
      <c r="R49" s="42" t="s">
        <v>29</v>
      </c>
      <c r="S49" s="46">
        <v>2.1470869833248332E-4</v>
      </c>
      <c r="T49" s="33">
        <v>25.696569778497938</v>
      </c>
      <c r="U49" s="22">
        <f>M49</f>
        <v>0.01</v>
      </c>
      <c r="V49" s="52" t="s">
        <v>29</v>
      </c>
      <c r="W49" s="52" t="s">
        <v>29</v>
      </c>
      <c r="X49" s="16">
        <v>0.66889376874497297</v>
      </c>
      <c r="Y49" s="37">
        <v>0.44243196380956401</v>
      </c>
    </row>
    <row r="50" spans="1:25" x14ac:dyDescent="0.3">
      <c r="A50" s="5">
        <v>48</v>
      </c>
      <c r="B50" s="5" t="s">
        <v>74</v>
      </c>
      <c r="C50">
        <f>Characteristics!$C$17</f>
        <v>0.47</v>
      </c>
      <c r="D50">
        <f>Characteristics!$C$20</f>
        <v>3.2100000000000002E-3</v>
      </c>
      <c r="E50">
        <f>Characteristics!$C$18</f>
        <v>0.47</v>
      </c>
      <c r="F50">
        <v>1</v>
      </c>
      <c r="G50">
        <v>1</v>
      </c>
      <c r="H50" s="35">
        <v>1461.9144490953399</v>
      </c>
      <c r="I50">
        <v>7.54</v>
      </c>
      <c r="J50" s="16">
        <v>59.184856263609198</v>
      </c>
      <c r="K50" s="37">
        <v>59.184856263609198</v>
      </c>
      <c r="L50" s="5">
        <v>35</v>
      </c>
      <c r="M50">
        <f>10*0.001</f>
        <v>0.01</v>
      </c>
      <c r="N50">
        <v>3.7</v>
      </c>
      <c r="O50">
        <f>40</f>
        <v>40</v>
      </c>
      <c r="P50">
        <f>0.01</f>
        <v>0.01</v>
      </c>
      <c r="Q50">
        <v>3.7</v>
      </c>
      <c r="R50" s="42" t="s">
        <v>29</v>
      </c>
      <c r="S50" s="46">
        <v>2.3220483587405575E-4</v>
      </c>
      <c r="T50" s="33">
        <v>25.593667964715031</v>
      </c>
      <c r="U50" s="22">
        <f>M50</f>
        <v>0.01</v>
      </c>
      <c r="V50" s="52" t="s">
        <v>29</v>
      </c>
      <c r="W50" s="52" t="s">
        <v>29</v>
      </c>
      <c r="X50" s="16">
        <v>0.67608617486051004</v>
      </c>
      <c r="Y50" s="37">
        <v>0.44718929675375302</v>
      </c>
    </row>
    <row r="51" spans="1:25" x14ac:dyDescent="0.3">
      <c r="A51" s="5">
        <v>49</v>
      </c>
      <c r="B51" s="5" t="s">
        <v>74</v>
      </c>
      <c r="C51">
        <f>Characteristics!$C$17</f>
        <v>0.47</v>
      </c>
      <c r="D51">
        <f>Characteristics!$C$20</f>
        <v>3.2100000000000002E-3</v>
      </c>
      <c r="E51">
        <f>Characteristics!$C$18</f>
        <v>0.47</v>
      </c>
      <c r="F51">
        <v>1</v>
      </c>
      <c r="G51">
        <v>1</v>
      </c>
      <c r="H51" s="35">
        <v>1462.3871556690101</v>
      </c>
      <c r="I51">
        <v>7.54</v>
      </c>
      <c r="J51" s="16">
        <v>59.193828640606803</v>
      </c>
      <c r="K51" s="37">
        <v>59.193828640606803</v>
      </c>
      <c r="L51" s="5">
        <v>35</v>
      </c>
      <c r="M51">
        <f>10*0.001</f>
        <v>0.01</v>
      </c>
      <c r="N51">
        <v>3.7</v>
      </c>
      <c r="O51">
        <f>40</f>
        <v>40</v>
      </c>
      <c r="P51">
        <f>0.01</f>
        <v>0.01</v>
      </c>
      <c r="Q51">
        <v>3.7</v>
      </c>
      <c r="R51" s="42" t="s">
        <v>29</v>
      </c>
      <c r="S51" s="46">
        <v>2.522613837875679E-4</v>
      </c>
      <c r="T51" s="33">
        <v>25.48284969770285</v>
      </c>
      <c r="U51" s="22">
        <f>M51</f>
        <v>0.01</v>
      </c>
      <c r="V51" s="52" t="s">
        <v>29</v>
      </c>
      <c r="W51" s="52" t="s">
        <v>29</v>
      </c>
      <c r="X51" s="16">
        <v>0.68327858097604699</v>
      </c>
      <c r="Y51" s="37">
        <v>0.45194662969794203</v>
      </c>
    </row>
    <row r="52" spans="1:25" x14ac:dyDescent="0.3">
      <c r="A52" s="5">
        <v>50</v>
      </c>
      <c r="B52" s="5" t="s">
        <v>75</v>
      </c>
      <c r="C52">
        <f>Characteristics!$C$17</f>
        <v>0.47</v>
      </c>
      <c r="D52">
        <f>Characteristics!$C$20</f>
        <v>3.2100000000000002E-3</v>
      </c>
      <c r="E52">
        <f>Characteristics!$C$18</f>
        <v>0.47</v>
      </c>
      <c r="F52">
        <v>1</v>
      </c>
      <c r="G52">
        <v>1</v>
      </c>
      <c r="H52" s="35">
        <v>1496.4634520530899</v>
      </c>
      <c r="I52">
        <v>7.54</v>
      </c>
      <c r="J52" s="16">
        <v>59.836419033112897</v>
      </c>
      <c r="K52" s="37">
        <v>59.836419033112897</v>
      </c>
      <c r="L52" s="5">
        <v>30</v>
      </c>
      <c r="M52">
        <f>10*0.001</f>
        <v>0.01</v>
      </c>
      <c r="N52">
        <v>3.7</v>
      </c>
      <c r="O52">
        <v>30</v>
      </c>
      <c r="P52">
        <f>0.01</f>
        <v>0.01</v>
      </c>
      <c r="Q52">
        <v>3.7</v>
      </c>
      <c r="R52" s="42" t="s">
        <v>29</v>
      </c>
      <c r="S52" s="46">
        <v>1.4399260234563478E-4</v>
      </c>
      <c r="T52" s="33">
        <v>22.64379946273494</v>
      </c>
      <c r="U52" s="22">
        <f>M52</f>
        <v>0.01</v>
      </c>
      <c r="V52" s="52" t="s">
        <v>29</v>
      </c>
      <c r="W52" s="52" t="s">
        <v>29</v>
      </c>
      <c r="X52" s="16">
        <v>0.70929979780816799</v>
      </c>
      <c r="Y52" s="37">
        <v>0.46191737519552001</v>
      </c>
    </row>
    <row r="53" spans="1:25" x14ac:dyDescent="0.3">
      <c r="A53" s="5">
        <v>51</v>
      </c>
      <c r="B53" s="5" t="s">
        <v>75</v>
      </c>
      <c r="C53">
        <f>Characteristics!$C$17</f>
        <v>0.47</v>
      </c>
      <c r="D53">
        <f>Characteristics!$C$20</f>
        <v>3.2100000000000002E-3</v>
      </c>
      <c r="E53">
        <f>Characteristics!$C$18</f>
        <v>0.47</v>
      </c>
      <c r="F53">
        <v>1</v>
      </c>
      <c r="G53">
        <v>1</v>
      </c>
      <c r="H53" s="35">
        <v>1497.2349903014599</v>
      </c>
      <c r="I53">
        <v>7.54</v>
      </c>
      <c r="J53" s="16">
        <v>59.850873293132402</v>
      </c>
      <c r="K53" s="37">
        <v>59.850873293132402</v>
      </c>
      <c r="L53" s="5">
        <v>30</v>
      </c>
      <c r="M53">
        <f>10*0.001</f>
        <v>0.01</v>
      </c>
      <c r="N53">
        <v>3.7</v>
      </c>
      <c r="O53">
        <v>30</v>
      </c>
      <c r="P53">
        <f>0.01</f>
        <v>0.01</v>
      </c>
      <c r="Q53">
        <v>3.7</v>
      </c>
      <c r="R53" s="42" t="s">
        <v>29</v>
      </c>
      <c r="S53" s="46">
        <v>1.5929410242554746E-4</v>
      </c>
      <c r="T53" s="33">
        <v>22.469656816807159</v>
      </c>
      <c r="U53" s="22">
        <f>M53</f>
        <v>0.01</v>
      </c>
      <c r="V53" s="52" t="s">
        <v>29</v>
      </c>
      <c r="W53" s="52" t="s">
        <v>29</v>
      </c>
      <c r="X53" s="16">
        <v>0.71888493021098099</v>
      </c>
      <c r="Y53" s="37">
        <v>0.468159501887352</v>
      </c>
    </row>
    <row r="54" spans="1:25" x14ac:dyDescent="0.3">
      <c r="A54" s="5">
        <v>52</v>
      </c>
      <c r="B54" s="5" t="s">
        <v>75</v>
      </c>
      <c r="C54">
        <f>Characteristics!$C$17</f>
        <v>0.47</v>
      </c>
      <c r="D54">
        <f>Characteristics!$C$20</f>
        <v>3.2100000000000002E-3</v>
      </c>
      <c r="E54">
        <f>Characteristics!$C$18</f>
        <v>0.47</v>
      </c>
      <c r="F54">
        <v>1</v>
      </c>
      <c r="G54">
        <v>1</v>
      </c>
      <c r="H54" s="35">
        <v>1497.5157081677501</v>
      </c>
      <c r="I54">
        <v>7.54</v>
      </c>
      <c r="J54" s="16">
        <v>59.856131325956298</v>
      </c>
      <c r="K54" s="37">
        <v>59.856131325956298</v>
      </c>
      <c r="L54" s="5">
        <v>30</v>
      </c>
      <c r="M54">
        <f>10*0.001</f>
        <v>0.01</v>
      </c>
      <c r="N54">
        <v>3.7</v>
      </c>
      <c r="O54">
        <v>30</v>
      </c>
      <c r="P54">
        <f>0.01</f>
        <v>0.01</v>
      </c>
      <c r="Q54">
        <v>3.7</v>
      </c>
      <c r="R54" s="42" t="s">
        <v>29</v>
      </c>
      <c r="S54" s="46">
        <v>1.7807044515308901E-4</v>
      </c>
      <c r="T54" s="33">
        <v>22.40633243789156</v>
      </c>
      <c r="U54" s="22">
        <f>M54</f>
        <v>0.01</v>
      </c>
      <c r="V54" s="52" t="s">
        <v>29</v>
      </c>
      <c r="W54" s="52" t="s">
        <v>29</v>
      </c>
      <c r="X54" s="16">
        <v>0.72847006261379399</v>
      </c>
      <c r="Y54" s="37">
        <v>0.474401628579183</v>
      </c>
    </row>
    <row r="55" spans="1:25" x14ac:dyDescent="0.3">
      <c r="A55" s="5">
        <v>53</v>
      </c>
      <c r="B55" s="5" t="s">
        <v>75</v>
      </c>
      <c r="C55">
        <f>Characteristics!$C$17</f>
        <v>0.47</v>
      </c>
      <c r="D55">
        <f>Characteristics!$C$20</f>
        <v>3.2100000000000002E-3</v>
      </c>
      <c r="E55">
        <f>Characteristics!$C$18</f>
        <v>0.47</v>
      </c>
      <c r="F55">
        <v>1</v>
      </c>
      <c r="G55">
        <v>1</v>
      </c>
      <c r="H55" s="35">
        <v>1497.7614074553101</v>
      </c>
      <c r="I55">
        <v>7.54</v>
      </c>
      <c r="J55" s="16">
        <v>59.8607329867313</v>
      </c>
      <c r="K55" s="37">
        <v>59.8607329867313</v>
      </c>
      <c r="L55" s="5">
        <v>30</v>
      </c>
      <c r="M55">
        <f>10*0.001</f>
        <v>0.01</v>
      </c>
      <c r="N55">
        <v>3.7</v>
      </c>
      <c r="O55">
        <v>30</v>
      </c>
      <c r="P55">
        <f>0.01</f>
        <v>0.01</v>
      </c>
      <c r="Q55">
        <v>3.7</v>
      </c>
      <c r="R55" s="42" t="s">
        <v>29</v>
      </c>
      <c r="S55" s="46">
        <v>1.9727352294262129E-4</v>
      </c>
      <c r="T55" s="33">
        <v>22.350923304385482</v>
      </c>
      <c r="U55" s="22">
        <f>M55</f>
        <v>0.01</v>
      </c>
      <c r="V55" s="52" t="s">
        <v>29</v>
      </c>
      <c r="W55" s="52" t="s">
        <v>29</v>
      </c>
      <c r="X55" s="16">
        <v>0.72847006261379399</v>
      </c>
      <c r="Y55" s="37">
        <v>0.474401628579183</v>
      </c>
    </row>
    <row r="56" spans="1:25" x14ac:dyDescent="0.3">
      <c r="A56" s="5">
        <v>54</v>
      </c>
      <c r="B56" s="5" t="s">
        <v>75</v>
      </c>
      <c r="C56">
        <f>Characteristics!$C$17</f>
        <v>0.47</v>
      </c>
      <c r="D56">
        <f>Characteristics!$C$20</f>
        <v>3.2100000000000002E-3</v>
      </c>
      <c r="E56">
        <f>Characteristics!$C$18</f>
        <v>0.47</v>
      </c>
      <c r="F56">
        <v>1</v>
      </c>
      <c r="G56">
        <v>1</v>
      </c>
      <c r="H56" s="35">
        <v>1498.0774010513501</v>
      </c>
      <c r="I56">
        <v>7.54</v>
      </c>
      <c r="J56" s="16">
        <v>59.866650558815898</v>
      </c>
      <c r="K56" s="37">
        <v>59.866650558815898</v>
      </c>
      <c r="L56" s="5">
        <v>30</v>
      </c>
      <c r="M56">
        <f>10*0.001</f>
        <v>0.01</v>
      </c>
      <c r="N56">
        <v>3.7</v>
      </c>
      <c r="O56">
        <v>30</v>
      </c>
      <c r="P56">
        <f>0.01</f>
        <v>0.01</v>
      </c>
      <c r="Q56">
        <v>3.7</v>
      </c>
      <c r="R56" s="42" t="s">
        <v>29</v>
      </c>
      <c r="S56" s="46">
        <v>2.1562313060817509E-4</v>
      </c>
      <c r="T56" s="33">
        <v>22.279683277453781</v>
      </c>
      <c r="U56" s="22">
        <f>M56</f>
        <v>0.01</v>
      </c>
      <c r="V56" s="52" t="s">
        <v>29</v>
      </c>
      <c r="W56" s="52" t="s">
        <v>29</v>
      </c>
      <c r="X56" s="16">
        <v>0.73805519501660699</v>
      </c>
      <c r="Y56" s="37">
        <v>0.48064375527101399</v>
      </c>
    </row>
    <row r="57" spans="1:25" x14ac:dyDescent="0.3">
      <c r="A57" s="5">
        <v>55</v>
      </c>
      <c r="B57" s="5" t="s">
        <v>75</v>
      </c>
      <c r="C57">
        <f>Characteristics!$C$17</f>
        <v>0.47</v>
      </c>
      <c r="D57">
        <f>Characteristics!$C$20</f>
        <v>3.2100000000000002E-3</v>
      </c>
      <c r="E57">
        <f>Characteristics!$C$18</f>
        <v>0.47</v>
      </c>
      <c r="F57">
        <v>1</v>
      </c>
      <c r="G57">
        <v>1</v>
      </c>
      <c r="H57" s="35">
        <v>1498.3935024545499</v>
      </c>
      <c r="I57">
        <v>7.54</v>
      </c>
      <c r="J57" s="16">
        <v>59.872569454391801</v>
      </c>
      <c r="K57" s="37">
        <v>59.872569454391801</v>
      </c>
      <c r="L57" s="5">
        <v>30</v>
      </c>
      <c r="M57">
        <f>10*0.001</f>
        <v>0.01</v>
      </c>
      <c r="N57">
        <v>3.7</v>
      </c>
      <c r="O57">
        <v>30</v>
      </c>
      <c r="P57">
        <f>0.01</f>
        <v>0.01</v>
      </c>
      <c r="Q57">
        <v>3.7</v>
      </c>
      <c r="R57" s="42" t="s">
        <v>29</v>
      </c>
      <c r="S57" s="46">
        <v>2.3397273827372746E-4</v>
      </c>
      <c r="T57" s="33">
        <v>22.20844325052208</v>
      </c>
      <c r="U57" s="22">
        <f>M57</f>
        <v>0.01</v>
      </c>
      <c r="V57" s="52" t="s">
        <v>29</v>
      </c>
      <c r="W57" s="52" t="s">
        <v>29</v>
      </c>
      <c r="X57" s="16">
        <v>0.74764032741941999</v>
      </c>
      <c r="Y57" s="37">
        <v>0.48688588196284599</v>
      </c>
    </row>
    <row r="58" spans="1:25" x14ac:dyDescent="0.3">
      <c r="A58" s="5">
        <v>56</v>
      </c>
      <c r="B58" s="5" t="s">
        <v>75</v>
      </c>
      <c r="C58">
        <f>Characteristics!$C$17</f>
        <v>0.47</v>
      </c>
      <c r="D58">
        <f>Characteristics!$C$20</f>
        <v>3.2100000000000002E-3</v>
      </c>
      <c r="E58">
        <f>Characteristics!$C$18</f>
        <v>0.47</v>
      </c>
      <c r="F58">
        <v>1</v>
      </c>
      <c r="G58">
        <v>1</v>
      </c>
      <c r="H58" s="35">
        <v>1498.5340245995201</v>
      </c>
      <c r="I58">
        <v>7.54</v>
      </c>
      <c r="J58" s="16">
        <v>59.875200458985397</v>
      </c>
      <c r="K58" s="37">
        <v>59.875200458985397</v>
      </c>
      <c r="L58" s="5">
        <v>30</v>
      </c>
      <c r="M58">
        <f>10*0.001</f>
        <v>0.01</v>
      </c>
      <c r="N58">
        <v>3.7</v>
      </c>
      <c r="O58">
        <v>30</v>
      </c>
      <c r="P58">
        <f>0.01</f>
        <v>0.01</v>
      </c>
      <c r="Q58">
        <v>3.7</v>
      </c>
      <c r="R58" s="42" t="s">
        <v>29</v>
      </c>
      <c r="S58" s="46">
        <v>2.5366351327696227E-4</v>
      </c>
      <c r="T58" s="33">
        <v>22.176781463670871</v>
      </c>
      <c r="U58" s="22">
        <f>M58</f>
        <v>0.01</v>
      </c>
      <c r="V58" s="52" t="s">
        <v>29</v>
      </c>
      <c r="W58" s="52" t="s">
        <v>29</v>
      </c>
      <c r="X58" s="16">
        <v>0.74764032741941999</v>
      </c>
      <c r="Y58" s="37">
        <v>0.48688588196284599</v>
      </c>
    </row>
    <row r="59" spans="1:25" x14ac:dyDescent="0.3">
      <c r="A59" s="5">
        <v>57</v>
      </c>
      <c r="B59" s="5" t="s">
        <v>76</v>
      </c>
      <c r="C59">
        <f>Characteristics!$C$17</f>
        <v>0.47</v>
      </c>
      <c r="D59">
        <f>Characteristics!$C$20</f>
        <v>3.2100000000000002E-3</v>
      </c>
      <c r="E59">
        <f>Characteristics!$C$18</f>
        <v>0.47</v>
      </c>
      <c r="F59">
        <v>1</v>
      </c>
      <c r="G59">
        <v>1</v>
      </c>
      <c r="H59" s="35">
        <v>756.13519614147106</v>
      </c>
      <c r="I59">
        <v>7.54</v>
      </c>
      <c r="J59" s="16">
        <v>31.993971827807101</v>
      </c>
      <c r="K59" s="37">
        <v>31.993971827807101</v>
      </c>
      <c r="L59" s="5">
        <v>35</v>
      </c>
      <c r="M59">
        <f>10*0.001</f>
        <v>0.01</v>
      </c>
      <c r="N59">
        <v>1.9</v>
      </c>
      <c r="O59">
        <v>30</v>
      </c>
      <c r="P59">
        <f>0.01</f>
        <v>0.01</v>
      </c>
      <c r="Q59">
        <v>1.9</v>
      </c>
      <c r="R59" s="42" t="s">
        <v>29</v>
      </c>
      <c r="S59" s="46">
        <v>1.422856620976763E-4</v>
      </c>
      <c r="T59" s="33">
        <v>23.131926594620701</v>
      </c>
      <c r="U59" s="22">
        <f>M59</f>
        <v>0.01</v>
      </c>
      <c r="V59" s="52" t="s">
        <v>29</v>
      </c>
      <c r="W59" s="52" t="s">
        <v>29</v>
      </c>
      <c r="X59" s="16">
        <v>0.85589632774894298</v>
      </c>
      <c r="Y59" s="37">
        <v>0.56612262035847405</v>
      </c>
    </row>
    <row r="60" spans="1:25" x14ac:dyDescent="0.3">
      <c r="A60" s="5">
        <v>58</v>
      </c>
      <c r="B60" s="5" t="s">
        <v>76</v>
      </c>
      <c r="C60">
        <f>Characteristics!$C$17</f>
        <v>0.47</v>
      </c>
      <c r="D60">
        <f>Characteristics!$C$20</f>
        <v>3.2100000000000002E-3</v>
      </c>
      <c r="E60">
        <f>Characteristics!$C$18</f>
        <v>0.47</v>
      </c>
      <c r="F60">
        <v>1</v>
      </c>
      <c r="G60">
        <v>1</v>
      </c>
      <c r="H60" s="35">
        <v>756.83720442875006</v>
      </c>
      <c r="I60">
        <v>7.54</v>
      </c>
      <c r="J60" s="16">
        <v>32.007893263811397</v>
      </c>
      <c r="K60" s="37">
        <v>32.007893263811397</v>
      </c>
      <c r="L60" s="5">
        <v>35</v>
      </c>
      <c r="M60">
        <f>10*0.001</f>
        <v>0.01</v>
      </c>
      <c r="N60">
        <v>1.9</v>
      </c>
      <c r="O60">
        <v>30</v>
      </c>
      <c r="P60">
        <f>0.01</f>
        <v>0.01</v>
      </c>
      <c r="Q60">
        <v>1.9</v>
      </c>
      <c r="R60" s="42" t="s">
        <v>29</v>
      </c>
      <c r="S60" s="46">
        <v>1.9294521017101284E-4</v>
      </c>
      <c r="T60" s="33">
        <v>22.815303492223002</v>
      </c>
      <c r="U60" s="22">
        <f>M60</f>
        <v>0.01</v>
      </c>
      <c r="V60" s="52" t="s">
        <v>29</v>
      </c>
      <c r="W60" s="52" t="s">
        <v>29</v>
      </c>
      <c r="X60" s="16">
        <v>0.87747354609555495</v>
      </c>
      <c r="Y60" s="37">
        <v>0.58039461919104096</v>
      </c>
    </row>
    <row r="61" spans="1:25" ht="15" thickBot="1" x14ac:dyDescent="0.35">
      <c r="A61" s="5">
        <v>59</v>
      </c>
      <c r="B61" s="7" t="s">
        <v>76</v>
      </c>
      <c r="C61" s="8">
        <f>Characteristics!$C$17</f>
        <v>0.47</v>
      </c>
      <c r="D61" s="8">
        <f>Characteristics!$C$20</f>
        <v>3.2100000000000002E-3</v>
      </c>
      <c r="E61" s="8">
        <f>Characteristics!$C$18</f>
        <v>0.47</v>
      </c>
      <c r="F61" s="8">
        <v>1</v>
      </c>
      <c r="G61" s="8">
        <v>1</v>
      </c>
      <c r="H61" s="54">
        <v>757.96261063224495</v>
      </c>
      <c r="I61" s="8">
        <v>7.54</v>
      </c>
      <c r="J61" s="49">
        <v>32.030196042474699</v>
      </c>
      <c r="K61" s="50">
        <v>32.030196042474699</v>
      </c>
      <c r="L61" s="7">
        <v>35</v>
      </c>
      <c r="M61" s="8">
        <f>10*0.001</f>
        <v>0.01</v>
      </c>
      <c r="N61" s="8">
        <v>1.9</v>
      </c>
      <c r="O61" s="8">
        <v>30</v>
      </c>
      <c r="P61" s="8">
        <f>0.01</f>
        <v>0.01</v>
      </c>
      <c r="Q61" s="8">
        <v>1.9</v>
      </c>
      <c r="R61" s="43" t="s">
        <v>29</v>
      </c>
      <c r="S61" s="47">
        <v>2.706109914531203E-4</v>
      </c>
      <c r="T61" s="34">
        <v>22.308707253078399</v>
      </c>
      <c r="U61" s="23">
        <f>M61</f>
        <v>0.01</v>
      </c>
      <c r="V61" s="53" t="s">
        <v>29</v>
      </c>
      <c r="W61" s="53" t="s">
        <v>29</v>
      </c>
      <c r="X61" s="49">
        <v>0.91343557667324204</v>
      </c>
      <c r="Y61" s="50">
        <v>0.604181283911985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2026-01-28T07:47:43Z</dcterms:modified>
</cp:coreProperties>
</file>