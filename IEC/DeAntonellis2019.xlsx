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\alaniszeo_git\EC-generic-model\Database_for_model_validation\IEC\"/>
    </mc:Choice>
  </mc:AlternateContent>
  <xr:revisionPtr revIDLastSave="0" documentId="13_ncr:1_{AC2551D6-90C5-4852-8B86-D1EE1DA8DA9B}" xr6:coauthVersionLast="47" xr6:coauthVersionMax="47" xr10:uidLastSave="{00000000-0000-0000-0000-000000000000}"/>
  <bookViews>
    <workbookView xWindow="-108" yWindow="-108" windowWidth="30936" windowHeight="16776" xr2:uid="{1306219A-737B-4B5D-BCFD-98C34D3C77CC}"/>
  </bookViews>
  <sheets>
    <sheet name="DeAntonellis2019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8" l="1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V33" i="8" l="1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32" i="8"/>
  <c r="C19" i="8"/>
  <c r="C18" i="8"/>
  <c r="C17" i="8"/>
  <c r="F151" i="8" l="1"/>
  <c r="F143" i="8"/>
  <c r="F127" i="8"/>
  <c r="F103" i="8"/>
  <c r="F71" i="8"/>
  <c r="F134" i="8"/>
  <c r="F118" i="8"/>
  <c r="F102" i="8"/>
  <c r="F86" i="8"/>
  <c r="F70" i="8"/>
  <c r="F54" i="8"/>
  <c r="F38" i="8"/>
  <c r="F50" i="8"/>
  <c r="F150" i="8"/>
  <c r="F149" i="8"/>
  <c r="F141" i="8"/>
  <c r="F133" i="8"/>
  <c r="F125" i="8"/>
  <c r="F117" i="8"/>
  <c r="F109" i="8"/>
  <c r="F101" i="8"/>
  <c r="F93" i="8"/>
  <c r="F85" i="8"/>
  <c r="F77" i="8"/>
  <c r="F69" i="8"/>
  <c r="F61" i="8"/>
  <c r="F53" i="8"/>
  <c r="F45" i="8"/>
  <c r="F37" i="8"/>
  <c r="F140" i="8"/>
  <c r="F132" i="8"/>
  <c r="F124" i="8"/>
  <c r="F116" i="8"/>
  <c r="F108" i="8"/>
  <c r="F100" i="8"/>
  <c r="F92" i="8"/>
  <c r="F84" i="8"/>
  <c r="F76" i="8"/>
  <c r="F68" i="8"/>
  <c r="F60" i="8"/>
  <c r="F52" i="8"/>
  <c r="F44" i="8"/>
  <c r="F36" i="8"/>
  <c r="F148" i="8"/>
  <c r="F147" i="8"/>
  <c r="F139" i="8"/>
  <c r="F131" i="8"/>
  <c r="F123" i="8"/>
  <c r="F115" i="8"/>
  <c r="F107" i="8"/>
  <c r="F99" i="8"/>
  <c r="F91" i="8"/>
  <c r="F83" i="8"/>
  <c r="F75" i="8"/>
  <c r="F67" i="8"/>
  <c r="F59" i="8"/>
  <c r="F51" i="8"/>
  <c r="F43" i="8"/>
  <c r="F35" i="8"/>
  <c r="F146" i="8"/>
  <c r="F138" i="8"/>
  <c r="F130" i="8"/>
  <c r="F122" i="8"/>
  <c r="F114" i="8"/>
  <c r="F106" i="8"/>
  <c r="F98" i="8"/>
  <c r="F90" i="8"/>
  <c r="F82" i="8"/>
  <c r="F74" i="8"/>
  <c r="F66" i="8"/>
  <c r="F58" i="8"/>
  <c r="F34" i="8"/>
  <c r="F145" i="8"/>
  <c r="F137" i="8"/>
  <c r="F129" i="8"/>
  <c r="F121" i="8"/>
  <c r="F113" i="8"/>
  <c r="F105" i="8"/>
  <c r="F97" i="8"/>
  <c r="F89" i="8"/>
  <c r="F81" i="8"/>
  <c r="F73" i="8"/>
  <c r="F65" i="8"/>
  <c r="F57" i="8"/>
  <c r="F49" i="8"/>
  <c r="F41" i="8"/>
  <c r="F33" i="8"/>
  <c r="F144" i="8"/>
  <c r="F136" i="8"/>
  <c r="F128" i="8"/>
  <c r="F120" i="8"/>
  <c r="F112" i="8"/>
  <c r="F104" i="8"/>
  <c r="F96" i="8"/>
  <c r="F88" i="8"/>
  <c r="F80" i="8"/>
  <c r="F72" i="8"/>
  <c r="F64" i="8"/>
  <c r="F56" i="8"/>
  <c r="F48" i="8"/>
  <c r="F40" i="8"/>
  <c r="F32" i="8"/>
  <c r="F135" i="8"/>
  <c r="F119" i="8"/>
  <c r="F111" i="8"/>
  <c r="F95" i="8"/>
  <c r="F87" i="8"/>
  <c r="F79" i="8"/>
  <c r="F63" i="8"/>
  <c r="F55" i="8"/>
  <c r="F47" i="8"/>
  <c r="F39" i="8"/>
  <c r="F142" i="8"/>
  <c r="F126" i="8"/>
  <c r="F110" i="8"/>
  <c r="F94" i="8"/>
  <c r="F78" i="8"/>
  <c r="F62" i="8"/>
  <c r="F46" i="8"/>
  <c r="F42" i="8"/>
  <c r="D143" i="8"/>
  <c r="D111" i="8"/>
  <c r="D79" i="8"/>
  <c r="D63" i="8"/>
  <c r="D47" i="8"/>
  <c r="D142" i="8"/>
  <c r="D126" i="8"/>
  <c r="D110" i="8"/>
  <c r="D94" i="8"/>
  <c r="D78" i="8"/>
  <c r="D62" i="8"/>
  <c r="D46" i="8"/>
  <c r="D124" i="8"/>
  <c r="D100" i="8"/>
  <c r="D92" i="8"/>
  <c r="D68" i="8"/>
  <c r="D36" i="8"/>
  <c r="D147" i="8"/>
  <c r="D115" i="8"/>
  <c r="D91" i="8"/>
  <c r="D67" i="8"/>
  <c r="D130" i="8"/>
  <c r="D106" i="8"/>
  <c r="D74" i="8"/>
  <c r="D34" i="8"/>
  <c r="D137" i="8"/>
  <c r="D105" i="8"/>
  <c r="D81" i="8"/>
  <c r="D41" i="8"/>
  <c r="D149" i="8"/>
  <c r="D141" i="8"/>
  <c r="D133" i="8"/>
  <c r="D125" i="8"/>
  <c r="D117" i="8"/>
  <c r="D109" i="8"/>
  <c r="D101" i="8"/>
  <c r="D93" i="8"/>
  <c r="D85" i="8"/>
  <c r="D77" i="8"/>
  <c r="D69" i="8"/>
  <c r="D61" i="8"/>
  <c r="D53" i="8"/>
  <c r="D45" i="8"/>
  <c r="D37" i="8"/>
  <c r="D140" i="8"/>
  <c r="D116" i="8"/>
  <c r="D84" i="8"/>
  <c r="D52" i="8"/>
  <c r="D139" i="8"/>
  <c r="D107" i="8"/>
  <c r="D83" i="8"/>
  <c r="D51" i="8"/>
  <c r="D43" i="8"/>
  <c r="D146" i="8"/>
  <c r="D114" i="8"/>
  <c r="D82" i="8"/>
  <c r="D50" i="8"/>
  <c r="D113" i="8"/>
  <c r="D89" i="8"/>
  <c r="D57" i="8"/>
  <c r="D33" i="8"/>
  <c r="D123" i="8"/>
  <c r="D58" i="8"/>
  <c r="D121" i="8"/>
  <c r="D49" i="8"/>
  <c r="D98" i="8"/>
  <c r="D145" i="8"/>
  <c r="D65" i="8"/>
  <c r="D73" i="8"/>
  <c r="D144" i="8"/>
  <c r="D136" i="8"/>
  <c r="D128" i="8"/>
  <c r="D120" i="8"/>
  <c r="D112" i="8"/>
  <c r="D104" i="8"/>
  <c r="D96" i="8"/>
  <c r="D88" i="8"/>
  <c r="D80" i="8"/>
  <c r="D72" i="8"/>
  <c r="D64" i="8"/>
  <c r="D56" i="8"/>
  <c r="D48" i="8"/>
  <c r="D40" i="8"/>
  <c r="D32" i="8"/>
  <c r="D151" i="8"/>
  <c r="D135" i="8"/>
  <c r="D127" i="8"/>
  <c r="D119" i="8"/>
  <c r="D103" i="8"/>
  <c r="D95" i="8"/>
  <c r="D87" i="8"/>
  <c r="D71" i="8"/>
  <c r="D55" i="8"/>
  <c r="D39" i="8"/>
  <c r="D150" i="8"/>
  <c r="D134" i="8"/>
  <c r="D118" i="8"/>
  <c r="D102" i="8"/>
  <c r="D86" i="8"/>
  <c r="D70" i="8"/>
  <c r="D54" i="8"/>
  <c r="D38" i="8"/>
  <c r="D148" i="8"/>
  <c r="D132" i="8"/>
  <c r="D108" i="8"/>
  <c r="D76" i="8"/>
  <c r="D60" i="8"/>
  <c r="D44" i="8"/>
  <c r="D131" i="8"/>
  <c r="D99" i="8"/>
  <c r="D75" i="8"/>
  <c r="D59" i="8"/>
  <c r="D35" i="8"/>
  <c r="D138" i="8"/>
  <c r="D122" i="8"/>
  <c r="D90" i="8"/>
  <c r="D66" i="8"/>
  <c r="D42" i="8"/>
  <c r="D129" i="8"/>
  <c r="D97" i="8"/>
</calcChain>
</file>

<file path=xl/sharedStrings.xml><?xml version="1.0" encoding="utf-8"?>
<sst xmlns="http://schemas.openxmlformats.org/spreadsheetml/2006/main" count="573" uniqueCount="87">
  <si>
    <t>Authors</t>
  </si>
  <si>
    <t>Title</t>
  </si>
  <si>
    <t>Year</t>
  </si>
  <si>
    <t>HEX characteristics</t>
  </si>
  <si>
    <t>Data type</t>
  </si>
  <si>
    <t>L</t>
  </si>
  <si>
    <t>m/s</t>
  </si>
  <si>
    <t>-</t>
  </si>
  <si>
    <t>m</t>
  </si>
  <si>
    <t>Configuration</t>
  </si>
  <si>
    <t>Water recirculation</t>
  </si>
  <si>
    <t>Run</t>
  </si>
  <si>
    <t>epsilon_wb</t>
  </si>
  <si>
    <t>Inlet conditions</t>
  </si>
  <si>
    <t>Outlet conditions</t>
  </si>
  <si>
    <t>HEX type</t>
  </si>
  <si>
    <t>Water injection type</t>
  </si>
  <si>
    <t>wf</t>
  </si>
  <si>
    <t>Geometry</t>
  </si>
  <si>
    <t>Length</t>
  </si>
  <si>
    <t>Height</t>
  </si>
  <si>
    <t>Paper information</t>
  </si>
  <si>
    <t>Operating conditions</t>
  </si>
  <si>
    <t>Water supplied</t>
  </si>
  <si>
    <t>Wall thickness</t>
  </si>
  <si>
    <t>Primary fluid velocity</t>
  </si>
  <si>
    <t>Secondary fluid velocity</t>
  </si>
  <si>
    <t>epsilon_dp</t>
  </si>
  <si>
    <t>kg/kg</t>
  </si>
  <si>
    <t>parallel</t>
  </si>
  <si>
    <t>NA</t>
  </si>
  <si>
    <t>Testing conditions</t>
  </si>
  <si>
    <t>W</t>
  </si>
  <si>
    <t>h_ch</t>
  </si>
  <si>
    <t>Channel height</t>
  </si>
  <si>
    <t>crossflow</t>
  </si>
  <si>
    <t>Number of channels</t>
  </si>
  <si>
    <t>SPR</t>
  </si>
  <si>
    <t>Temperature</t>
  </si>
  <si>
    <t>pd</t>
  </si>
  <si>
    <t>sw</t>
  </si>
  <si>
    <t>Wall material</t>
  </si>
  <si>
    <t>Measurement uncertainties</t>
  </si>
  <si>
    <t>K</t>
  </si>
  <si>
    <t>Width</t>
  </si>
  <si>
    <t>Humidity</t>
  </si>
  <si>
    <t>%</t>
  </si>
  <si>
    <t>Air flow</t>
  </si>
  <si>
    <t>Secondary-to-Primary flow rate ratio</t>
  </si>
  <si>
    <t>kg/s</t>
  </si>
  <si>
    <t>Test</t>
  </si>
  <si>
    <t>T_pdi</t>
  </si>
  <si>
    <t>w_pdi</t>
  </si>
  <si>
    <t>v_pdi</t>
  </si>
  <si>
    <t>T_swi</t>
  </si>
  <si>
    <t>w_swi</t>
  </si>
  <si>
    <t>v_swi</t>
  </si>
  <si>
    <t>T_wfi</t>
  </si>
  <si>
    <t>T_pdo</t>
  </si>
  <si>
    <t>w_pdo</t>
  </si>
  <si>
    <t>T_swo</t>
  </si>
  <si>
    <r>
      <t xml:space="preserve">De Antonellis </t>
    </r>
    <r>
      <rPr>
        <i/>
        <sz val="11"/>
        <color theme="1"/>
        <rFont val="Calibri"/>
        <family val="2"/>
        <scheme val="minor"/>
      </rPr>
      <t>et al.</t>
    </r>
  </si>
  <si>
    <t>IEC</t>
  </si>
  <si>
    <t>Aluminium alloy</t>
  </si>
  <si>
    <t>XPP</t>
  </si>
  <si>
    <t>w_swo</t>
  </si>
  <si>
    <t>Performance measurement of a cross-flow indirect evaporative cooler: Effect of water nozzles and airflows arrangement</t>
  </si>
  <si>
    <t>Experimental data, extracted from graphs</t>
  </si>
  <si>
    <t>No</t>
  </si>
  <si>
    <t>TOP</t>
  </si>
  <si>
    <t>SIDE</t>
  </si>
  <si>
    <t>BOTTOM</t>
  </si>
  <si>
    <t>HORIZONTAL</t>
  </si>
  <si>
    <t>TOPSIDE</t>
  </si>
  <si>
    <t>Sprayed-water</t>
  </si>
  <si>
    <t xml:space="preserve">Indicates the orientation of the heat exchanger </t>
  </si>
  <si>
    <t>1-1.54</t>
  </si>
  <si>
    <t>3.7-5.7</t>
  </si>
  <si>
    <t>0.008-0.018</t>
  </si>
  <si>
    <t>WWR</t>
  </si>
  <si>
    <t>Re</t>
  </si>
  <si>
    <t>Nu</t>
  </si>
  <si>
    <t>h_T_pd</t>
  </si>
  <si>
    <t>h_T_sw</t>
  </si>
  <si>
    <t>Description</t>
  </si>
  <si>
    <t>Experimental study of a crossflow IEC, consisting of a commercial 118-channel plate heat exchanger with water spray nozzles installed at the inlet of the secondary channels. Investigation of the effect of water nozzles and airflow arrangement by testing 6 different orientations of the IEC (cfr. Figure).</t>
  </si>
  <si>
    <t>m_dot_wf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</si>
</sst>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1" fillId="0" borderId="2" xfId="0" applyFont="1" applyBorder="1"/>
    <xf numFmtId="0" fontId="1" fillId="0" borderId="6" xfId="0" applyFont="1" applyBorder="1"/>
    <xf numFmtId="0" fontId="1" fillId="0" borderId="14" xfId="0" applyFont="1" applyBorder="1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1" fillId="0" borderId="4" xfId="0" applyFont="1" applyBorder="1"/>
    <xf numFmtId="0" fontId="1" fillId="0" borderId="12" xfId="0" applyFont="1" applyBorder="1"/>
    <xf numFmtId="0" fontId="1" fillId="0" borderId="13" xfId="0" applyFont="1" applyBorder="1"/>
    <xf numFmtId="164" fontId="0" fillId="0" borderId="0" xfId="0" applyNumberFormat="1"/>
    <xf numFmtId="164" fontId="0" fillId="0" borderId="7" xfId="0" applyNumberFormat="1" applyBorder="1"/>
    <xf numFmtId="164" fontId="0" fillId="0" borderId="2" xfId="0" applyNumberFormat="1" applyBorder="1"/>
    <xf numFmtId="0" fontId="0" fillId="0" borderId="0" xfId="0" quotePrefix="1"/>
    <xf numFmtId="0" fontId="1" fillId="0" borderId="4" xfId="0" applyFont="1" applyBorder="1" applyAlignment="1">
      <alignment wrapText="1"/>
    </xf>
    <xf numFmtId="0" fontId="0" fillId="0" borderId="5" xfId="0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165" fontId="0" fillId="0" borderId="0" xfId="0" applyNumberFormat="1"/>
    <xf numFmtId="166" fontId="0" fillId="0" borderId="0" xfId="0" applyNumberFormat="1"/>
    <xf numFmtId="166" fontId="0" fillId="0" borderId="2" xfId="0" applyNumberFormat="1" applyBorder="1"/>
    <xf numFmtId="166" fontId="0" fillId="0" borderId="7" xfId="0" applyNumberFormat="1" applyBorder="1"/>
    <xf numFmtId="166" fontId="0" fillId="0" borderId="4" xfId="0" applyNumberFormat="1" applyBorder="1"/>
    <xf numFmtId="166" fontId="0" fillId="0" borderId="6" xfId="0" applyNumberFormat="1" applyBorder="1"/>
    <xf numFmtId="1" fontId="0" fillId="0" borderId="2" xfId="0" applyNumberFormat="1" applyBorder="1"/>
    <xf numFmtId="1" fontId="0" fillId="0" borderId="0" xfId="0" applyNumberFormat="1"/>
    <xf numFmtId="2" fontId="0" fillId="0" borderId="3" xfId="0" applyNumberFormat="1" applyBorder="1"/>
    <xf numFmtId="2" fontId="0" fillId="0" borderId="5" xfId="0" applyNumberFormat="1" applyBorder="1"/>
    <xf numFmtId="0" fontId="0" fillId="0" borderId="0" xfId="0" applyAlignment="1">
      <alignment horizontal="right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/>
    </xf>
    <xf numFmtId="2" fontId="0" fillId="0" borderId="2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67" fontId="0" fillId="0" borderId="3" xfId="0" applyNumberFormat="1" applyBorder="1" applyAlignment="1">
      <alignment horizontal="right"/>
    </xf>
    <xf numFmtId="167" fontId="0" fillId="0" borderId="5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7" xfId="0" applyNumberFormat="1" applyBorder="1" applyAlignment="1">
      <alignment horizontal="right"/>
    </xf>
    <xf numFmtId="1" fontId="0" fillId="0" borderId="7" xfId="0" applyNumberFormat="1" applyBorder="1"/>
    <xf numFmtId="0" fontId="1" fillId="0" borderId="12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301416</xdr:colOff>
      <xdr:row>0</xdr:row>
      <xdr:rowOff>105152</xdr:rowOff>
    </xdr:from>
    <xdr:to>
      <xdr:col>24</xdr:col>
      <xdr:colOff>381000</xdr:colOff>
      <xdr:row>28</xdr:row>
      <xdr:rowOff>94710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2B016-8F9E-4C8C-AF8B-BF822053B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0776" y="105152"/>
          <a:ext cx="6747084" cy="56435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20D7-D25F-41E7-AFAD-E1421FA432AD}">
  <dimension ref="B1:AA169"/>
  <sheetViews>
    <sheetView tabSelected="1" zoomScaleNormal="100" workbookViewId="0">
      <selection activeCell="C32" sqref="C32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5.5546875" customWidth="1"/>
    <col min="6" max="6" width="12.88671875" customWidth="1"/>
    <col min="7" max="7" width="10.33203125" customWidth="1"/>
    <col min="8" max="12" width="9.33203125" customWidth="1"/>
    <col min="13" max="19" width="9.6640625" customWidth="1"/>
    <col min="20" max="20" width="10.21875" customWidth="1"/>
    <col min="21" max="24" width="9.6640625" customWidth="1"/>
    <col min="25" max="25" width="10.5546875" bestFit="1" customWidth="1"/>
    <col min="26" max="26" width="10.21875" bestFit="1" customWidth="1"/>
  </cols>
  <sheetData>
    <row r="1" spans="2:14" ht="15" thickBot="1" x14ac:dyDescent="0.35"/>
    <row r="2" spans="2:14" ht="15" thickBot="1" x14ac:dyDescent="0.35">
      <c r="B2" s="10" t="s">
        <v>21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3">
      <c r="B3" s="54" t="s">
        <v>0</v>
      </c>
      <c r="C3" s="55" t="s">
        <v>61</v>
      </c>
      <c r="D3" s="56"/>
      <c r="E3" s="56"/>
      <c r="F3" s="56"/>
      <c r="G3" s="56"/>
      <c r="H3" s="56"/>
      <c r="I3" s="56"/>
      <c r="J3" s="56"/>
      <c r="K3" s="56"/>
      <c r="L3" s="56"/>
      <c r="M3" s="56"/>
      <c r="N3" s="57"/>
    </row>
    <row r="4" spans="2:14" x14ac:dyDescent="0.3">
      <c r="B4" s="58" t="s">
        <v>1</v>
      </c>
      <c r="C4" s="59" t="s">
        <v>66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</row>
    <row r="5" spans="2:14" x14ac:dyDescent="0.3">
      <c r="B5" s="58" t="s">
        <v>2</v>
      </c>
      <c r="C5" s="59">
        <v>2019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1"/>
    </row>
    <row r="6" spans="2:14" x14ac:dyDescent="0.3">
      <c r="B6" s="58" t="s">
        <v>4</v>
      </c>
      <c r="C6" s="59" t="s">
        <v>67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1"/>
    </row>
    <row r="7" spans="2:14" ht="33" customHeight="1" thickBot="1" x14ac:dyDescent="0.35">
      <c r="B7" s="62" t="s">
        <v>84</v>
      </c>
      <c r="C7" s="63" t="s">
        <v>85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5"/>
    </row>
    <row r="8" spans="2:14" ht="15" thickBot="1" x14ac:dyDescent="0.35"/>
    <row r="9" spans="2:14" ht="15" thickBot="1" x14ac:dyDescent="0.35">
      <c r="B9" s="10" t="s">
        <v>3</v>
      </c>
      <c r="C9" s="19"/>
      <c r="E9" s="10" t="s">
        <v>9</v>
      </c>
      <c r="F9" s="18"/>
      <c r="G9" s="18"/>
      <c r="H9" s="18"/>
      <c r="I9" s="18"/>
      <c r="J9" s="19"/>
    </row>
    <row r="10" spans="2:14" ht="15" thickBot="1" x14ac:dyDescent="0.35">
      <c r="B10" s="21" t="s">
        <v>15</v>
      </c>
      <c r="C10" s="6" t="s">
        <v>62</v>
      </c>
      <c r="E10" s="10" t="s">
        <v>39</v>
      </c>
      <c r="F10" s="11" t="s">
        <v>17</v>
      </c>
      <c r="G10" s="10" t="s">
        <v>39</v>
      </c>
      <c r="H10" s="12" t="s">
        <v>40</v>
      </c>
      <c r="I10" s="11" t="s">
        <v>40</v>
      </c>
      <c r="J10" s="12" t="s">
        <v>17</v>
      </c>
    </row>
    <row r="11" spans="2:14" ht="15" thickBot="1" x14ac:dyDescent="0.35">
      <c r="B11" s="22" t="s">
        <v>16</v>
      </c>
      <c r="C11" s="6" t="s">
        <v>74</v>
      </c>
      <c r="E11" s="67" t="s">
        <v>35</v>
      </c>
      <c r="F11" s="68"/>
      <c r="G11" s="67" t="s">
        <v>35</v>
      </c>
      <c r="H11" s="68"/>
      <c r="I11" s="67" t="s">
        <v>29</v>
      </c>
      <c r="J11" s="68"/>
    </row>
    <row r="12" spans="2:14" x14ac:dyDescent="0.3">
      <c r="B12" s="22" t="s">
        <v>10</v>
      </c>
      <c r="C12" s="6" t="s">
        <v>68</v>
      </c>
    </row>
    <row r="13" spans="2:14" x14ac:dyDescent="0.3">
      <c r="B13" s="22" t="s">
        <v>41</v>
      </c>
      <c r="C13" s="6" t="s">
        <v>63</v>
      </c>
      <c r="E13" s="1"/>
      <c r="F13" s="1"/>
      <c r="G13" s="1"/>
      <c r="H13" s="1"/>
      <c r="I13" s="1"/>
      <c r="J13" s="1"/>
    </row>
    <row r="14" spans="2:14" ht="15" thickBot="1" x14ac:dyDescent="0.35">
      <c r="B14" s="16" t="s">
        <v>9</v>
      </c>
      <c r="C14" s="9" t="s">
        <v>64</v>
      </c>
      <c r="E14" s="66"/>
      <c r="F14" s="66"/>
      <c r="G14" s="66"/>
      <c r="H14" s="66"/>
      <c r="I14" s="66"/>
      <c r="J14" s="66"/>
    </row>
    <row r="15" spans="2:14" ht="15" thickBot="1" x14ac:dyDescent="0.35">
      <c r="B15" s="1"/>
    </row>
    <row r="16" spans="2:14" ht="15" thickBot="1" x14ac:dyDescent="0.35">
      <c r="B16" s="10" t="s">
        <v>18</v>
      </c>
      <c r="C16" s="18"/>
      <c r="D16" s="19"/>
      <c r="F16" s="10" t="s">
        <v>42</v>
      </c>
      <c r="G16" s="18"/>
      <c r="H16" s="19"/>
    </row>
    <row r="17" spans="2:27" x14ac:dyDescent="0.3">
      <c r="B17" s="21" t="s">
        <v>19</v>
      </c>
      <c r="C17" s="3">
        <f>0.47</f>
        <v>0.47</v>
      </c>
      <c r="D17" s="4" t="s">
        <v>8</v>
      </c>
      <c r="F17" s="21" t="s">
        <v>38</v>
      </c>
      <c r="G17" s="26">
        <v>0.2</v>
      </c>
      <c r="H17" s="6" t="s">
        <v>43</v>
      </c>
    </row>
    <row r="18" spans="2:27" x14ac:dyDescent="0.3">
      <c r="B18" s="22" t="s">
        <v>44</v>
      </c>
      <c r="C18">
        <f>0.47</f>
        <v>0.47</v>
      </c>
      <c r="D18" s="6" t="s">
        <v>8</v>
      </c>
      <c r="F18" s="22" t="s">
        <v>45</v>
      </c>
      <c r="G18">
        <v>1</v>
      </c>
      <c r="H18" s="6" t="s">
        <v>46</v>
      </c>
    </row>
    <row r="19" spans="2:27" ht="15" thickBot="1" x14ac:dyDescent="0.35">
      <c r="B19" s="22" t="s">
        <v>20</v>
      </c>
      <c r="C19">
        <f>C22*C20+(C22+1)*C21</f>
        <v>0.39878999999999998</v>
      </c>
      <c r="D19" s="6" t="s">
        <v>8</v>
      </c>
      <c r="F19" s="16" t="s">
        <v>47</v>
      </c>
      <c r="G19" s="8">
        <v>0.5</v>
      </c>
      <c r="H19" s="9" t="s">
        <v>46</v>
      </c>
    </row>
    <row r="20" spans="2:27" x14ac:dyDescent="0.3">
      <c r="B20" s="22" t="s">
        <v>34</v>
      </c>
      <c r="C20">
        <v>3.2100000000000002E-3</v>
      </c>
      <c r="D20" s="6" t="s">
        <v>8</v>
      </c>
    </row>
    <row r="21" spans="2:27" x14ac:dyDescent="0.3">
      <c r="B21" s="22" t="s">
        <v>24</v>
      </c>
      <c r="C21">
        <v>1.3999999999999999E-4</v>
      </c>
      <c r="D21" s="6" t="s">
        <v>8</v>
      </c>
    </row>
    <row r="22" spans="2:27" ht="15" thickBot="1" x14ac:dyDescent="0.35">
      <c r="B22" s="16" t="s">
        <v>36</v>
      </c>
      <c r="C22" s="8">
        <v>119</v>
      </c>
      <c r="D22" s="9" t="s">
        <v>7</v>
      </c>
    </row>
    <row r="23" spans="2:27" ht="15" thickBot="1" x14ac:dyDescent="0.35">
      <c r="B23" s="1"/>
    </row>
    <row r="24" spans="2:27" ht="15" thickBot="1" x14ac:dyDescent="0.35">
      <c r="B24" s="2" t="s">
        <v>22</v>
      </c>
      <c r="C24" s="3"/>
      <c r="D24" s="4"/>
      <c r="F24" s="10" t="s">
        <v>50</v>
      </c>
      <c r="G24" s="11"/>
      <c r="H24" s="11"/>
      <c r="I24" s="12"/>
    </row>
    <row r="25" spans="2:27" ht="15" thickBot="1" x14ac:dyDescent="0.35">
      <c r="B25" s="2" t="s">
        <v>25</v>
      </c>
      <c r="C25" s="13">
        <v>3.7</v>
      </c>
      <c r="D25" s="4" t="s">
        <v>6</v>
      </c>
      <c r="F25" s="7" t="s">
        <v>75</v>
      </c>
      <c r="G25" s="8"/>
      <c r="H25" s="8"/>
      <c r="I25" s="9"/>
    </row>
    <row r="26" spans="2:27" x14ac:dyDescent="0.3">
      <c r="B26" s="20" t="s">
        <v>26</v>
      </c>
      <c r="C26" s="43" t="s">
        <v>77</v>
      </c>
      <c r="D26" s="6" t="s">
        <v>6</v>
      </c>
    </row>
    <row r="27" spans="2:27" ht="28.8" x14ac:dyDescent="0.3">
      <c r="B27" s="27" t="s">
        <v>48</v>
      </c>
      <c r="C27" s="44" t="s">
        <v>76</v>
      </c>
      <c r="D27" s="28" t="s">
        <v>28</v>
      </c>
      <c r="M27" s="23"/>
    </row>
    <row r="28" spans="2:27" ht="15" thickBot="1" x14ac:dyDescent="0.35">
      <c r="B28" s="15" t="s">
        <v>23</v>
      </c>
      <c r="C28" s="45" t="s">
        <v>78</v>
      </c>
      <c r="D28" s="9" t="s">
        <v>49</v>
      </c>
      <c r="I28" s="17"/>
      <c r="J28" s="17"/>
      <c r="K28" s="17"/>
      <c r="L28" s="17"/>
      <c r="M28" s="23"/>
    </row>
    <row r="29" spans="2:27" ht="15" thickBot="1" x14ac:dyDescent="0.35"/>
    <row r="30" spans="2:27" ht="15" thickBot="1" x14ac:dyDescent="0.35">
      <c r="B30" s="2"/>
      <c r="C30" s="2" t="s">
        <v>31</v>
      </c>
      <c r="D30" s="14"/>
      <c r="E30" s="14"/>
      <c r="F30" s="14"/>
      <c r="G30" s="14"/>
      <c r="H30" s="14"/>
      <c r="I30" s="14"/>
      <c r="J30" s="14"/>
      <c r="K30" s="14"/>
      <c r="L30" s="14"/>
      <c r="M30" s="10" t="s">
        <v>13</v>
      </c>
      <c r="N30" s="11"/>
      <c r="O30" s="11"/>
      <c r="P30" s="11"/>
      <c r="Q30" s="11"/>
      <c r="R30" s="11"/>
      <c r="S30" s="11"/>
      <c r="T30" s="12"/>
      <c r="U30" s="12" t="s">
        <v>14</v>
      </c>
      <c r="V30" s="3"/>
      <c r="W30" s="3"/>
      <c r="X30" s="18"/>
      <c r="Y30" s="3"/>
      <c r="Z30" s="4"/>
    </row>
    <row r="31" spans="2:27" ht="15" thickBot="1" x14ac:dyDescent="0.35">
      <c r="B31" s="15" t="s">
        <v>11</v>
      </c>
      <c r="C31" s="10" t="s">
        <v>50</v>
      </c>
      <c r="D31" s="11" t="s">
        <v>5</v>
      </c>
      <c r="E31" s="11" t="s">
        <v>33</v>
      </c>
      <c r="F31" s="11" t="s">
        <v>32</v>
      </c>
      <c r="G31" s="11" t="s">
        <v>79</v>
      </c>
      <c r="H31" s="11" t="s">
        <v>37</v>
      </c>
      <c r="I31" s="11" t="s">
        <v>80</v>
      </c>
      <c r="J31" s="11" t="s">
        <v>81</v>
      </c>
      <c r="K31" s="11" t="s">
        <v>82</v>
      </c>
      <c r="L31" s="12" t="s">
        <v>83</v>
      </c>
      <c r="M31" s="10" t="s">
        <v>51</v>
      </c>
      <c r="N31" s="11" t="s">
        <v>52</v>
      </c>
      <c r="O31" s="29" t="s">
        <v>53</v>
      </c>
      <c r="P31" s="11" t="s">
        <v>54</v>
      </c>
      <c r="Q31" s="11" t="s">
        <v>55</v>
      </c>
      <c r="R31" s="29" t="s">
        <v>56</v>
      </c>
      <c r="S31" s="29" t="s">
        <v>57</v>
      </c>
      <c r="T31" s="30" t="s">
        <v>86</v>
      </c>
      <c r="U31" s="11" t="s">
        <v>58</v>
      </c>
      <c r="V31" s="11" t="s">
        <v>59</v>
      </c>
      <c r="W31" s="11" t="s">
        <v>60</v>
      </c>
      <c r="X31" s="11" t="s">
        <v>65</v>
      </c>
      <c r="Y31" s="11" t="s">
        <v>12</v>
      </c>
      <c r="Z31" s="12" t="s">
        <v>27</v>
      </c>
    </row>
    <row r="32" spans="2:27" x14ac:dyDescent="0.3">
      <c r="B32" s="5">
        <v>1</v>
      </c>
      <c r="C32" s="5" t="s">
        <v>69</v>
      </c>
      <c r="D32">
        <f>$C$17</f>
        <v>0.47</v>
      </c>
      <c r="E32">
        <f>$C$20</f>
        <v>3.2100000000000002E-3</v>
      </c>
      <c r="F32" s="3">
        <f>$C$18</f>
        <v>0.47</v>
      </c>
      <c r="G32">
        <v>1</v>
      </c>
      <c r="H32">
        <v>1</v>
      </c>
      <c r="I32" s="37">
        <v>1466.57836558859</v>
      </c>
      <c r="J32">
        <v>7.54</v>
      </c>
      <c r="K32" s="17">
        <v>31.214002683071701</v>
      </c>
      <c r="L32" s="17">
        <v>31.214002683071701</v>
      </c>
      <c r="M32" s="13">
        <v>35</v>
      </c>
      <c r="N32" s="3">
        <v>0.01</v>
      </c>
      <c r="O32" s="3">
        <v>3.7</v>
      </c>
      <c r="P32" s="37">
        <v>30</v>
      </c>
      <c r="Q32" s="25">
        <v>1.06E-2</v>
      </c>
      <c r="R32" s="33">
        <v>3.7</v>
      </c>
      <c r="S32" s="41" t="s">
        <v>30</v>
      </c>
      <c r="T32" s="49">
        <v>1.4455199174065399E-4</v>
      </c>
      <c r="U32" s="32">
        <v>24.5028174456248</v>
      </c>
      <c r="V32">
        <f>N32</f>
        <v>0.01</v>
      </c>
      <c r="W32" s="41" t="s">
        <v>30</v>
      </c>
      <c r="X32" s="41" t="s">
        <v>30</v>
      </c>
      <c r="Y32" s="46">
        <v>0.75520833333333304</v>
      </c>
      <c r="Z32" s="39">
        <v>0.499385923870937</v>
      </c>
      <c r="AA32" s="17"/>
    </row>
    <row r="33" spans="2:27" x14ac:dyDescent="0.3">
      <c r="B33" s="5">
        <v>2</v>
      </c>
      <c r="C33" s="5" t="s">
        <v>69</v>
      </c>
      <c r="D33">
        <f t="shared" ref="D33:D96" si="0">$C$17</f>
        <v>0.47</v>
      </c>
      <c r="E33">
        <f t="shared" ref="E33:E96" si="1">$C$20</f>
        <v>3.2100000000000002E-3</v>
      </c>
      <c r="F33">
        <f t="shared" ref="F33:F96" si="2">$C$18</f>
        <v>0.47</v>
      </c>
      <c r="G33">
        <v>1</v>
      </c>
      <c r="H33">
        <v>1</v>
      </c>
      <c r="I33" s="38">
        <v>1467.65175997755</v>
      </c>
      <c r="J33">
        <v>7.54</v>
      </c>
      <c r="K33" s="17">
        <v>31.203298202755501</v>
      </c>
      <c r="L33" s="17">
        <v>31.203298202755501</v>
      </c>
      <c r="M33" s="5">
        <v>35</v>
      </c>
      <c r="N33">
        <v>0.01</v>
      </c>
      <c r="O33">
        <v>3.7</v>
      </c>
      <c r="P33" s="38">
        <v>30</v>
      </c>
      <c r="Q33" s="23">
        <v>1.06E-2</v>
      </c>
      <c r="R33" s="32">
        <v>3.7</v>
      </c>
      <c r="S33" s="41" t="s">
        <v>30</v>
      </c>
      <c r="T33" s="50">
        <v>1.6268889294074009E-4</v>
      </c>
      <c r="U33" s="32">
        <v>24.2525534906861</v>
      </c>
      <c r="V33">
        <f t="shared" ref="V33:V96" si="3">N33</f>
        <v>0.01</v>
      </c>
      <c r="W33" s="41" t="s">
        <v>30</v>
      </c>
      <c r="X33" s="41" t="s">
        <v>30</v>
      </c>
      <c r="Y33" s="17">
        <v>0.77265624999999905</v>
      </c>
      <c r="Z33" s="40">
        <v>0.51129181344666796</v>
      </c>
      <c r="AA33" s="17"/>
    </row>
    <row r="34" spans="2:27" x14ac:dyDescent="0.3">
      <c r="B34" s="5">
        <v>3</v>
      </c>
      <c r="C34" s="5" t="s">
        <v>69</v>
      </c>
      <c r="D34">
        <f t="shared" si="0"/>
        <v>0.47</v>
      </c>
      <c r="E34">
        <f t="shared" si="1"/>
        <v>3.2100000000000002E-3</v>
      </c>
      <c r="F34">
        <f t="shared" si="2"/>
        <v>0.47</v>
      </c>
      <c r="G34">
        <v>1</v>
      </c>
      <c r="H34">
        <v>1</v>
      </c>
      <c r="I34" s="38">
        <v>1469.1446947705699</v>
      </c>
      <c r="J34">
        <v>7.54</v>
      </c>
      <c r="K34" s="17">
        <v>31.188428375931402</v>
      </c>
      <c r="L34" s="17">
        <v>31.188428375931402</v>
      </c>
      <c r="M34" s="5">
        <v>35</v>
      </c>
      <c r="N34">
        <v>0.01</v>
      </c>
      <c r="O34">
        <v>3.7</v>
      </c>
      <c r="P34" s="38">
        <v>30</v>
      </c>
      <c r="Q34" s="23">
        <v>1.06E-2</v>
      </c>
      <c r="R34" s="32">
        <v>3.7</v>
      </c>
      <c r="S34" s="41" t="s">
        <v>30</v>
      </c>
      <c r="T34" s="50">
        <v>2.0619454823671377E-4</v>
      </c>
      <c r="U34" s="32">
        <v>23.904964664382199</v>
      </c>
      <c r="V34">
        <f t="shared" si="3"/>
        <v>0.01</v>
      </c>
      <c r="W34" s="41" t="s">
        <v>30</v>
      </c>
      <c r="X34" s="41" t="s">
        <v>30</v>
      </c>
      <c r="Y34" s="17">
        <v>0.79765624999999996</v>
      </c>
      <c r="Z34" s="40">
        <v>0.52782777119073798</v>
      </c>
      <c r="AA34" s="17"/>
    </row>
    <row r="35" spans="2:27" x14ac:dyDescent="0.3">
      <c r="B35" s="5">
        <v>4</v>
      </c>
      <c r="C35" s="5" t="s">
        <v>69</v>
      </c>
      <c r="D35">
        <f t="shared" si="0"/>
        <v>0.47</v>
      </c>
      <c r="E35">
        <f t="shared" si="1"/>
        <v>3.2100000000000002E-3</v>
      </c>
      <c r="F35">
        <f t="shared" si="2"/>
        <v>0.47</v>
      </c>
      <c r="G35">
        <v>1</v>
      </c>
      <c r="H35">
        <v>1</v>
      </c>
      <c r="I35" s="38">
        <v>1470.69995410663</v>
      </c>
      <c r="J35">
        <v>7.54</v>
      </c>
      <c r="K35" s="17">
        <v>31.172960679084301</v>
      </c>
      <c r="L35" s="17">
        <v>31.172960679084301</v>
      </c>
      <c r="M35" s="5">
        <v>35</v>
      </c>
      <c r="N35">
        <v>0.01</v>
      </c>
      <c r="O35">
        <v>3.7</v>
      </c>
      <c r="P35" s="38">
        <v>30</v>
      </c>
      <c r="Q35" s="23">
        <v>1.06E-2</v>
      </c>
      <c r="R35" s="32">
        <v>3.7</v>
      </c>
      <c r="S35" s="41" t="s">
        <v>30</v>
      </c>
      <c r="T35" s="50">
        <v>2.5249773085771047E-4</v>
      </c>
      <c r="U35" s="32">
        <v>23.543472285026301</v>
      </c>
      <c r="V35">
        <f t="shared" si="3"/>
        <v>0.01</v>
      </c>
      <c r="W35" s="41" t="s">
        <v>30</v>
      </c>
      <c r="X35" s="41" t="s">
        <v>30</v>
      </c>
      <c r="Y35" s="17">
        <v>0.82447916666666599</v>
      </c>
      <c r="Z35" s="40">
        <v>0.54502516724457195</v>
      </c>
      <c r="AA35" s="17"/>
    </row>
    <row r="36" spans="2:27" x14ac:dyDescent="0.3">
      <c r="B36" s="5">
        <v>5</v>
      </c>
      <c r="C36" s="5" t="s">
        <v>69</v>
      </c>
      <c r="D36">
        <f t="shared" si="0"/>
        <v>0.47</v>
      </c>
      <c r="E36">
        <f t="shared" si="1"/>
        <v>3.2100000000000002E-3</v>
      </c>
      <c r="F36">
        <f t="shared" si="2"/>
        <v>0.47</v>
      </c>
      <c r="G36">
        <v>1</v>
      </c>
      <c r="H36">
        <v>1</v>
      </c>
      <c r="I36" s="38">
        <v>1471.4186643882199</v>
      </c>
      <c r="J36">
        <v>7.54</v>
      </c>
      <c r="K36" s="17">
        <v>31.165820683375902</v>
      </c>
      <c r="L36" s="17">
        <v>31.165820683375902</v>
      </c>
      <c r="M36" s="5">
        <v>35</v>
      </c>
      <c r="N36">
        <v>0.01</v>
      </c>
      <c r="O36">
        <v>3.7</v>
      </c>
      <c r="P36" s="38">
        <v>30</v>
      </c>
      <c r="Q36" s="23">
        <v>1.06E-2</v>
      </c>
      <c r="R36" s="32">
        <v>3.7</v>
      </c>
      <c r="S36" s="41" t="s">
        <v>30</v>
      </c>
      <c r="T36" s="50">
        <v>3.0381317551915298E-4</v>
      </c>
      <c r="U36" s="32">
        <v>23.376629648400499</v>
      </c>
      <c r="V36">
        <f t="shared" si="3"/>
        <v>0.01</v>
      </c>
      <c r="W36" s="41" t="s">
        <v>30</v>
      </c>
      <c r="X36" s="41" t="s">
        <v>30</v>
      </c>
      <c r="Y36" s="17">
        <v>0.8359375</v>
      </c>
      <c r="Z36" s="40">
        <v>0.55296242696172604</v>
      </c>
      <c r="AA36" s="17"/>
    </row>
    <row r="37" spans="2:27" x14ac:dyDescent="0.3">
      <c r="B37" s="5">
        <v>6</v>
      </c>
      <c r="C37" s="5" t="s">
        <v>73</v>
      </c>
      <c r="D37">
        <f t="shared" si="0"/>
        <v>0.47</v>
      </c>
      <c r="E37">
        <f t="shared" si="1"/>
        <v>3.2100000000000002E-3</v>
      </c>
      <c r="F37">
        <f t="shared" si="2"/>
        <v>0.47</v>
      </c>
      <c r="G37">
        <v>1</v>
      </c>
      <c r="H37">
        <v>1</v>
      </c>
      <c r="I37" s="38">
        <v>1462.2974585062</v>
      </c>
      <c r="J37">
        <v>7.54</v>
      </c>
      <c r="K37" s="17">
        <v>31.2568055910968</v>
      </c>
      <c r="L37" s="17">
        <v>31.2568055910968</v>
      </c>
      <c r="M37" s="5">
        <v>35</v>
      </c>
      <c r="N37">
        <v>0.01</v>
      </c>
      <c r="O37">
        <v>3.7</v>
      </c>
      <c r="P37" s="38">
        <v>30</v>
      </c>
      <c r="Q37" s="23">
        <v>1.06E-2</v>
      </c>
      <c r="R37" s="32">
        <v>3.7</v>
      </c>
      <c r="S37" s="41" t="s">
        <v>30</v>
      </c>
      <c r="T37" s="50">
        <v>1.4347554738894939E-4</v>
      </c>
      <c r="U37" s="32">
        <v>25.503873265379799</v>
      </c>
      <c r="V37">
        <f t="shared" si="3"/>
        <v>0.01</v>
      </c>
      <c r="W37" s="41" t="s">
        <v>30</v>
      </c>
      <c r="X37" s="41" t="s">
        <v>30</v>
      </c>
      <c r="Y37" s="17">
        <v>0.68307291666666603</v>
      </c>
      <c r="Z37" s="40">
        <v>0.45176236556801302</v>
      </c>
      <c r="AA37" s="17"/>
    </row>
    <row r="38" spans="2:27" x14ac:dyDescent="0.3">
      <c r="B38" s="5">
        <v>7</v>
      </c>
      <c r="C38" s="5" t="s">
        <v>73</v>
      </c>
      <c r="D38">
        <f t="shared" si="0"/>
        <v>0.47</v>
      </c>
      <c r="E38">
        <f t="shared" si="1"/>
        <v>3.2100000000000002E-3</v>
      </c>
      <c r="F38">
        <f t="shared" si="2"/>
        <v>0.47</v>
      </c>
      <c r="G38">
        <v>1</v>
      </c>
      <c r="H38">
        <v>1</v>
      </c>
      <c r="I38" s="38">
        <v>1463.5439665998699</v>
      </c>
      <c r="J38">
        <v>7.54</v>
      </c>
      <c r="K38" s="17">
        <v>31.244323889493501</v>
      </c>
      <c r="L38" s="17">
        <v>31.244323889493501</v>
      </c>
      <c r="M38" s="5">
        <v>35</v>
      </c>
      <c r="N38">
        <v>0.01</v>
      </c>
      <c r="O38">
        <v>3.7</v>
      </c>
      <c r="P38" s="38">
        <v>30</v>
      </c>
      <c r="Q38" s="23">
        <v>1.06E-2</v>
      </c>
      <c r="R38" s="32">
        <v>3.7</v>
      </c>
      <c r="S38" s="41" t="s">
        <v>30</v>
      </c>
      <c r="T38" s="50">
        <v>1.5958760569028353E-4</v>
      </c>
      <c r="U38" s="32">
        <v>25.211898651284599</v>
      </c>
      <c r="V38">
        <f t="shared" si="3"/>
        <v>0.01</v>
      </c>
      <c r="W38" s="41" t="s">
        <v>30</v>
      </c>
      <c r="X38" s="41" t="s">
        <v>30</v>
      </c>
      <c r="Y38" s="17">
        <v>0.70364583333333297</v>
      </c>
      <c r="Z38" s="40">
        <v>0.46565257007303201</v>
      </c>
      <c r="AA38" s="17"/>
    </row>
    <row r="39" spans="2:27" x14ac:dyDescent="0.3">
      <c r="B39" s="5">
        <v>8</v>
      </c>
      <c r="C39" s="5" t="s">
        <v>73</v>
      </c>
      <c r="D39">
        <f t="shared" si="0"/>
        <v>0.47</v>
      </c>
      <c r="E39">
        <f t="shared" si="1"/>
        <v>3.2100000000000002E-3</v>
      </c>
      <c r="F39">
        <f t="shared" si="2"/>
        <v>0.47</v>
      </c>
      <c r="G39">
        <v>1</v>
      </c>
      <c r="H39">
        <v>1</v>
      </c>
      <c r="I39" s="38">
        <v>1465.6848398074801</v>
      </c>
      <c r="J39">
        <v>7.54</v>
      </c>
      <c r="K39" s="17">
        <v>31.222921935936402</v>
      </c>
      <c r="L39" s="17">
        <v>31.222921935936402</v>
      </c>
      <c r="M39" s="5">
        <v>35</v>
      </c>
      <c r="N39">
        <v>0.01</v>
      </c>
      <c r="O39">
        <v>3.7</v>
      </c>
      <c r="P39" s="38">
        <v>30</v>
      </c>
      <c r="Q39" s="23">
        <v>1.06E-2</v>
      </c>
      <c r="R39" s="32">
        <v>3.7</v>
      </c>
      <c r="S39" s="41" t="s">
        <v>30</v>
      </c>
      <c r="T39" s="50">
        <v>2.000091655875161E-4</v>
      </c>
      <c r="U39" s="32">
        <v>24.711370741407102</v>
      </c>
      <c r="V39">
        <f t="shared" si="3"/>
        <v>0.01</v>
      </c>
      <c r="W39" s="41" t="s">
        <v>30</v>
      </c>
      <c r="X39" s="41" t="s">
        <v>30</v>
      </c>
      <c r="Y39" s="17">
        <v>0.73984374999999902</v>
      </c>
      <c r="Z39" s="40">
        <v>0.489464349224494</v>
      </c>
      <c r="AA39" s="17"/>
    </row>
    <row r="40" spans="2:27" x14ac:dyDescent="0.3">
      <c r="B40" s="5">
        <v>9</v>
      </c>
      <c r="C40" s="5" t="s">
        <v>73</v>
      </c>
      <c r="D40">
        <f t="shared" si="0"/>
        <v>0.47</v>
      </c>
      <c r="E40">
        <f t="shared" si="1"/>
        <v>3.2100000000000002E-3</v>
      </c>
      <c r="F40">
        <f t="shared" si="2"/>
        <v>0.47</v>
      </c>
      <c r="G40">
        <v>1</v>
      </c>
      <c r="H40">
        <v>1</v>
      </c>
      <c r="I40" s="38">
        <v>1467.65175997755</v>
      </c>
      <c r="J40">
        <v>7.54</v>
      </c>
      <c r="K40" s="17">
        <v>31.203298202755501</v>
      </c>
      <c r="L40" s="17">
        <v>31.203298202755501</v>
      </c>
      <c r="M40" s="5">
        <v>35</v>
      </c>
      <c r="N40">
        <v>0.01</v>
      </c>
      <c r="O40">
        <v>3.7</v>
      </c>
      <c r="P40" s="38">
        <v>30</v>
      </c>
      <c r="Q40" s="23">
        <v>1.06E-2</v>
      </c>
      <c r="R40" s="32">
        <v>3.7</v>
      </c>
      <c r="S40" s="41" t="s">
        <v>30</v>
      </c>
      <c r="T40" s="50">
        <v>2.4245562420120075E-4</v>
      </c>
      <c r="U40" s="32">
        <v>24.2525534906861</v>
      </c>
      <c r="V40">
        <f t="shared" si="3"/>
        <v>0.01</v>
      </c>
      <c r="W40" s="41" t="s">
        <v>30</v>
      </c>
      <c r="X40" s="41" t="s">
        <v>30</v>
      </c>
      <c r="Y40" s="17">
        <v>0.77317708333333302</v>
      </c>
      <c r="Z40" s="40">
        <v>0.51129181344666796</v>
      </c>
      <c r="AA40" s="17"/>
    </row>
    <row r="41" spans="2:27" x14ac:dyDescent="0.3">
      <c r="B41" s="5">
        <v>10</v>
      </c>
      <c r="C41" s="5" t="s">
        <v>73</v>
      </c>
      <c r="D41">
        <f t="shared" si="0"/>
        <v>0.47</v>
      </c>
      <c r="E41">
        <f t="shared" si="1"/>
        <v>3.2100000000000002E-3</v>
      </c>
      <c r="F41">
        <f t="shared" si="2"/>
        <v>0.47</v>
      </c>
      <c r="G41">
        <v>1</v>
      </c>
      <c r="H41">
        <v>1</v>
      </c>
      <c r="I41" s="38">
        <v>1469.2044632443999</v>
      </c>
      <c r="J41">
        <v>7.54</v>
      </c>
      <c r="K41" s="17">
        <v>31.187833522538799</v>
      </c>
      <c r="L41" s="17">
        <v>31.187833522538799</v>
      </c>
      <c r="M41" s="5">
        <v>35</v>
      </c>
      <c r="N41">
        <v>0.01</v>
      </c>
      <c r="O41">
        <v>3.7</v>
      </c>
      <c r="P41" s="38">
        <v>30</v>
      </c>
      <c r="Q41" s="23">
        <v>1.06E-2</v>
      </c>
      <c r="R41" s="32">
        <v>3.7</v>
      </c>
      <c r="S41" s="41" t="s">
        <v>30</v>
      </c>
      <c r="T41" s="50">
        <v>2.9126630537607982E-4</v>
      </c>
      <c r="U41" s="32">
        <v>23.891061111330099</v>
      </c>
      <c r="V41">
        <f t="shared" si="3"/>
        <v>0.01</v>
      </c>
      <c r="W41" s="41" t="s">
        <v>30</v>
      </c>
      <c r="X41" s="41" t="s">
        <v>30</v>
      </c>
      <c r="Y41" s="17">
        <v>0.79869791666666601</v>
      </c>
      <c r="Z41" s="40">
        <v>0.52848920950050104</v>
      </c>
      <c r="AA41" s="17"/>
    </row>
    <row r="42" spans="2:27" x14ac:dyDescent="0.3">
      <c r="B42" s="5">
        <v>11</v>
      </c>
      <c r="C42" s="5" t="s">
        <v>70</v>
      </c>
      <c r="D42">
        <f t="shared" si="0"/>
        <v>0.47</v>
      </c>
      <c r="E42">
        <f t="shared" si="1"/>
        <v>3.2100000000000002E-3</v>
      </c>
      <c r="F42">
        <f t="shared" si="2"/>
        <v>0.47</v>
      </c>
      <c r="G42">
        <v>1</v>
      </c>
      <c r="H42">
        <v>1</v>
      </c>
      <c r="I42" s="38">
        <v>1453.4435469125201</v>
      </c>
      <c r="J42">
        <v>7.54</v>
      </c>
      <c r="K42" s="17">
        <v>31.345901321470102</v>
      </c>
      <c r="L42" s="17">
        <v>31.345901321470102</v>
      </c>
      <c r="M42" s="5">
        <v>35</v>
      </c>
      <c r="N42">
        <v>0.01</v>
      </c>
      <c r="O42">
        <v>3.7</v>
      </c>
      <c r="P42" s="38">
        <v>30</v>
      </c>
      <c r="Q42" s="23">
        <v>1.06E-2</v>
      </c>
      <c r="R42" s="32">
        <v>3.7</v>
      </c>
      <c r="S42" s="41" t="s">
        <v>30</v>
      </c>
      <c r="T42" s="50">
        <v>1.4151439248632358E-4</v>
      </c>
      <c r="U42" s="32">
        <v>27.589406223202701</v>
      </c>
      <c r="V42">
        <f t="shared" si="3"/>
        <v>0.01</v>
      </c>
      <c r="W42" s="41" t="s">
        <v>30</v>
      </c>
      <c r="X42" s="41" t="s">
        <v>30</v>
      </c>
      <c r="Y42" s="17">
        <v>0.53333333333333299</v>
      </c>
      <c r="Z42" s="40">
        <v>0.35254661910358898</v>
      </c>
      <c r="AA42" s="17"/>
    </row>
    <row r="43" spans="2:27" x14ac:dyDescent="0.3">
      <c r="B43" s="5">
        <v>12</v>
      </c>
      <c r="C43" s="5" t="s">
        <v>70</v>
      </c>
      <c r="D43">
        <f t="shared" si="0"/>
        <v>0.47</v>
      </c>
      <c r="E43">
        <f t="shared" si="1"/>
        <v>3.2100000000000002E-3</v>
      </c>
      <c r="F43">
        <f t="shared" si="2"/>
        <v>0.47</v>
      </c>
      <c r="G43">
        <v>1</v>
      </c>
      <c r="H43">
        <v>1</v>
      </c>
      <c r="I43" s="38">
        <v>1455.7960949046101</v>
      </c>
      <c r="J43">
        <v>7.54</v>
      </c>
      <c r="K43" s="17">
        <v>31.322152617833598</v>
      </c>
      <c r="L43" s="17">
        <v>31.322152617833598</v>
      </c>
      <c r="M43" s="5">
        <v>35</v>
      </c>
      <c r="N43">
        <v>0.01</v>
      </c>
      <c r="O43">
        <v>3.7</v>
      </c>
      <c r="P43" s="38">
        <v>30</v>
      </c>
      <c r="Q43" s="23">
        <v>1.06E-2</v>
      </c>
      <c r="R43" s="32">
        <v>3.7</v>
      </c>
      <c r="S43" s="41" t="s">
        <v>30</v>
      </c>
      <c r="T43" s="50">
        <v>1.6033120909466044E-4</v>
      </c>
      <c r="U43" s="32">
        <v>27.0332641011166</v>
      </c>
      <c r="V43">
        <f t="shared" si="3"/>
        <v>0.01</v>
      </c>
      <c r="W43" s="41" t="s">
        <v>30</v>
      </c>
      <c r="X43" s="41" t="s">
        <v>30</v>
      </c>
      <c r="Y43" s="17">
        <v>0.57291666666666596</v>
      </c>
      <c r="Z43" s="40">
        <v>0.37900415149410199</v>
      </c>
      <c r="AA43" s="17"/>
    </row>
    <row r="44" spans="2:27" x14ac:dyDescent="0.3">
      <c r="B44" s="5">
        <v>13</v>
      </c>
      <c r="C44" s="5" t="s">
        <v>70</v>
      </c>
      <c r="D44">
        <f t="shared" si="0"/>
        <v>0.47</v>
      </c>
      <c r="E44">
        <f t="shared" si="1"/>
        <v>3.2100000000000002E-3</v>
      </c>
      <c r="F44">
        <f t="shared" si="2"/>
        <v>0.47</v>
      </c>
      <c r="G44">
        <v>1</v>
      </c>
      <c r="H44">
        <v>1</v>
      </c>
      <c r="I44" s="38">
        <v>1459.15913368152</v>
      </c>
      <c r="J44">
        <v>7.54</v>
      </c>
      <c r="K44" s="17">
        <v>31.2882979566869</v>
      </c>
      <c r="L44" s="17">
        <v>31.2882979566869</v>
      </c>
      <c r="M44" s="5">
        <v>35</v>
      </c>
      <c r="N44">
        <v>0.01</v>
      </c>
      <c r="O44">
        <v>3.7</v>
      </c>
      <c r="P44" s="38">
        <v>30</v>
      </c>
      <c r="Q44" s="23">
        <v>1.06E-2</v>
      </c>
      <c r="R44" s="32">
        <v>3.7</v>
      </c>
      <c r="S44" s="41" t="s">
        <v>30</v>
      </c>
      <c r="T44" s="50">
        <v>1.99985666335659E-4</v>
      </c>
      <c r="U44" s="32">
        <v>26.2407615771439</v>
      </c>
      <c r="V44">
        <f t="shared" si="3"/>
        <v>0.01</v>
      </c>
      <c r="W44" s="41" t="s">
        <v>30</v>
      </c>
      <c r="X44" s="41" t="s">
        <v>30</v>
      </c>
      <c r="Y44" s="17">
        <v>0.63020833333333304</v>
      </c>
      <c r="Z44" s="40">
        <v>0.41670613515058302</v>
      </c>
      <c r="AA44" s="17"/>
    </row>
    <row r="45" spans="2:27" x14ac:dyDescent="0.3">
      <c r="B45" s="5">
        <v>14</v>
      </c>
      <c r="C45" s="5" t="s">
        <v>70</v>
      </c>
      <c r="D45">
        <f t="shared" si="0"/>
        <v>0.47</v>
      </c>
      <c r="E45">
        <f t="shared" si="1"/>
        <v>3.2100000000000002E-3</v>
      </c>
      <c r="F45">
        <f t="shared" si="2"/>
        <v>0.47</v>
      </c>
      <c r="G45">
        <v>1</v>
      </c>
      <c r="H45">
        <v>1</v>
      </c>
      <c r="I45" s="38">
        <v>1463.48457010728</v>
      </c>
      <c r="J45">
        <v>7.54</v>
      </c>
      <c r="K45" s="17">
        <v>31.244918302526202</v>
      </c>
      <c r="L45" s="17">
        <v>31.244918302526202</v>
      </c>
      <c r="M45" s="5">
        <v>35</v>
      </c>
      <c r="N45">
        <v>0.01</v>
      </c>
      <c r="O45">
        <v>3.7</v>
      </c>
      <c r="P45" s="38">
        <v>30</v>
      </c>
      <c r="Q45" s="23">
        <v>1.06E-2</v>
      </c>
      <c r="R45" s="32">
        <v>3.7</v>
      </c>
      <c r="S45" s="41" t="s">
        <v>30</v>
      </c>
      <c r="T45" s="50">
        <v>2.4282647700248289E-4</v>
      </c>
      <c r="U45" s="32">
        <v>25.225802204336699</v>
      </c>
      <c r="V45">
        <f t="shared" si="3"/>
        <v>0.01</v>
      </c>
      <c r="W45" s="41" t="s">
        <v>30</v>
      </c>
      <c r="X45" s="41" t="s">
        <v>30</v>
      </c>
      <c r="Y45" s="17">
        <v>0.70338541666666599</v>
      </c>
      <c r="Z45" s="40">
        <v>0.46499113176327</v>
      </c>
      <c r="AA45" s="17"/>
    </row>
    <row r="46" spans="2:27" x14ac:dyDescent="0.3">
      <c r="B46" s="5">
        <v>15</v>
      </c>
      <c r="C46" s="5" t="s">
        <v>70</v>
      </c>
      <c r="D46">
        <f t="shared" si="0"/>
        <v>0.47</v>
      </c>
      <c r="E46">
        <f t="shared" si="1"/>
        <v>3.2100000000000002E-3</v>
      </c>
      <c r="F46">
        <f t="shared" si="2"/>
        <v>0.47</v>
      </c>
      <c r="G46">
        <v>1</v>
      </c>
      <c r="H46">
        <v>1</v>
      </c>
      <c r="I46" s="38">
        <v>1466.1017089054601</v>
      </c>
      <c r="J46">
        <v>7.54</v>
      </c>
      <c r="K46" s="17">
        <v>31.218759747711001</v>
      </c>
      <c r="L46" s="17">
        <v>31.218759747711001</v>
      </c>
      <c r="M46" s="5">
        <v>35</v>
      </c>
      <c r="N46">
        <v>0.01</v>
      </c>
      <c r="O46">
        <v>3.7</v>
      </c>
      <c r="P46" s="38">
        <v>30</v>
      </c>
      <c r="Q46" s="23">
        <v>1.06E-2</v>
      </c>
      <c r="R46" s="32">
        <v>3.7</v>
      </c>
      <c r="S46" s="41" t="s">
        <v>30</v>
      </c>
      <c r="T46" s="50">
        <v>2.8884387299756665E-4</v>
      </c>
      <c r="U46" s="32">
        <v>24.614045870041998</v>
      </c>
      <c r="V46">
        <f t="shared" si="3"/>
        <v>0.01</v>
      </c>
      <c r="W46" s="41" t="s">
        <v>30</v>
      </c>
      <c r="X46" s="41" t="s">
        <v>30</v>
      </c>
      <c r="Y46" s="17">
        <v>0.74687499999999996</v>
      </c>
      <c r="Z46" s="40">
        <v>0.494094417392834</v>
      </c>
      <c r="AA46" s="17"/>
    </row>
    <row r="47" spans="2:27" x14ac:dyDescent="0.3">
      <c r="B47" s="5">
        <v>16</v>
      </c>
      <c r="C47" s="5" t="s">
        <v>71</v>
      </c>
      <c r="D47">
        <f t="shared" si="0"/>
        <v>0.47</v>
      </c>
      <c r="E47">
        <f t="shared" si="1"/>
        <v>3.2100000000000002E-3</v>
      </c>
      <c r="F47">
        <f t="shared" si="2"/>
        <v>0.47</v>
      </c>
      <c r="G47">
        <v>1</v>
      </c>
      <c r="H47">
        <v>1</v>
      </c>
      <c r="I47" s="38">
        <v>1450.68715119591</v>
      </c>
      <c r="J47">
        <v>7.54</v>
      </c>
      <c r="K47" s="17">
        <v>31.373796624150302</v>
      </c>
      <c r="L47" s="17">
        <v>31.373796624150302</v>
      </c>
      <c r="M47" s="5">
        <v>35</v>
      </c>
      <c r="N47">
        <v>0.01</v>
      </c>
      <c r="O47">
        <v>3.7</v>
      </c>
      <c r="P47" s="38">
        <v>30</v>
      </c>
      <c r="Q47" s="23">
        <v>1.06E-2</v>
      </c>
      <c r="R47" s="32">
        <v>3.7</v>
      </c>
      <c r="S47" s="41" t="s">
        <v>30</v>
      </c>
      <c r="T47" s="50">
        <v>1.4449433205616788E-4</v>
      </c>
      <c r="U47" s="32">
        <v>28.242873216653798</v>
      </c>
      <c r="V47">
        <f t="shared" si="3"/>
        <v>0.01</v>
      </c>
      <c r="W47" s="41" t="s">
        <v>30</v>
      </c>
      <c r="X47" s="41" t="s">
        <v>30</v>
      </c>
      <c r="Y47" s="17">
        <v>0.48619791666666601</v>
      </c>
      <c r="Z47" s="40">
        <v>0.32145901854473502</v>
      </c>
      <c r="AA47" s="17"/>
    </row>
    <row r="48" spans="2:27" x14ac:dyDescent="0.3">
      <c r="B48" s="5">
        <v>17</v>
      </c>
      <c r="C48" s="5" t="s">
        <v>71</v>
      </c>
      <c r="D48">
        <f t="shared" si="0"/>
        <v>0.47</v>
      </c>
      <c r="E48">
        <f t="shared" si="1"/>
        <v>3.2100000000000002E-3</v>
      </c>
      <c r="F48">
        <f t="shared" si="2"/>
        <v>0.47</v>
      </c>
      <c r="G48">
        <v>1</v>
      </c>
      <c r="H48">
        <v>1</v>
      </c>
      <c r="I48" s="38">
        <v>1452.3869058436701</v>
      </c>
      <c r="J48">
        <v>7.54</v>
      </c>
      <c r="K48" s="17">
        <v>31.356585831364701</v>
      </c>
      <c r="L48" s="17">
        <v>31.356585831364701</v>
      </c>
      <c r="M48" s="5">
        <v>35</v>
      </c>
      <c r="N48">
        <v>0.01</v>
      </c>
      <c r="O48">
        <v>3.7</v>
      </c>
      <c r="P48" s="38">
        <v>30</v>
      </c>
      <c r="Q48" s="23">
        <v>1.06E-2</v>
      </c>
      <c r="R48" s="32">
        <v>3.7</v>
      </c>
      <c r="S48" s="41" t="s">
        <v>30</v>
      </c>
      <c r="T48" s="50">
        <v>1.6137974459617824E-4</v>
      </c>
      <c r="U48" s="32">
        <v>27.8396701781414</v>
      </c>
      <c r="V48">
        <f t="shared" si="3"/>
        <v>0.01</v>
      </c>
      <c r="W48" s="41" t="s">
        <v>30</v>
      </c>
      <c r="X48" s="41" t="s">
        <v>30</v>
      </c>
      <c r="Y48" s="17">
        <v>0.51484374999999905</v>
      </c>
      <c r="Z48" s="40">
        <v>0.34064072952785701</v>
      </c>
      <c r="AA48" s="17"/>
    </row>
    <row r="49" spans="2:27" x14ac:dyDescent="0.3">
      <c r="B49" s="5">
        <v>18</v>
      </c>
      <c r="C49" s="5" t="s">
        <v>71</v>
      </c>
      <c r="D49">
        <f t="shared" si="0"/>
        <v>0.47</v>
      </c>
      <c r="E49">
        <f t="shared" si="1"/>
        <v>3.2100000000000002E-3</v>
      </c>
      <c r="F49">
        <f t="shared" si="2"/>
        <v>0.47</v>
      </c>
      <c r="G49">
        <v>1</v>
      </c>
      <c r="H49">
        <v>1</v>
      </c>
      <c r="I49" s="38">
        <v>1456.2084240445899</v>
      </c>
      <c r="J49">
        <v>7.54</v>
      </c>
      <c r="K49" s="17">
        <v>31.317995835833401</v>
      </c>
      <c r="L49" s="17">
        <v>31.317995835833401</v>
      </c>
      <c r="M49" s="5">
        <v>35</v>
      </c>
      <c r="N49">
        <v>0.01</v>
      </c>
      <c r="O49">
        <v>3.7</v>
      </c>
      <c r="P49" s="38">
        <v>30</v>
      </c>
      <c r="Q49" s="23">
        <v>1.06E-2</v>
      </c>
      <c r="R49" s="32">
        <v>3.7</v>
      </c>
      <c r="S49" s="41" t="s">
        <v>30</v>
      </c>
      <c r="T49" s="50">
        <v>2.006501202409058E-4</v>
      </c>
      <c r="U49" s="32">
        <v>26.935939229751501</v>
      </c>
      <c r="V49">
        <f t="shared" si="3"/>
        <v>0.01</v>
      </c>
      <c r="W49" s="41" t="s">
        <v>30</v>
      </c>
      <c r="X49" s="41" t="s">
        <v>30</v>
      </c>
      <c r="Y49" s="17">
        <v>0.58020833333333299</v>
      </c>
      <c r="Z49" s="40">
        <v>0.38363421966244099</v>
      </c>
      <c r="AA49" s="17"/>
    </row>
    <row r="50" spans="2:27" x14ac:dyDescent="0.3">
      <c r="B50" s="5">
        <v>19</v>
      </c>
      <c r="C50" s="5" t="s">
        <v>71</v>
      </c>
      <c r="D50">
        <f t="shared" si="0"/>
        <v>0.47</v>
      </c>
      <c r="E50">
        <f t="shared" si="1"/>
        <v>3.2100000000000002E-3</v>
      </c>
      <c r="F50">
        <f t="shared" si="2"/>
        <v>0.47</v>
      </c>
      <c r="G50">
        <v>1</v>
      </c>
      <c r="H50">
        <v>1</v>
      </c>
      <c r="I50" s="38">
        <v>1459.04091967673</v>
      </c>
      <c r="J50">
        <v>7.54</v>
      </c>
      <c r="K50" s="17">
        <v>31.289486093569302</v>
      </c>
      <c r="L50" s="17">
        <v>31.289486093569302</v>
      </c>
      <c r="M50" s="5">
        <v>35</v>
      </c>
      <c r="N50">
        <v>0.01</v>
      </c>
      <c r="O50">
        <v>3.7</v>
      </c>
      <c r="P50" s="38">
        <v>30</v>
      </c>
      <c r="Q50" s="23">
        <v>1.06E-2</v>
      </c>
      <c r="R50" s="32">
        <v>3.7</v>
      </c>
      <c r="S50" s="41" t="s">
        <v>30</v>
      </c>
      <c r="T50" s="50">
        <v>2.4570387945674051E-4</v>
      </c>
      <c r="U50" s="32">
        <v>26.268568683248201</v>
      </c>
      <c r="V50">
        <f t="shared" si="3"/>
        <v>0.01</v>
      </c>
      <c r="W50" s="41" t="s">
        <v>30</v>
      </c>
      <c r="X50" s="41" t="s">
        <v>30</v>
      </c>
      <c r="Y50" s="17">
        <v>0.62786458333333295</v>
      </c>
      <c r="Z50" s="40">
        <v>0.41538325853105701</v>
      </c>
      <c r="AA50" s="17"/>
    </row>
    <row r="51" spans="2:27" x14ac:dyDescent="0.3">
      <c r="B51" s="5">
        <v>20</v>
      </c>
      <c r="C51" s="5" t="s">
        <v>71</v>
      </c>
      <c r="D51">
        <f t="shared" si="0"/>
        <v>0.47</v>
      </c>
      <c r="E51">
        <f t="shared" si="1"/>
        <v>3.2100000000000002E-3</v>
      </c>
      <c r="F51">
        <f t="shared" si="2"/>
        <v>0.47</v>
      </c>
      <c r="G51">
        <v>1</v>
      </c>
      <c r="H51">
        <v>1</v>
      </c>
      <c r="I51" s="38">
        <v>1461.28963767509</v>
      </c>
      <c r="J51">
        <v>7.54</v>
      </c>
      <c r="K51" s="17">
        <v>31.266908331040799</v>
      </c>
      <c r="L51" s="17">
        <v>31.266908331040799</v>
      </c>
      <c r="M51" s="5">
        <v>35</v>
      </c>
      <c r="N51">
        <v>0.01</v>
      </c>
      <c r="O51">
        <v>3.7</v>
      </c>
      <c r="P51" s="38">
        <v>30</v>
      </c>
      <c r="Q51" s="23">
        <v>1.06E-2</v>
      </c>
      <c r="R51" s="32">
        <v>3.7</v>
      </c>
      <c r="S51" s="41" t="s">
        <v>30</v>
      </c>
      <c r="T51" s="50">
        <v>2.9528886377120148E-4</v>
      </c>
      <c r="U51" s="32">
        <v>25.740233667266398</v>
      </c>
      <c r="V51">
        <f t="shared" si="3"/>
        <v>0.01</v>
      </c>
      <c r="W51" s="41" t="s">
        <v>30</v>
      </c>
      <c r="X51" s="41" t="s">
        <v>30</v>
      </c>
      <c r="Y51" s="17">
        <v>0.66588541666666601</v>
      </c>
      <c r="Z51" s="40">
        <v>0.44051791430204501</v>
      </c>
      <c r="AA51" s="17"/>
    </row>
    <row r="52" spans="2:27" x14ac:dyDescent="0.3">
      <c r="B52" s="5">
        <v>21</v>
      </c>
      <c r="C52" s="5" t="s">
        <v>72</v>
      </c>
      <c r="D52">
        <f t="shared" si="0"/>
        <v>0.47</v>
      </c>
      <c r="E52">
        <f t="shared" si="1"/>
        <v>3.2100000000000002E-3</v>
      </c>
      <c r="F52">
        <f t="shared" si="2"/>
        <v>0.47</v>
      </c>
      <c r="G52">
        <v>1</v>
      </c>
      <c r="H52">
        <v>1</v>
      </c>
      <c r="I52" s="38">
        <v>1469.3240119902</v>
      </c>
      <c r="J52">
        <v>7.54</v>
      </c>
      <c r="K52" s="17">
        <v>31.186643801830598</v>
      </c>
      <c r="L52" s="17">
        <v>31.186643801830598</v>
      </c>
      <c r="M52" s="5">
        <v>35</v>
      </c>
      <c r="N52">
        <v>0.01</v>
      </c>
      <c r="O52">
        <v>3.7</v>
      </c>
      <c r="P52" s="38">
        <v>30</v>
      </c>
      <c r="Q52" s="23">
        <v>1.06E-2</v>
      </c>
      <c r="R52" s="32">
        <v>3.7</v>
      </c>
      <c r="S52" s="41" t="s">
        <v>30</v>
      </c>
      <c r="T52" s="50">
        <v>1.4350077698951813E-4</v>
      </c>
      <c r="U52" s="32">
        <v>23.863254005225802</v>
      </c>
      <c r="V52">
        <f t="shared" si="3"/>
        <v>0.01</v>
      </c>
      <c r="W52" s="41" t="s">
        <v>30</v>
      </c>
      <c r="X52" s="41" t="s">
        <v>30</v>
      </c>
      <c r="Y52" s="17">
        <v>0.80078125</v>
      </c>
      <c r="Z52" s="40">
        <v>0.52981208612002695</v>
      </c>
      <c r="AA52" s="17"/>
    </row>
    <row r="53" spans="2:27" x14ac:dyDescent="0.3">
      <c r="B53" s="5">
        <v>22</v>
      </c>
      <c r="C53" s="5" t="s">
        <v>72</v>
      </c>
      <c r="D53">
        <f t="shared" si="0"/>
        <v>0.47</v>
      </c>
      <c r="E53">
        <f t="shared" si="1"/>
        <v>3.2100000000000002E-3</v>
      </c>
      <c r="F53">
        <f t="shared" si="2"/>
        <v>0.47</v>
      </c>
      <c r="G53">
        <v>1</v>
      </c>
      <c r="H53">
        <v>1</v>
      </c>
      <c r="I53" s="38">
        <v>1468.8459113778099</v>
      </c>
      <c r="J53">
        <v>7.54</v>
      </c>
      <c r="K53" s="17">
        <v>31.191402573282701</v>
      </c>
      <c r="L53" s="17">
        <v>31.191402573282701</v>
      </c>
      <c r="M53" s="5">
        <v>35</v>
      </c>
      <c r="N53">
        <v>0.01</v>
      </c>
      <c r="O53">
        <v>3.7</v>
      </c>
      <c r="P53" s="38">
        <v>30</v>
      </c>
      <c r="Q53" s="23">
        <v>1.06E-2</v>
      </c>
      <c r="R53" s="32">
        <v>3.7</v>
      </c>
      <c r="S53" s="41" t="s">
        <v>30</v>
      </c>
      <c r="T53" s="50">
        <v>1.6143946953557761E-4</v>
      </c>
      <c r="U53" s="32">
        <v>23.974482429643</v>
      </c>
      <c r="V53">
        <f t="shared" si="3"/>
        <v>0.01</v>
      </c>
      <c r="W53" s="41" t="s">
        <v>30</v>
      </c>
      <c r="X53" s="41" t="s">
        <v>30</v>
      </c>
      <c r="Y53" s="17">
        <v>0.79348958333333297</v>
      </c>
      <c r="Z53" s="40">
        <v>0.524520579641924</v>
      </c>
      <c r="AA53" s="17"/>
    </row>
    <row r="54" spans="2:27" x14ac:dyDescent="0.3">
      <c r="B54" s="5">
        <v>23</v>
      </c>
      <c r="C54" s="5" t="s">
        <v>72</v>
      </c>
      <c r="D54">
        <f t="shared" si="0"/>
        <v>0.47</v>
      </c>
      <c r="E54">
        <f t="shared" si="1"/>
        <v>3.2100000000000002E-3</v>
      </c>
      <c r="F54">
        <f t="shared" si="2"/>
        <v>0.47</v>
      </c>
      <c r="G54">
        <v>1</v>
      </c>
      <c r="H54">
        <v>1</v>
      </c>
      <c r="I54" s="38">
        <v>1470.9993477125599</v>
      </c>
      <c r="J54">
        <v>7.54</v>
      </c>
      <c r="K54" s="17">
        <v>31.1699857621539</v>
      </c>
      <c r="L54" s="17">
        <v>31.1699857621539</v>
      </c>
      <c r="M54" s="5">
        <v>35</v>
      </c>
      <c r="N54">
        <v>0.01</v>
      </c>
      <c r="O54">
        <v>3.7</v>
      </c>
      <c r="P54" s="38">
        <v>30</v>
      </c>
      <c r="Q54" s="23">
        <v>1.06E-2</v>
      </c>
      <c r="R54" s="32">
        <v>3.7</v>
      </c>
      <c r="S54" s="41" t="s">
        <v>30</v>
      </c>
      <c r="T54" s="50">
        <v>2.0176435317576319E-4</v>
      </c>
      <c r="U54" s="32">
        <v>23.473954519765499</v>
      </c>
      <c r="V54">
        <f t="shared" si="3"/>
        <v>0.01</v>
      </c>
      <c r="W54" s="41" t="s">
        <v>30</v>
      </c>
      <c r="X54" s="41" t="s">
        <v>30</v>
      </c>
      <c r="Y54" s="17">
        <v>0.82864583333333297</v>
      </c>
      <c r="Z54" s="40">
        <v>0.54833235879338604</v>
      </c>
      <c r="AA54" s="17"/>
    </row>
    <row r="55" spans="2:27" x14ac:dyDescent="0.3">
      <c r="B55" s="5">
        <v>24</v>
      </c>
      <c r="C55" s="5" t="s">
        <v>72</v>
      </c>
      <c r="D55">
        <f t="shared" si="0"/>
        <v>0.47</v>
      </c>
      <c r="E55">
        <f t="shared" si="1"/>
        <v>3.2100000000000002E-3</v>
      </c>
      <c r="F55">
        <f t="shared" si="2"/>
        <v>0.47</v>
      </c>
      <c r="G55">
        <v>1</v>
      </c>
      <c r="H55">
        <v>1</v>
      </c>
      <c r="I55" s="38">
        <v>1471.0592382621401</v>
      </c>
      <c r="J55">
        <v>7.54</v>
      </c>
      <c r="K55" s="17">
        <v>31.1693907648345</v>
      </c>
      <c r="L55" s="17">
        <v>31.1693907648345</v>
      </c>
      <c r="M55" s="5">
        <v>35</v>
      </c>
      <c r="N55">
        <v>0.01</v>
      </c>
      <c r="O55">
        <v>3.7</v>
      </c>
      <c r="P55" s="38">
        <v>30</v>
      </c>
      <c r="Q55" s="23">
        <v>1.06E-2</v>
      </c>
      <c r="R55" s="32">
        <v>3.7</v>
      </c>
      <c r="S55" s="41" t="s">
        <v>30</v>
      </c>
      <c r="T55" s="50">
        <v>2.4391464307126564E-4</v>
      </c>
      <c r="U55" s="32">
        <v>23.4600509667134</v>
      </c>
      <c r="V55">
        <f t="shared" si="3"/>
        <v>0.01</v>
      </c>
      <c r="W55" s="41" t="s">
        <v>30</v>
      </c>
      <c r="X55" s="41" t="s">
        <v>30</v>
      </c>
      <c r="Y55" s="17">
        <v>0.83020833333333299</v>
      </c>
      <c r="Z55" s="40">
        <v>0.54899379710314899</v>
      </c>
      <c r="AA55" s="17"/>
    </row>
    <row r="56" spans="2:27" x14ac:dyDescent="0.3">
      <c r="B56" s="5">
        <v>25</v>
      </c>
      <c r="C56" s="5" t="s">
        <v>72</v>
      </c>
      <c r="D56">
        <f t="shared" si="0"/>
        <v>0.47</v>
      </c>
      <c r="E56">
        <f t="shared" si="1"/>
        <v>3.2100000000000002E-3</v>
      </c>
      <c r="F56">
        <f t="shared" si="2"/>
        <v>0.47</v>
      </c>
      <c r="G56">
        <v>1</v>
      </c>
      <c r="H56">
        <v>1</v>
      </c>
      <c r="I56" s="38">
        <v>1471.7182946652999</v>
      </c>
      <c r="J56">
        <v>7.54</v>
      </c>
      <c r="K56" s="17">
        <v>31.1628454877462</v>
      </c>
      <c r="L56" s="17">
        <v>31.1628454877462</v>
      </c>
      <c r="M56" s="5">
        <v>35</v>
      </c>
      <c r="N56">
        <v>0.01</v>
      </c>
      <c r="O56">
        <v>3.7</v>
      </c>
      <c r="P56" s="38">
        <v>30</v>
      </c>
      <c r="Q56" s="23">
        <v>1.06E-2</v>
      </c>
      <c r="R56" s="32">
        <v>3.7</v>
      </c>
      <c r="S56" s="41" t="s">
        <v>30</v>
      </c>
      <c r="T56" s="50">
        <v>2.9117895067499495E-4</v>
      </c>
      <c r="U56" s="32">
        <v>23.307111883139701</v>
      </c>
      <c r="V56">
        <f t="shared" si="3"/>
        <v>0.01</v>
      </c>
      <c r="W56" s="41" t="s">
        <v>30</v>
      </c>
      <c r="X56" s="41" t="s">
        <v>30</v>
      </c>
      <c r="Y56" s="17">
        <v>0.84114583333333304</v>
      </c>
      <c r="Z56" s="40">
        <v>0.55626961851054002</v>
      </c>
      <c r="AA56" s="17"/>
    </row>
    <row r="57" spans="2:27" x14ac:dyDescent="0.3">
      <c r="B57" s="5">
        <v>26</v>
      </c>
      <c r="C57" s="5" t="s">
        <v>69</v>
      </c>
      <c r="D57">
        <f t="shared" si="0"/>
        <v>0.47</v>
      </c>
      <c r="E57">
        <f t="shared" si="1"/>
        <v>3.2100000000000002E-3</v>
      </c>
      <c r="F57">
        <f t="shared" si="2"/>
        <v>0.47</v>
      </c>
      <c r="G57">
        <v>1</v>
      </c>
      <c r="H57">
        <v>1.5405405405405406</v>
      </c>
      <c r="I57" s="38">
        <v>1469.0251696192499</v>
      </c>
      <c r="J57">
        <v>7.54</v>
      </c>
      <c r="K57" s="17">
        <v>31.189618068793798</v>
      </c>
      <c r="L57" s="17">
        <v>31.189618068793798</v>
      </c>
      <c r="M57" s="5">
        <v>35</v>
      </c>
      <c r="N57">
        <v>0.01</v>
      </c>
      <c r="O57">
        <v>3.7</v>
      </c>
      <c r="P57" s="38">
        <v>30</v>
      </c>
      <c r="Q57" s="23">
        <v>1.06E-2</v>
      </c>
      <c r="R57" s="32">
        <v>5.7</v>
      </c>
      <c r="S57" s="41" t="s">
        <v>30</v>
      </c>
      <c r="T57" s="50">
        <v>1.4491373465407909E-4</v>
      </c>
      <c r="U57" s="32">
        <v>23.9327717704866</v>
      </c>
      <c r="V57">
        <f t="shared" si="3"/>
        <v>0.01</v>
      </c>
      <c r="W57" s="41" t="s">
        <v>30</v>
      </c>
      <c r="X57" s="41" t="s">
        <v>30</v>
      </c>
      <c r="Y57" s="17">
        <v>0.79575588765305605</v>
      </c>
      <c r="Z57" s="40">
        <v>0.52650489457121297</v>
      </c>
      <c r="AA57" s="17"/>
    </row>
    <row r="58" spans="2:27" x14ac:dyDescent="0.3">
      <c r="B58" s="5">
        <v>27</v>
      </c>
      <c r="C58" s="5" t="s">
        <v>69</v>
      </c>
      <c r="D58">
        <f t="shared" si="0"/>
        <v>0.47</v>
      </c>
      <c r="E58">
        <f t="shared" si="1"/>
        <v>3.2100000000000002E-3</v>
      </c>
      <c r="F58">
        <f t="shared" si="2"/>
        <v>0.47</v>
      </c>
      <c r="G58">
        <v>1</v>
      </c>
      <c r="H58">
        <v>1.5405405405405406</v>
      </c>
      <c r="I58" s="38">
        <v>1469.86217608571</v>
      </c>
      <c r="J58">
        <v>7.54</v>
      </c>
      <c r="K58" s="17">
        <v>31.181289828887198</v>
      </c>
      <c r="L58" s="17">
        <v>31.181289828887198</v>
      </c>
      <c r="M58" s="5">
        <v>35</v>
      </c>
      <c r="N58">
        <v>0.01</v>
      </c>
      <c r="O58">
        <v>3.7</v>
      </c>
      <c r="P58" s="38">
        <v>30</v>
      </c>
      <c r="Q58" s="23">
        <v>1.06E-2</v>
      </c>
      <c r="R58" s="32">
        <v>5.7</v>
      </c>
      <c r="S58" s="41" t="s">
        <v>30</v>
      </c>
      <c r="T58" s="50">
        <v>1.6415034927521198E-4</v>
      </c>
      <c r="U58" s="32">
        <v>23.7381220277564</v>
      </c>
      <c r="V58">
        <f t="shared" si="3"/>
        <v>0.01</v>
      </c>
      <c r="W58" s="41" t="s">
        <v>30</v>
      </c>
      <c r="X58" s="41" t="s">
        <v>30</v>
      </c>
      <c r="Y58" s="17">
        <v>0.810056758533092</v>
      </c>
      <c r="Z58" s="40">
        <v>0.53576503090789196</v>
      </c>
      <c r="AA58" s="17"/>
    </row>
    <row r="59" spans="2:27" x14ac:dyDescent="0.3">
      <c r="B59" s="5">
        <v>28</v>
      </c>
      <c r="C59" s="5" t="s">
        <v>69</v>
      </c>
      <c r="D59">
        <f t="shared" si="0"/>
        <v>0.47</v>
      </c>
      <c r="E59">
        <f t="shared" si="1"/>
        <v>3.2100000000000002E-3</v>
      </c>
      <c r="F59">
        <f t="shared" si="2"/>
        <v>0.47</v>
      </c>
      <c r="G59">
        <v>1</v>
      </c>
      <c r="H59">
        <v>1.5405405405405406</v>
      </c>
      <c r="I59" s="38">
        <v>1470.8795784428701</v>
      </c>
      <c r="J59">
        <v>7.54</v>
      </c>
      <c r="K59" s="17">
        <v>31.1711757428589</v>
      </c>
      <c r="L59" s="17">
        <v>31.1711757428589</v>
      </c>
      <c r="M59" s="5">
        <v>35</v>
      </c>
      <c r="N59">
        <v>0.01</v>
      </c>
      <c r="O59">
        <v>3.7</v>
      </c>
      <c r="P59" s="38">
        <v>30</v>
      </c>
      <c r="Q59" s="23">
        <v>1.06E-2</v>
      </c>
      <c r="R59" s="32">
        <v>5.7</v>
      </c>
      <c r="S59" s="41" t="s">
        <v>30</v>
      </c>
      <c r="T59" s="50">
        <v>2.0733843504226512E-4</v>
      </c>
      <c r="U59" s="32">
        <v>23.501761625869801</v>
      </c>
      <c r="V59">
        <f t="shared" si="3"/>
        <v>0.01</v>
      </c>
      <c r="W59" s="41" t="s">
        <v>30</v>
      </c>
      <c r="X59" s="41" t="s">
        <v>30</v>
      </c>
      <c r="Y59" s="17">
        <v>0.82693615361528505</v>
      </c>
      <c r="Z59" s="40">
        <v>0.54700948217386103</v>
      </c>
      <c r="AA59" s="17"/>
    </row>
    <row r="60" spans="2:27" x14ac:dyDescent="0.3">
      <c r="B60" s="5">
        <v>29</v>
      </c>
      <c r="C60" s="5" t="s">
        <v>69</v>
      </c>
      <c r="D60">
        <f t="shared" si="0"/>
        <v>0.47</v>
      </c>
      <c r="E60">
        <f t="shared" si="1"/>
        <v>3.2100000000000002E-3</v>
      </c>
      <c r="F60">
        <f t="shared" si="2"/>
        <v>0.47</v>
      </c>
      <c r="G60">
        <v>1</v>
      </c>
      <c r="H60">
        <v>1.5405405405405406</v>
      </c>
      <c r="I60" s="38">
        <v>1471.95806994078</v>
      </c>
      <c r="J60">
        <v>7.54</v>
      </c>
      <c r="K60" s="17">
        <v>31.160465247615299</v>
      </c>
      <c r="L60" s="17">
        <v>31.160465247615299</v>
      </c>
      <c r="M60" s="5">
        <v>35</v>
      </c>
      <c r="N60">
        <v>0.01</v>
      </c>
      <c r="O60">
        <v>3.7</v>
      </c>
      <c r="P60" s="38">
        <v>30</v>
      </c>
      <c r="Q60" s="23">
        <v>1.06E-2</v>
      </c>
      <c r="R60" s="32">
        <v>5.7</v>
      </c>
      <c r="S60" s="41" t="s">
        <v>30</v>
      </c>
      <c r="T60" s="50">
        <v>2.5278965194121646E-4</v>
      </c>
      <c r="U60" s="32">
        <v>23.251497670931101</v>
      </c>
      <c r="V60">
        <f t="shared" si="3"/>
        <v>0.01</v>
      </c>
      <c r="W60" s="41" t="s">
        <v>30</v>
      </c>
      <c r="X60" s="41" t="s">
        <v>30</v>
      </c>
      <c r="Y60" s="17">
        <v>0.84534802909096396</v>
      </c>
      <c r="Z60" s="40">
        <v>0.55891537174959205</v>
      </c>
      <c r="AA60" s="17"/>
    </row>
    <row r="61" spans="2:27" x14ac:dyDescent="0.3">
      <c r="B61" s="5">
        <v>30</v>
      </c>
      <c r="C61" s="5" t="s">
        <v>69</v>
      </c>
      <c r="D61">
        <f t="shared" si="0"/>
        <v>0.47</v>
      </c>
      <c r="E61">
        <f t="shared" si="1"/>
        <v>3.2100000000000002E-3</v>
      </c>
      <c r="F61">
        <f t="shared" si="2"/>
        <v>0.47</v>
      </c>
      <c r="G61">
        <v>1</v>
      </c>
      <c r="H61">
        <v>1.5405405405405406</v>
      </c>
      <c r="I61" s="38">
        <v>1472.6777749609601</v>
      </c>
      <c r="J61">
        <v>7.54</v>
      </c>
      <c r="K61" s="17">
        <v>31.153324081131899</v>
      </c>
      <c r="L61" s="17">
        <v>31.153324081131899</v>
      </c>
      <c r="M61" s="5">
        <v>35</v>
      </c>
      <c r="N61">
        <v>0.01</v>
      </c>
      <c r="O61">
        <v>3.7</v>
      </c>
      <c r="P61" s="38">
        <v>30</v>
      </c>
      <c r="Q61" s="23">
        <v>1.06E-2</v>
      </c>
      <c r="R61" s="32">
        <v>5.7</v>
      </c>
      <c r="S61" s="41" t="s">
        <v>30</v>
      </c>
      <c r="T61" s="50">
        <v>3.0220134832098928E-4</v>
      </c>
      <c r="U61" s="32">
        <v>23.0846550343052</v>
      </c>
      <c r="V61">
        <f t="shared" si="3"/>
        <v>0.01</v>
      </c>
      <c r="W61" s="41" t="s">
        <v>30</v>
      </c>
      <c r="X61" s="41" t="s">
        <v>30</v>
      </c>
      <c r="Y61" s="17">
        <v>0.85713579624674296</v>
      </c>
      <c r="Z61" s="40">
        <v>0.56685263146674603</v>
      </c>
      <c r="AA61" s="17"/>
    </row>
    <row r="62" spans="2:27" x14ac:dyDescent="0.3">
      <c r="B62" s="5">
        <v>31</v>
      </c>
      <c r="C62" s="5" t="s">
        <v>73</v>
      </c>
      <c r="D62">
        <f t="shared" si="0"/>
        <v>0.47</v>
      </c>
      <c r="E62">
        <f t="shared" si="1"/>
        <v>3.2100000000000002E-3</v>
      </c>
      <c r="F62">
        <f t="shared" si="2"/>
        <v>0.47</v>
      </c>
      <c r="G62">
        <v>1</v>
      </c>
      <c r="H62">
        <v>1.5405405405405406</v>
      </c>
      <c r="I62" s="38">
        <v>1463.24702311996</v>
      </c>
      <c r="J62">
        <v>7.54</v>
      </c>
      <c r="K62" s="17">
        <v>31.247295908360901</v>
      </c>
      <c r="L62" s="17">
        <v>31.247295908360901</v>
      </c>
      <c r="M62" s="5">
        <v>35</v>
      </c>
      <c r="N62">
        <v>0.01</v>
      </c>
      <c r="O62">
        <v>3.7</v>
      </c>
      <c r="P62" s="38">
        <v>30</v>
      </c>
      <c r="Q62" s="23">
        <v>1.06E-2</v>
      </c>
      <c r="R62" s="32">
        <v>5.7</v>
      </c>
      <c r="S62" s="41" t="s">
        <v>30</v>
      </c>
      <c r="T62" s="50">
        <v>1.4274490065267688E-4</v>
      </c>
      <c r="U62" s="32">
        <v>25.281416416545401</v>
      </c>
      <c r="V62">
        <f t="shared" si="3"/>
        <v>0.01</v>
      </c>
      <c r="W62" s="41" t="s">
        <v>30</v>
      </c>
      <c r="X62" s="41" t="s">
        <v>30</v>
      </c>
      <c r="Y62" s="17">
        <v>0.69912437109088499</v>
      </c>
      <c r="Z62" s="40">
        <v>0.46234537852421798</v>
      </c>
      <c r="AA62" s="17"/>
    </row>
    <row r="63" spans="2:27" x14ac:dyDescent="0.3">
      <c r="B63" s="5">
        <v>32</v>
      </c>
      <c r="C63" s="5" t="s">
        <v>73</v>
      </c>
      <c r="D63">
        <f t="shared" si="0"/>
        <v>0.47</v>
      </c>
      <c r="E63">
        <f t="shared" si="1"/>
        <v>3.2100000000000002E-3</v>
      </c>
      <c r="F63">
        <f t="shared" si="2"/>
        <v>0.47</v>
      </c>
      <c r="G63">
        <v>1</v>
      </c>
      <c r="H63">
        <v>1.5405405405405406</v>
      </c>
      <c r="I63" s="38">
        <v>1464.4948409857</v>
      </c>
      <c r="J63">
        <v>7.54</v>
      </c>
      <c r="K63" s="17">
        <v>31.234812651234002</v>
      </c>
      <c r="L63" s="17">
        <v>31.234812651234002</v>
      </c>
      <c r="M63" s="5">
        <v>35</v>
      </c>
      <c r="N63">
        <v>0.01</v>
      </c>
      <c r="O63">
        <v>3.7</v>
      </c>
      <c r="P63" s="38">
        <v>30</v>
      </c>
      <c r="Q63" s="23">
        <v>1.06E-2</v>
      </c>
      <c r="R63" s="32">
        <v>5.7</v>
      </c>
      <c r="S63" s="41" t="s">
        <v>30</v>
      </c>
      <c r="T63" s="50">
        <v>1.604727611858775E-4</v>
      </c>
      <c r="U63" s="32">
        <v>24.989441802450099</v>
      </c>
      <c r="V63">
        <f t="shared" si="3"/>
        <v>0.01</v>
      </c>
      <c r="W63" s="41" t="s">
        <v>30</v>
      </c>
      <c r="X63" s="41" t="s">
        <v>30</v>
      </c>
      <c r="Y63" s="17">
        <v>0.72030727109481096</v>
      </c>
      <c r="Z63" s="40">
        <v>0.47623558302923802</v>
      </c>
      <c r="AA63" s="17"/>
    </row>
    <row r="64" spans="2:27" x14ac:dyDescent="0.3">
      <c r="B64" s="5">
        <v>33</v>
      </c>
      <c r="C64" s="5" t="s">
        <v>73</v>
      </c>
      <c r="D64">
        <f t="shared" si="0"/>
        <v>0.47</v>
      </c>
      <c r="E64">
        <f t="shared" si="1"/>
        <v>3.2100000000000002E-3</v>
      </c>
      <c r="F64">
        <f t="shared" si="2"/>
        <v>0.47</v>
      </c>
      <c r="G64">
        <v>1</v>
      </c>
      <c r="H64">
        <v>1.5405405405405406</v>
      </c>
      <c r="I64" s="38">
        <v>1466.63796529673</v>
      </c>
      <c r="J64">
        <v>7.54</v>
      </c>
      <c r="K64" s="17">
        <v>31.213408029131799</v>
      </c>
      <c r="L64" s="17">
        <v>31.213408029131799</v>
      </c>
      <c r="M64" s="5">
        <v>35</v>
      </c>
      <c r="N64">
        <v>0.01</v>
      </c>
      <c r="O64">
        <v>3.7</v>
      </c>
      <c r="P64" s="38">
        <v>30</v>
      </c>
      <c r="Q64" s="23">
        <v>1.06E-2</v>
      </c>
      <c r="R64" s="32">
        <v>5.7</v>
      </c>
      <c r="S64" s="41" t="s">
        <v>30</v>
      </c>
      <c r="T64" s="50">
        <v>2.0177490434301589E-4</v>
      </c>
      <c r="U64" s="32">
        <v>24.4889138925727</v>
      </c>
      <c r="V64">
        <f t="shared" si="3"/>
        <v>0.01</v>
      </c>
      <c r="W64" s="41" t="s">
        <v>30</v>
      </c>
      <c r="X64" s="41" t="s">
        <v>30</v>
      </c>
      <c r="Y64" s="17">
        <v>0.75579628473484095</v>
      </c>
      <c r="Z64" s="40">
        <v>0.50004736218070001</v>
      </c>
      <c r="AA64" s="17"/>
    </row>
    <row r="65" spans="2:27" x14ac:dyDescent="0.3">
      <c r="B65" s="5">
        <v>34</v>
      </c>
      <c r="C65" s="5" t="s">
        <v>73</v>
      </c>
      <c r="D65">
        <f t="shared" si="0"/>
        <v>0.47</v>
      </c>
      <c r="E65">
        <f t="shared" si="1"/>
        <v>3.2100000000000002E-3</v>
      </c>
      <c r="F65">
        <f t="shared" si="2"/>
        <v>0.47</v>
      </c>
      <c r="G65">
        <v>1</v>
      </c>
      <c r="H65">
        <v>1.5405405405405406</v>
      </c>
      <c r="I65" s="38">
        <v>1468.4277796972301</v>
      </c>
      <c r="J65">
        <v>7.54</v>
      </c>
      <c r="K65" s="17">
        <v>31.195566254684401</v>
      </c>
      <c r="L65" s="17">
        <v>31.195566254684401</v>
      </c>
      <c r="M65" s="5">
        <v>35</v>
      </c>
      <c r="N65">
        <v>0.01</v>
      </c>
      <c r="O65">
        <v>3.7</v>
      </c>
      <c r="P65" s="38">
        <v>30</v>
      </c>
      <c r="Q65" s="23">
        <v>1.06E-2</v>
      </c>
      <c r="R65" s="32">
        <v>5.7</v>
      </c>
      <c r="S65" s="41" t="s">
        <v>30</v>
      </c>
      <c r="T65" s="50">
        <v>2.4505728724056501E-4</v>
      </c>
      <c r="U65" s="32">
        <v>24.0718073010081</v>
      </c>
      <c r="V65">
        <f t="shared" si="3"/>
        <v>0.01</v>
      </c>
      <c r="W65" s="41" t="s">
        <v>30</v>
      </c>
      <c r="X65" s="41" t="s">
        <v>30</v>
      </c>
      <c r="Y65" s="17">
        <v>0.78593358415826498</v>
      </c>
      <c r="Z65" s="40">
        <v>0.519890511473584</v>
      </c>
      <c r="AA65" s="17"/>
    </row>
    <row r="66" spans="2:27" x14ac:dyDescent="0.3">
      <c r="B66" s="5">
        <v>35</v>
      </c>
      <c r="C66" s="5" t="s">
        <v>73</v>
      </c>
      <c r="D66">
        <f t="shared" si="0"/>
        <v>0.47</v>
      </c>
      <c r="E66">
        <f t="shared" si="1"/>
        <v>3.2100000000000002E-3</v>
      </c>
      <c r="F66">
        <f t="shared" si="2"/>
        <v>0.47</v>
      </c>
      <c r="G66">
        <v>1</v>
      </c>
      <c r="H66">
        <v>1.5405405405405406</v>
      </c>
      <c r="I66" s="38">
        <v>1470.8795784428701</v>
      </c>
      <c r="J66">
        <v>7.54</v>
      </c>
      <c r="K66" s="17">
        <v>31.1711757428589</v>
      </c>
      <c r="L66" s="17">
        <v>31.1711757428589</v>
      </c>
      <c r="M66" s="5">
        <v>35</v>
      </c>
      <c r="N66">
        <v>0.01</v>
      </c>
      <c r="O66">
        <v>3.7</v>
      </c>
      <c r="P66" s="38">
        <v>30</v>
      </c>
      <c r="Q66" s="23">
        <v>1.06E-2</v>
      </c>
      <c r="R66" s="32">
        <v>5.7</v>
      </c>
      <c r="S66" s="41" t="s">
        <v>30</v>
      </c>
      <c r="T66" s="50">
        <v>2.9116858405298671E-4</v>
      </c>
      <c r="U66" s="32">
        <v>23.501761625869801</v>
      </c>
      <c r="V66">
        <f t="shared" si="3"/>
        <v>0.01</v>
      </c>
      <c r="W66" s="41" t="s">
        <v>30</v>
      </c>
      <c r="X66" s="41" t="s">
        <v>30</v>
      </c>
      <c r="Y66" s="17">
        <v>0.82729243308204403</v>
      </c>
      <c r="Z66" s="40">
        <v>0.54700948217386103</v>
      </c>
      <c r="AA66" s="17"/>
    </row>
    <row r="67" spans="2:27" x14ac:dyDescent="0.3">
      <c r="B67" s="5">
        <v>36</v>
      </c>
      <c r="C67" s="5" t="s">
        <v>70</v>
      </c>
      <c r="D67">
        <f t="shared" si="0"/>
        <v>0.47</v>
      </c>
      <c r="E67">
        <f t="shared" si="1"/>
        <v>3.2100000000000002E-3</v>
      </c>
      <c r="F67">
        <f t="shared" si="2"/>
        <v>0.47</v>
      </c>
      <c r="G67">
        <v>1</v>
      </c>
      <c r="H67">
        <v>1.5405405405405406</v>
      </c>
      <c r="I67" s="38">
        <v>1456.0316884286301</v>
      </c>
      <c r="J67">
        <v>7.54</v>
      </c>
      <c r="K67" s="17">
        <v>31.319777341522801</v>
      </c>
      <c r="L67" s="17">
        <v>31.319777341522801</v>
      </c>
      <c r="M67" s="5">
        <v>35</v>
      </c>
      <c r="N67">
        <v>0.01</v>
      </c>
      <c r="O67">
        <v>3.7</v>
      </c>
      <c r="P67" s="38">
        <v>30</v>
      </c>
      <c r="Q67" s="23">
        <v>1.06E-2</v>
      </c>
      <c r="R67" s="32">
        <v>5.7</v>
      </c>
      <c r="S67" s="41" t="s">
        <v>30</v>
      </c>
      <c r="T67" s="50">
        <v>1.4227341500019794E-4</v>
      </c>
      <c r="U67" s="32">
        <v>26.977649888908001</v>
      </c>
      <c r="V67">
        <f t="shared" si="3"/>
        <v>0.01</v>
      </c>
      <c r="W67" s="41" t="s">
        <v>30</v>
      </c>
      <c r="X67" s="41" t="s">
        <v>30</v>
      </c>
      <c r="Y67" s="17">
        <v>0.57699915533374402</v>
      </c>
      <c r="Z67" s="40">
        <v>0.38164990473315302</v>
      </c>
      <c r="AA67" s="17"/>
    </row>
    <row r="68" spans="2:27" x14ac:dyDescent="0.3">
      <c r="B68" s="5">
        <v>37</v>
      </c>
      <c r="C68" s="5" t="s">
        <v>70</v>
      </c>
      <c r="D68">
        <f t="shared" si="0"/>
        <v>0.47</v>
      </c>
      <c r="E68">
        <f t="shared" si="1"/>
        <v>3.2100000000000002E-3</v>
      </c>
      <c r="F68">
        <f t="shared" si="2"/>
        <v>0.47</v>
      </c>
      <c r="G68">
        <v>1</v>
      </c>
      <c r="H68">
        <v>1.5405405405405406</v>
      </c>
      <c r="I68" s="38">
        <v>1457.8596310983401</v>
      </c>
      <c r="J68">
        <v>7.54</v>
      </c>
      <c r="K68" s="17">
        <v>31.301366445951601</v>
      </c>
      <c r="L68" s="17">
        <v>31.301366445951601</v>
      </c>
      <c r="M68" s="5">
        <v>35</v>
      </c>
      <c r="N68">
        <v>0.01</v>
      </c>
      <c r="O68">
        <v>3.7</v>
      </c>
      <c r="P68" s="38">
        <v>30</v>
      </c>
      <c r="Q68" s="23">
        <v>1.06E-2</v>
      </c>
      <c r="R68" s="32">
        <v>5.7</v>
      </c>
      <c r="S68" s="41" t="s">
        <v>30</v>
      </c>
      <c r="T68" s="50">
        <v>1.604727611858775E-4</v>
      </c>
      <c r="U68" s="32">
        <v>26.546639744291198</v>
      </c>
      <c r="V68">
        <f t="shared" si="3"/>
        <v>0.01</v>
      </c>
      <c r="W68" s="41" t="s">
        <v>30</v>
      </c>
      <c r="X68" s="41" t="s">
        <v>30</v>
      </c>
      <c r="Y68" s="17">
        <v>0.60812596797866403</v>
      </c>
      <c r="Z68" s="40">
        <v>0.40215449233580097</v>
      </c>
      <c r="AA68" s="17"/>
    </row>
    <row r="69" spans="2:27" x14ac:dyDescent="0.3">
      <c r="B69" s="5">
        <v>38</v>
      </c>
      <c r="C69" s="5" t="s">
        <v>70</v>
      </c>
      <c r="D69">
        <f t="shared" si="0"/>
        <v>0.47</v>
      </c>
      <c r="E69">
        <f t="shared" si="1"/>
        <v>3.2100000000000002E-3</v>
      </c>
      <c r="F69">
        <f t="shared" si="2"/>
        <v>0.47</v>
      </c>
      <c r="G69">
        <v>1</v>
      </c>
      <c r="H69">
        <v>1.5405405405405406</v>
      </c>
      <c r="I69" s="38">
        <v>1460.57891094515</v>
      </c>
      <c r="J69">
        <v>7.54</v>
      </c>
      <c r="K69" s="17">
        <v>31.274038872037099</v>
      </c>
      <c r="L69" s="17">
        <v>31.274038872037099</v>
      </c>
      <c r="M69" s="5">
        <v>35</v>
      </c>
      <c r="N69">
        <v>0.01</v>
      </c>
      <c r="O69">
        <v>3.7</v>
      </c>
      <c r="P69" s="38">
        <v>30</v>
      </c>
      <c r="Q69" s="23">
        <v>1.06E-2</v>
      </c>
      <c r="R69" s="32">
        <v>5.7</v>
      </c>
      <c r="S69" s="41" t="s">
        <v>30</v>
      </c>
      <c r="T69" s="50">
        <v>2.0102052729904999E-4</v>
      </c>
      <c r="U69" s="32">
        <v>25.9070763038922</v>
      </c>
      <c r="V69">
        <f t="shared" si="3"/>
        <v>0.01</v>
      </c>
      <c r="W69" s="41" t="s">
        <v>30</v>
      </c>
      <c r="X69" s="41" t="s">
        <v>30</v>
      </c>
      <c r="Y69" s="17">
        <v>0.65355741261123401</v>
      </c>
      <c r="Z69" s="40">
        <v>0.43258065458489098</v>
      </c>
      <c r="AA69" s="17"/>
    </row>
    <row r="70" spans="2:27" x14ac:dyDescent="0.3">
      <c r="B70" s="5">
        <v>39</v>
      </c>
      <c r="C70" s="5" t="s">
        <v>70</v>
      </c>
      <c r="D70">
        <f t="shared" si="0"/>
        <v>0.47</v>
      </c>
      <c r="E70">
        <f t="shared" si="1"/>
        <v>3.2100000000000002E-3</v>
      </c>
      <c r="F70">
        <f t="shared" si="2"/>
        <v>0.47</v>
      </c>
      <c r="G70">
        <v>1</v>
      </c>
      <c r="H70">
        <v>1.5405405405405406</v>
      </c>
      <c r="I70" s="38">
        <v>1463.30640402004</v>
      </c>
      <c r="J70">
        <v>7.54</v>
      </c>
      <c r="K70" s="17">
        <v>31.2467015138464</v>
      </c>
      <c r="L70" s="17">
        <v>31.2467015138464</v>
      </c>
      <c r="M70" s="5">
        <v>35</v>
      </c>
      <c r="N70">
        <v>0.01</v>
      </c>
      <c r="O70">
        <v>3.7</v>
      </c>
      <c r="P70" s="38">
        <v>30</v>
      </c>
      <c r="Q70" s="23">
        <v>1.06E-2</v>
      </c>
      <c r="R70" s="32">
        <v>5.7</v>
      </c>
      <c r="S70" s="41" t="s">
        <v>30</v>
      </c>
      <c r="T70" s="50">
        <v>2.4317134463065022E-4</v>
      </c>
      <c r="U70" s="32">
        <v>25.267512863493199</v>
      </c>
      <c r="V70">
        <f t="shared" si="3"/>
        <v>0.01</v>
      </c>
      <c r="W70" s="41" t="s">
        <v>30</v>
      </c>
      <c r="X70" s="41" t="s">
        <v>30</v>
      </c>
      <c r="Y70" s="17">
        <v>0.70026558231950098</v>
      </c>
      <c r="Z70" s="40">
        <v>0.46300681683398098</v>
      </c>
      <c r="AA70" s="17"/>
    </row>
    <row r="71" spans="2:27" x14ac:dyDescent="0.3">
      <c r="B71" s="5">
        <v>40</v>
      </c>
      <c r="C71" s="5" t="s">
        <v>70</v>
      </c>
      <c r="D71">
        <f t="shared" si="0"/>
        <v>0.47</v>
      </c>
      <c r="E71">
        <f t="shared" si="1"/>
        <v>3.2100000000000002E-3</v>
      </c>
      <c r="F71">
        <f t="shared" si="2"/>
        <v>0.47</v>
      </c>
      <c r="G71">
        <v>1</v>
      </c>
      <c r="H71">
        <v>1.5405405405405406</v>
      </c>
      <c r="I71" s="38">
        <v>1466.2208495841901</v>
      </c>
      <c r="J71">
        <v>7.54</v>
      </c>
      <c r="K71" s="17">
        <v>31.217570509362901</v>
      </c>
      <c r="L71" s="17">
        <v>31.217570509362901</v>
      </c>
      <c r="M71" s="5">
        <v>35</v>
      </c>
      <c r="N71">
        <v>0.01</v>
      </c>
      <c r="O71">
        <v>3.7</v>
      </c>
      <c r="P71" s="38">
        <v>30</v>
      </c>
      <c r="Q71" s="23">
        <v>1.06E-2</v>
      </c>
      <c r="R71" s="32">
        <v>5.7</v>
      </c>
      <c r="S71" s="41" t="s">
        <v>30</v>
      </c>
      <c r="T71" s="50">
        <v>2.9116858405298671E-4</v>
      </c>
      <c r="U71" s="32">
        <v>24.5862387639377</v>
      </c>
      <c r="V71">
        <f t="shared" si="3"/>
        <v>0.01</v>
      </c>
      <c r="W71" s="41" t="s">
        <v>30</v>
      </c>
      <c r="X71" s="41" t="s">
        <v>30</v>
      </c>
      <c r="Y71" s="17">
        <v>0.74876552090074</v>
      </c>
      <c r="Z71" s="40">
        <v>0.49541729401236001</v>
      </c>
      <c r="AA71" s="17"/>
    </row>
    <row r="72" spans="2:27" x14ac:dyDescent="0.3">
      <c r="B72" s="5">
        <v>41</v>
      </c>
      <c r="C72" s="5" t="s">
        <v>71</v>
      </c>
      <c r="D72">
        <f t="shared" si="0"/>
        <v>0.47</v>
      </c>
      <c r="E72">
        <f t="shared" si="1"/>
        <v>3.2100000000000002E-3</v>
      </c>
      <c r="F72">
        <f t="shared" si="2"/>
        <v>0.47</v>
      </c>
      <c r="G72">
        <v>1</v>
      </c>
      <c r="H72">
        <v>1.5405405405405406</v>
      </c>
      <c r="I72" s="38">
        <v>1450.5114981700599</v>
      </c>
      <c r="J72">
        <v>7.54</v>
      </c>
      <c r="K72" s="17">
        <v>31.375576829937</v>
      </c>
      <c r="L72" s="17">
        <v>31.375576829937</v>
      </c>
      <c r="M72" s="5">
        <v>35</v>
      </c>
      <c r="N72">
        <v>0.01</v>
      </c>
      <c r="O72">
        <v>3.7</v>
      </c>
      <c r="P72" s="38">
        <v>30</v>
      </c>
      <c r="Q72" s="23">
        <v>1.06E-2</v>
      </c>
      <c r="R72" s="32">
        <v>5.7</v>
      </c>
      <c r="S72" s="41" t="s">
        <v>30</v>
      </c>
      <c r="T72" s="50">
        <v>1.4227341500019794E-4</v>
      </c>
      <c r="U72" s="32">
        <v>28.284583875810299</v>
      </c>
      <c r="V72">
        <f t="shared" si="3"/>
        <v>0.01</v>
      </c>
      <c r="W72" s="41" t="s">
        <v>30</v>
      </c>
      <c r="X72" s="41" t="s">
        <v>30</v>
      </c>
      <c r="Y72" s="17">
        <v>0.48317479272751201</v>
      </c>
      <c r="Z72" s="40">
        <v>0.319474703615447</v>
      </c>
      <c r="AA72" s="17"/>
    </row>
    <row r="73" spans="2:27" x14ac:dyDescent="0.3">
      <c r="B73" s="5">
        <v>42</v>
      </c>
      <c r="C73" s="5" t="s">
        <v>71</v>
      </c>
      <c r="D73">
        <f t="shared" si="0"/>
        <v>0.47</v>
      </c>
      <c r="E73">
        <f t="shared" si="1"/>
        <v>3.2100000000000002E-3</v>
      </c>
      <c r="F73">
        <f t="shared" si="2"/>
        <v>0.47</v>
      </c>
      <c r="G73">
        <v>1</v>
      </c>
      <c r="H73">
        <v>1.5405405405405406</v>
      </c>
      <c r="I73" s="38">
        <v>1452.3869058436701</v>
      </c>
      <c r="J73">
        <v>7.54</v>
      </c>
      <c r="K73" s="17">
        <v>31.356585831364701</v>
      </c>
      <c r="L73" s="17">
        <v>31.356585831364701</v>
      </c>
      <c r="M73" s="5">
        <v>35</v>
      </c>
      <c r="N73">
        <v>0.01</v>
      </c>
      <c r="O73">
        <v>3.7</v>
      </c>
      <c r="P73" s="38">
        <v>30</v>
      </c>
      <c r="Q73" s="23">
        <v>1.06E-2</v>
      </c>
      <c r="R73" s="32">
        <v>5.7</v>
      </c>
      <c r="S73" s="41" t="s">
        <v>30</v>
      </c>
      <c r="T73" s="50">
        <v>1.6339597223124608E-4</v>
      </c>
      <c r="U73" s="32">
        <v>27.8396701781414</v>
      </c>
      <c r="V73">
        <f t="shared" si="3"/>
        <v>0.01</v>
      </c>
      <c r="W73" s="41" t="s">
        <v>30</v>
      </c>
      <c r="X73" s="41" t="s">
        <v>30</v>
      </c>
      <c r="Y73" s="17">
        <v>0.51481505354829404</v>
      </c>
      <c r="Z73" s="40">
        <v>0.34064072952785701</v>
      </c>
      <c r="AA73" s="17"/>
    </row>
    <row r="74" spans="2:27" x14ac:dyDescent="0.3">
      <c r="B74" s="5">
        <v>43</v>
      </c>
      <c r="C74" s="5" t="s">
        <v>71</v>
      </c>
      <c r="D74">
        <f t="shared" si="0"/>
        <v>0.47</v>
      </c>
      <c r="E74">
        <f t="shared" si="1"/>
        <v>3.2100000000000002E-3</v>
      </c>
      <c r="F74">
        <f t="shared" si="2"/>
        <v>0.47</v>
      </c>
      <c r="G74">
        <v>1</v>
      </c>
      <c r="H74">
        <v>1.5405405405405406</v>
      </c>
      <c r="I74" s="38">
        <v>1455.6194402224301</v>
      </c>
      <c r="J74">
        <v>7.54</v>
      </c>
      <c r="K74" s="17">
        <v>31.323934026614701</v>
      </c>
      <c r="L74" s="17">
        <v>31.323934026614701</v>
      </c>
      <c r="M74" s="5">
        <v>35</v>
      </c>
      <c r="N74">
        <v>0.01</v>
      </c>
      <c r="O74">
        <v>3.7</v>
      </c>
      <c r="P74" s="38">
        <v>30</v>
      </c>
      <c r="Q74" s="23">
        <v>1.06E-2</v>
      </c>
      <c r="R74" s="32">
        <v>5.7</v>
      </c>
      <c r="S74" s="41" t="s">
        <v>30</v>
      </c>
      <c r="T74" s="50">
        <v>1.9998325886359661E-4</v>
      </c>
      <c r="U74" s="32">
        <v>27.074974760273001</v>
      </c>
      <c r="V74">
        <f t="shared" si="3"/>
        <v>0.01</v>
      </c>
      <c r="W74" s="41" t="s">
        <v>30</v>
      </c>
      <c r="X74" s="41" t="s">
        <v>30</v>
      </c>
      <c r="Y74" s="17">
        <v>0.57018505409283204</v>
      </c>
      <c r="Z74" s="40">
        <v>0.37701983656481303</v>
      </c>
      <c r="AA74" s="17"/>
    </row>
    <row r="75" spans="2:27" x14ac:dyDescent="0.3">
      <c r="B75" s="5">
        <v>44</v>
      </c>
      <c r="C75" s="5" t="s">
        <v>71</v>
      </c>
      <c r="D75">
        <f t="shared" si="0"/>
        <v>0.47</v>
      </c>
      <c r="E75">
        <f t="shared" si="1"/>
        <v>3.2100000000000002E-3</v>
      </c>
      <c r="F75">
        <f t="shared" si="2"/>
        <v>0.47</v>
      </c>
      <c r="G75">
        <v>1</v>
      </c>
      <c r="H75">
        <v>1.5405405405405406</v>
      </c>
      <c r="I75" s="38">
        <v>1458.27290608063</v>
      </c>
      <c r="J75">
        <v>7.54</v>
      </c>
      <c r="K75" s="17">
        <v>31.297208532809801</v>
      </c>
      <c r="L75" s="17">
        <v>31.297208532809801</v>
      </c>
      <c r="M75" s="5">
        <v>35</v>
      </c>
      <c r="N75">
        <v>0.01</v>
      </c>
      <c r="O75">
        <v>3.7</v>
      </c>
      <c r="P75" s="38">
        <v>30</v>
      </c>
      <c r="Q75" s="23">
        <v>1.06E-2</v>
      </c>
      <c r="R75" s="32">
        <v>5.7</v>
      </c>
      <c r="S75" s="41" t="s">
        <v>30</v>
      </c>
      <c r="T75" s="50">
        <v>2.4392572167461615E-4</v>
      </c>
      <c r="U75" s="32">
        <v>26.449314872926202</v>
      </c>
      <c r="V75">
        <f t="shared" si="3"/>
        <v>0.01</v>
      </c>
      <c r="W75" s="41" t="s">
        <v>30</v>
      </c>
      <c r="X75" s="41" t="s">
        <v>30</v>
      </c>
      <c r="Y75" s="17">
        <v>0.61485572923064402</v>
      </c>
      <c r="Z75" s="40">
        <v>0.40678456050414102</v>
      </c>
      <c r="AA75" s="17"/>
    </row>
    <row r="76" spans="2:27" x14ac:dyDescent="0.3">
      <c r="B76" s="5">
        <v>45</v>
      </c>
      <c r="C76" s="5" t="s">
        <v>71</v>
      </c>
      <c r="D76">
        <f t="shared" si="0"/>
        <v>0.47</v>
      </c>
      <c r="E76">
        <f t="shared" si="1"/>
        <v>3.2100000000000002E-3</v>
      </c>
      <c r="F76">
        <f t="shared" si="2"/>
        <v>0.47</v>
      </c>
      <c r="G76">
        <v>1</v>
      </c>
      <c r="H76">
        <v>1.5405405405405406</v>
      </c>
      <c r="I76" s="38">
        <v>1460.57891094515</v>
      </c>
      <c r="J76">
        <v>7.54</v>
      </c>
      <c r="K76" s="17">
        <v>31.274038872037099</v>
      </c>
      <c r="L76" s="17">
        <v>31.274038872037099</v>
      </c>
      <c r="M76" s="5">
        <v>35</v>
      </c>
      <c r="N76">
        <v>0.01</v>
      </c>
      <c r="O76">
        <v>3.7</v>
      </c>
      <c r="P76" s="38">
        <v>30</v>
      </c>
      <c r="Q76" s="23">
        <v>1.06E-2</v>
      </c>
      <c r="R76" s="32">
        <v>5.7</v>
      </c>
      <c r="S76" s="41" t="s">
        <v>30</v>
      </c>
      <c r="T76" s="50">
        <v>2.9343171518488449E-4</v>
      </c>
      <c r="U76" s="32">
        <v>25.9070763038922</v>
      </c>
      <c r="V76">
        <f t="shared" si="3"/>
        <v>0.01</v>
      </c>
      <c r="W76" s="41" t="s">
        <v>30</v>
      </c>
      <c r="X76" s="41" t="s">
        <v>30</v>
      </c>
      <c r="Y76" s="17">
        <v>0.65417902112425397</v>
      </c>
      <c r="Z76" s="40">
        <v>0.43258065458489098</v>
      </c>
      <c r="AA76" s="17"/>
    </row>
    <row r="77" spans="2:27" x14ac:dyDescent="0.3">
      <c r="B77" s="5">
        <v>46</v>
      </c>
      <c r="C77" s="5" t="s">
        <v>72</v>
      </c>
      <c r="D77">
        <f t="shared" si="0"/>
        <v>0.47</v>
      </c>
      <c r="E77">
        <f t="shared" si="1"/>
        <v>3.2100000000000002E-3</v>
      </c>
      <c r="F77">
        <f t="shared" si="2"/>
        <v>0.47</v>
      </c>
      <c r="G77">
        <v>1</v>
      </c>
      <c r="H77">
        <v>1.5405405405405406</v>
      </c>
      <c r="I77" s="38">
        <v>1469.38379226287</v>
      </c>
      <c r="J77">
        <v>7.54</v>
      </c>
      <c r="K77" s="17">
        <v>31.186048934514599</v>
      </c>
      <c r="L77" s="17">
        <v>31.186048934514599</v>
      </c>
      <c r="M77" s="5">
        <v>35</v>
      </c>
      <c r="N77">
        <v>0.01</v>
      </c>
      <c r="O77">
        <v>3.7</v>
      </c>
      <c r="P77" s="38">
        <v>30</v>
      </c>
      <c r="Q77" s="23">
        <v>1.06E-2</v>
      </c>
      <c r="R77" s="32">
        <v>5.7</v>
      </c>
      <c r="S77" s="41" t="s">
        <v>30</v>
      </c>
      <c r="T77" s="50">
        <v>1.4302779204416387E-4</v>
      </c>
      <c r="U77" s="32">
        <v>23.849350452173599</v>
      </c>
      <c r="V77">
        <f t="shared" si="3"/>
        <v>0.01</v>
      </c>
      <c r="W77" s="41" t="s">
        <v>30</v>
      </c>
      <c r="X77" s="41" t="s">
        <v>30</v>
      </c>
      <c r="Y77" s="17">
        <v>0.80161763085678495</v>
      </c>
      <c r="Z77" s="40">
        <v>0.53047352442979001</v>
      </c>
      <c r="AA77" s="17"/>
    </row>
    <row r="78" spans="2:27" x14ac:dyDescent="0.3">
      <c r="B78" s="5">
        <v>47</v>
      </c>
      <c r="C78" s="5" t="s">
        <v>72</v>
      </c>
      <c r="D78">
        <f t="shared" si="0"/>
        <v>0.47</v>
      </c>
      <c r="E78">
        <f t="shared" si="1"/>
        <v>3.2100000000000002E-3</v>
      </c>
      <c r="F78">
        <f t="shared" si="2"/>
        <v>0.47</v>
      </c>
      <c r="G78">
        <v>1</v>
      </c>
      <c r="H78">
        <v>1.5405405405405406</v>
      </c>
      <c r="I78" s="38">
        <v>1471.4186643882199</v>
      </c>
      <c r="J78">
        <v>7.54</v>
      </c>
      <c r="K78" s="17">
        <v>31.165820683375902</v>
      </c>
      <c r="L78" s="17">
        <v>31.165820683375902</v>
      </c>
      <c r="M78" s="5">
        <v>35</v>
      </c>
      <c r="N78">
        <v>0.01</v>
      </c>
      <c r="O78">
        <v>3.7</v>
      </c>
      <c r="P78" s="38">
        <v>30</v>
      </c>
      <c r="Q78" s="23">
        <v>1.06E-2</v>
      </c>
      <c r="R78" s="32">
        <v>5.7</v>
      </c>
      <c r="S78" s="41" t="s">
        <v>30</v>
      </c>
      <c r="T78" s="50">
        <v>1.604727611858775E-4</v>
      </c>
      <c r="U78" s="32">
        <v>23.376629648400499</v>
      </c>
      <c r="V78">
        <f t="shared" si="3"/>
        <v>0.01</v>
      </c>
      <c r="W78" s="41" t="s">
        <v>30</v>
      </c>
      <c r="X78" s="41" t="s">
        <v>30</v>
      </c>
      <c r="Y78" s="17">
        <v>0.83605797931010895</v>
      </c>
      <c r="Z78" s="40">
        <v>0.55296242696172604</v>
      </c>
      <c r="AA78" s="17"/>
    </row>
    <row r="79" spans="2:27" x14ac:dyDescent="0.3">
      <c r="B79" s="5">
        <v>48</v>
      </c>
      <c r="C79" s="5" t="s">
        <v>72</v>
      </c>
      <c r="D79">
        <f t="shared" si="0"/>
        <v>0.47</v>
      </c>
      <c r="E79">
        <f t="shared" si="1"/>
        <v>3.2100000000000002E-3</v>
      </c>
      <c r="F79">
        <f t="shared" si="2"/>
        <v>0.47</v>
      </c>
      <c r="G79">
        <v>1</v>
      </c>
      <c r="H79">
        <v>1.5405405405405406</v>
      </c>
      <c r="I79" s="38">
        <v>1472.13794286045</v>
      </c>
      <c r="J79">
        <v>7.54</v>
      </c>
      <c r="K79" s="17">
        <v>31.158680018729701</v>
      </c>
      <c r="L79" s="17">
        <v>31.158680018729701</v>
      </c>
      <c r="M79" s="5">
        <v>35</v>
      </c>
      <c r="N79">
        <v>0.01</v>
      </c>
      <c r="O79">
        <v>3.7</v>
      </c>
      <c r="P79" s="38">
        <v>30</v>
      </c>
      <c r="Q79" s="23">
        <v>1.06E-2</v>
      </c>
      <c r="R79" s="32">
        <v>5.7</v>
      </c>
      <c r="S79" s="41" t="s">
        <v>30</v>
      </c>
      <c r="T79" s="50">
        <v>2.0224638999549483E-4</v>
      </c>
      <c r="U79" s="32">
        <v>23.209787011774601</v>
      </c>
      <c r="V79">
        <f t="shared" si="3"/>
        <v>0.01</v>
      </c>
      <c r="W79" s="41" t="s">
        <v>30</v>
      </c>
      <c r="X79" s="41" t="s">
        <v>30</v>
      </c>
      <c r="Y79" s="17">
        <v>0.84834642967045304</v>
      </c>
      <c r="Z79" s="40">
        <v>0.56089968667888002</v>
      </c>
      <c r="AA79" s="17"/>
    </row>
    <row r="80" spans="2:27" x14ac:dyDescent="0.3">
      <c r="B80" s="5">
        <v>49</v>
      </c>
      <c r="C80" s="5" t="s">
        <v>72</v>
      </c>
      <c r="D80">
        <f t="shared" si="0"/>
        <v>0.47</v>
      </c>
      <c r="E80">
        <f t="shared" si="1"/>
        <v>3.2100000000000002E-3</v>
      </c>
      <c r="F80">
        <f t="shared" si="2"/>
        <v>0.47</v>
      </c>
      <c r="G80">
        <v>1</v>
      </c>
      <c r="H80">
        <v>1.5405405405405406</v>
      </c>
      <c r="I80" s="38">
        <v>1473.4580978256799</v>
      </c>
      <c r="J80">
        <v>7.54</v>
      </c>
      <c r="K80" s="17">
        <v>31.145587062153901</v>
      </c>
      <c r="L80" s="17">
        <v>31.145587062153901</v>
      </c>
      <c r="M80" s="5">
        <v>35</v>
      </c>
      <c r="N80">
        <v>0.01</v>
      </c>
      <c r="O80">
        <v>3.7</v>
      </c>
      <c r="P80" s="38">
        <v>30</v>
      </c>
      <c r="Q80" s="23">
        <v>1.06E-2</v>
      </c>
      <c r="R80" s="32">
        <v>5.7</v>
      </c>
      <c r="S80" s="41" t="s">
        <v>30</v>
      </c>
      <c r="T80" s="50">
        <v>2.4430291019659914E-4</v>
      </c>
      <c r="U80" s="32">
        <v>22.903908844627299</v>
      </c>
      <c r="V80">
        <f t="shared" si="3"/>
        <v>0.01</v>
      </c>
      <c r="W80" s="41" t="s">
        <v>30</v>
      </c>
      <c r="X80" s="41" t="s">
        <v>30</v>
      </c>
      <c r="Y80" s="17">
        <v>0.87032360721879298</v>
      </c>
      <c r="Z80" s="40">
        <v>0.57545132949366196</v>
      </c>
      <c r="AA80" s="17"/>
    </row>
    <row r="81" spans="2:27" x14ac:dyDescent="0.3">
      <c r="B81" s="5">
        <v>50</v>
      </c>
      <c r="C81" s="5" t="s">
        <v>72</v>
      </c>
      <c r="D81">
        <f t="shared" si="0"/>
        <v>0.47</v>
      </c>
      <c r="E81">
        <f t="shared" si="1"/>
        <v>3.2100000000000002E-3</v>
      </c>
      <c r="F81">
        <f t="shared" si="2"/>
        <v>0.47</v>
      </c>
      <c r="G81">
        <v>1</v>
      </c>
      <c r="H81">
        <v>1.5405405405405406</v>
      </c>
      <c r="I81" s="38">
        <v>1473.75840006815</v>
      </c>
      <c r="J81">
        <v>7.54</v>
      </c>
      <c r="K81" s="17">
        <v>31.142611076414202</v>
      </c>
      <c r="L81" s="17">
        <v>31.142611076414202</v>
      </c>
      <c r="M81" s="5">
        <v>35</v>
      </c>
      <c r="N81">
        <v>0.01</v>
      </c>
      <c r="O81">
        <v>3.7</v>
      </c>
      <c r="P81" s="38">
        <v>30</v>
      </c>
      <c r="Q81" s="23">
        <v>1.06E-2</v>
      </c>
      <c r="R81" s="32">
        <v>5.7</v>
      </c>
      <c r="S81" s="41" t="s">
        <v>30</v>
      </c>
      <c r="T81" s="50">
        <v>2.9164006970546516E-4</v>
      </c>
      <c r="U81" s="32">
        <v>22.834391079366501</v>
      </c>
      <c r="V81">
        <f t="shared" si="3"/>
        <v>0.01</v>
      </c>
      <c r="W81" s="41" t="s">
        <v>30</v>
      </c>
      <c r="X81" s="41" t="s">
        <v>30</v>
      </c>
      <c r="Y81" s="17">
        <v>0.87497005677119599</v>
      </c>
      <c r="Z81" s="40">
        <v>0.57875852104247605</v>
      </c>
      <c r="AA81" s="17"/>
    </row>
    <row r="82" spans="2:27" x14ac:dyDescent="0.3">
      <c r="B82" s="5">
        <v>51</v>
      </c>
      <c r="C82" s="5" t="s">
        <v>69</v>
      </c>
      <c r="D82">
        <f t="shared" si="0"/>
        <v>0.47</v>
      </c>
      <c r="E82">
        <f t="shared" si="1"/>
        <v>3.2100000000000002E-3</v>
      </c>
      <c r="F82">
        <f t="shared" si="2"/>
        <v>0.47</v>
      </c>
      <c r="G82">
        <v>1</v>
      </c>
      <c r="H82">
        <v>1</v>
      </c>
      <c r="I82" s="38">
        <v>1466.57836558859</v>
      </c>
      <c r="J82">
        <v>7.54</v>
      </c>
      <c r="K82" s="17">
        <v>31.214002683071701</v>
      </c>
      <c r="L82" s="17">
        <v>31.214002683071701</v>
      </c>
      <c r="M82" s="5">
        <v>35</v>
      </c>
      <c r="N82">
        <v>0.01</v>
      </c>
      <c r="O82">
        <v>3.7</v>
      </c>
      <c r="P82" s="38">
        <v>30</v>
      </c>
      <c r="Q82" s="23">
        <v>1.06E-2</v>
      </c>
      <c r="R82" s="32">
        <v>3.7</v>
      </c>
      <c r="S82" s="41" t="s">
        <v>30</v>
      </c>
      <c r="T82" s="50">
        <v>1.4438400425716632E-4</v>
      </c>
      <c r="U82" s="32">
        <v>24.5028174456248</v>
      </c>
      <c r="V82">
        <f t="shared" si="3"/>
        <v>0.01</v>
      </c>
      <c r="W82" s="41" t="s">
        <v>30</v>
      </c>
      <c r="X82" s="41" t="s">
        <v>30</v>
      </c>
      <c r="Y82" s="17">
        <v>0.75508720930232498</v>
      </c>
      <c r="Z82" s="40">
        <v>0.499385923870937</v>
      </c>
      <c r="AA82" s="17"/>
    </row>
    <row r="83" spans="2:27" x14ac:dyDescent="0.3">
      <c r="B83" s="5">
        <v>52</v>
      </c>
      <c r="C83" s="5" t="s">
        <v>69</v>
      </c>
      <c r="D83">
        <f t="shared" si="0"/>
        <v>0.47</v>
      </c>
      <c r="E83">
        <f t="shared" si="1"/>
        <v>3.2100000000000002E-3</v>
      </c>
      <c r="F83">
        <f t="shared" si="2"/>
        <v>0.47</v>
      </c>
      <c r="G83">
        <v>1</v>
      </c>
      <c r="H83">
        <v>1</v>
      </c>
      <c r="I83" s="38">
        <v>1467.5920936264199</v>
      </c>
      <c r="J83">
        <v>7.54</v>
      </c>
      <c r="K83" s="17">
        <v>31.203892935522699</v>
      </c>
      <c r="L83" s="17">
        <v>31.203892935522699</v>
      </c>
      <c r="M83" s="5">
        <v>35</v>
      </c>
      <c r="N83">
        <v>0.01</v>
      </c>
      <c r="O83">
        <v>3.7</v>
      </c>
      <c r="P83" s="38">
        <v>30</v>
      </c>
      <c r="Q83" s="23">
        <v>1.06E-2</v>
      </c>
      <c r="R83" s="32">
        <v>3.7</v>
      </c>
      <c r="S83" s="41" t="s">
        <v>30</v>
      </c>
      <c r="T83" s="50">
        <v>1.6265370695245845E-4</v>
      </c>
      <c r="U83" s="32">
        <v>24.2664570437382</v>
      </c>
      <c r="V83">
        <f t="shared" si="3"/>
        <v>0.01</v>
      </c>
      <c r="W83" s="41" t="s">
        <v>30</v>
      </c>
      <c r="X83" s="41" t="s">
        <v>30</v>
      </c>
      <c r="Y83" s="17">
        <v>0.772383720930232</v>
      </c>
      <c r="Z83" s="40">
        <v>0.51063037513690501</v>
      </c>
      <c r="AA83" s="17"/>
    </row>
    <row r="84" spans="2:27" x14ac:dyDescent="0.3">
      <c r="B84" s="5">
        <v>53</v>
      </c>
      <c r="C84" s="5" t="s">
        <v>69</v>
      </c>
      <c r="D84">
        <f t="shared" si="0"/>
        <v>0.47</v>
      </c>
      <c r="E84">
        <f t="shared" si="1"/>
        <v>3.2100000000000002E-3</v>
      </c>
      <c r="F84">
        <f t="shared" si="2"/>
        <v>0.47</v>
      </c>
      <c r="G84">
        <v>1</v>
      </c>
      <c r="H84">
        <v>1</v>
      </c>
      <c r="I84" s="38">
        <v>1469.0849302289701</v>
      </c>
      <c r="J84">
        <v>7.54</v>
      </c>
      <c r="K84" s="17">
        <v>31.189023224683002</v>
      </c>
      <c r="L84" s="17">
        <v>31.189023224683002</v>
      </c>
      <c r="M84" s="5">
        <v>35</v>
      </c>
      <c r="N84">
        <v>0.01</v>
      </c>
      <c r="O84">
        <v>3.7</v>
      </c>
      <c r="P84" s="38">
        <v>30</v>
      </c>
      <c r="Q84" s="23">
        <v>1.06E-2</v>
      </c>
      <c r="R84" s="32">
        <v>3.7</v>
      </c>
      <c r="S84" s="41" t="s">
        <v>30</v>
      </c>
      <c r="T84" s="50">
        <v>2.0624331791052676E-4</v>
      </c>
      <c r="U84" s="32">
        <v>23.918868217434401</v>
      </c>
      <c r="V84">
        <f t="shared" si="3"/>
        <v>0.01</v>
      </c>
      <c r="W84" s="41" t="s">
        <v>30</v>
      </c>
      <c r="X84" s="41" t="s">
        <v>30</v>
      </c>
      <c r="Y84" s="17">
        <v>0.79723837209302295</v>
      </c>
      <c r="Z84" s="40">
        <v>0.52716633288097603</v>
      </c>
      <c r="AA84" s="17"/>
    </row>
    <row r="85" spans="2:27" x14ac:dyDescent="0.3">
      <c r="B85" s="5">
        <v>54</v>
      </c>
      <c r="C85" s="5" t="s">
        <v>69</v>
      </c>
      <c r="D85">
        <f t="shared" si="0"/>
        <v>0.47</v>
      </c>
      <c r="E85">
        <f t="shared" si="1"/>
        <v>3.2100000000000002E-3</v>
      </c>
      <c r="F85">
        <f t="shared" si="2"/>
        <v>0.47</v>
      </c>
      <c r="G85">
        <v>1</v>
      </c>
      <c r="H85">
        <v>1</v>
      </c>
      <c r="I85" s="38">
        <v>1470.69995410663</v>
      </c>
      <c r="J85">
        <v>7.54</v>
      </c>
      <c r="K85" s="17">
        <v>31.172960679084301</v>
      </c>
      <c r="L85" s="17">
        <v>31.172960679084301</v>
      </c>
      <c r="M85" s="5">
        <v>35</v>
      </c>
      <c r="N85">
        <v>0.01</v>
      </c>
      <c r="O85">
        <v>3.7</v>
      </c>
      <c r="P85" s="38">
        <v>30</v>
      </c>
      <c r="Q85" s="23">
        <v>1.06E-2</v>
      </c>
      <c r="R85" s="32">
        <v>3.7</v>
      </c>
      <c r="S85" s="41" t="s">
        <v>30</v>
      </c>
      <c r="T85" s="50">
        <v>2.5215282869331645E-4</v>
      </c>
      <c r="U85" s="32">
        <v>23.543472285026301</v>
      </c>
      <c r="V85">
        <f t="shared" si="3"/>
        <v>0.01</v>
      </c>
      <c r="W85" s="41" t="s">
        <v>30</v>
      </c>
      <c r="X85" s="41" t="s">
        <v>30</v>
      </c>
      <c r="Y85" s="17">
        <v>0.82412790697674398</v>
      </c>
      <c r="Z85" s="40">
        <v>0.54502516724457195</v>
      </c>
      <c r="AA85" s="17"/>
    </row>
    <row r="86" spans="2:27" x14ac:dyDescent="0.3">
      <c r="B86" s="5">
        <v>55</v>
      </c>
      <c r="C86" s="5" t="s">
        <v>69</v>
      </c>
      <c r="D86">
        <f t="shared" si="0"/>
        <v>0.47</v>
      </c>
      <c r="E86">
        <f t="shared" si="1"/>
        <v>3.2100000000000002E-3</v>
      </c>
      <c r="F86">
        <f t="shared" si="2"/>
        <v>0.47</v>
      </c>
      <c r="G86">
        <v>1</v>
      </c>
      <c r="H86">
        <v>1</v>
      </c>
      <c r="I86" s="38">
        <v>1471.4186643882199</v>
      </c>
      <c r="J86">
        <v>7.54</v>
      </c>
      <c r="K86" s="17">
        <v>31.165820683375902</v>
      </c>
      <c r="L86" s="17">
        <v>31.165820683375902</v>
      </c>
      <c r="M86" s="5">
        <v>35</v>
      </c>
      <c r="N86">
        <v>0.01</v>
      </c>
      <c r="O86">
        <v>3.7</v>
      </c>
      <c r="P86">
        <v>30</v>
      </c>
      <c r="Q86" s="23">
        <v>1.06E-2</v>
      </c>
      <c r="R86" s="32">
        <v>3.7</v>
      </c>
      <c r="S86" s="41" t="s">
        <v>30</v>
      </c>
      <c r="T86" s="50">
        <v>3.0385422382805971E-4</v>
      </c>
      <c r="U86" s="32">
        <v>23.376629648400499</v>
      </c>
      <c r="V86">
        <f t="shared" si="3"/>
        <v>0.01</v>
      </c>
      <c r="W86" s="41" t="s">
        <v>30</v>
      </c>
      <c r="X86" s="41" t="s">
        <v>30</v>
      </c>
      <c r="Y86" s="17">
        <v>0.83575581395348797</v>
      </c>
      <c r="Z86" s="40">
        <v>0.55296242696172604</v>
      </c>
      <c r="AA86" s="17"/>
    </row>
    <row r="87" spans="2:27" x14ac:dyDescent="0.3">
      <c r="B87" s="5">
        <v>56</v>
      </c>
      <c r="C87" s="5" t="s">
        <v>69</v>
      </c>
      <c r="D87">
        <f t="shared" si="0"/>
        <v>0.47</v>
      </c>
      <c r="E87">
        <f t="shared" si="1"/>
        <v>3.2100000000000002E-3</v>
      </c>
      <c r="F87">
        <f t="shared" si="2"/>
        <v>0.47</v>
      </c>
      <c r="G87">
        <v>1</v>
      </c>
      <c r="H87">
        <v>1</v>
      </c>
      <c r="I87" s="38">
        <v>1467.53243119831</v>
      </c>
      <c r="J87">
        <v>7.54</v>
      </c>
      <c r="K87" s="17">
        <v>31.204487663652099</v>
      </c>
      <c r="L87" s="17">
        <v>31.204487663652099</v>
      </c>
      <c r="M87" s="5">
        <v>35</v>
      </c>
      <c r="N87">
        <v>0.01</v>
      </c>
      <c r="O87">
        <v>3.7</v>
      </c>
      <c r="P87">
        <v>30</v>
      </c>
      <c r="Q87" s="23">
        <v>1.34E-2</v>
      </c>
      <c r="R87" s="32">
        <v>3.7</v>
      </c>
      <c r="S87" s="41" t="s">
        <v>30</v>
      </c>
      <c r="T87" s="50">
        <v>1.4477675912893018E-4</v>
      </c>
      <c r="U87" s="32">
        <v>24.280360596790398</v>
      </c>
      <c r="V87">
        <f t="shared" si="3"/>
        <v>0.01</v>
      </c>
      <c r="W87" s="41" t="s">
        <v>30</v>
      </c>
      <c r="X87" s="41" t="s">
        <v>30</v>
      </c>
      <c r="Y87" s="17">
        <v>0.771220930232558</v>
      </c>
      <c r="Z87" s="40">
        <v>0.50996893682714195</v>
      </c>
      <c r="AA87" s="17"/>
    </row>
    <row r="88" spans="2:27" x14ac:dyDescent="0.3">
      <c r="B88" s="5">
        <v>57</v>
      </c>
      <c r="C88" s="5" t="s">
        <v>69</v>
      </c>
      <c r="D88">
        <f t="shared" si="0"/>
        <v>0.47</v>
      </c>
      <c r="E88">
        <f t="shared" si="1"/>
        <v>3.2100000000000002E-3</v>
      </c>
      <c r="F88">
        <f t="shared" si="2"/>
        <v>0.47</v>
      </c>
      <c r="G88">
        <v>1</v>
      </c>
      <c r="H88">
        <v>1</v>
      </c>
      <c r="I88" s="38">
        <v>1468.36806231474</v>
      </c>
      <c r="J88">
        <v>7.54</v>
      </c>
      <c r="K88" s="17">
        <v>31.196161047754298</v>
      </c>
      <c r="L88" s="17">
        <v>31.196161047754298</v>
      </c>
      <c r="M88" s="5">
        <v>35</v>
      </c>
      <c r="N88">
        <v>0.01</v>
      </c>
      <c r="O88">
        <v>3.7</v>
      </c>
      <c r="P88">
        <v>30</v>
      </c>
      <c r="Q88" s="23">
        <v>1.34E-2</v>
      </c>
      <c r="R88" s="32">
        <v>3.7</v>
      </c>
      <c r="S88" s="41" t="s">
        <v>30</v>
      </c>
      <c r="T88" s="50">
        <v>1.6265842607836702E-4</v>
      </c>
      <c r="U88" s="32">
        <v>24.085710854060199</v>
      </c>
      <c r="V88">
        <f t="shared" si="3"/>
        <v>0.01</v>
      </c>
      <c r="W88" s="41" t="s">
        <v>30</v>
      </c>
      <c r="X88" s="41" t="s">
        <v>30</v>
      </c>
      <c r="Y88" s="17">
        <v>0.78459302325581404</v>
      </c>
      <c r="Z88" s="40">
        <v>0.51922907316382205</v>
      </c>
      <c r="AA88" s="17"/>
    </row>
    <row r="89" spans="2:27" x14ac:dyDescent="0.3">
      <c r="B89" s="5">
        <v>58</v>
      </c>
      <c r="C89" s="5" t="s">
        <v>69</v>
      </c>
      <c r="D89">
        <f t="shared" si="0"/>
        <v>0.47</v>
      </c>
      <c r="E89">
        <f t="shared" si="1"/>
        <v>3.2100000000000002E-3</v>
      </c>
      <c r="F89">
        <f t="shared" si="2"/>
        <v>0.47</v>
      </c>
      <c r="G89">
        <v>1</v>
      </c>
      <c r="H89">
        <v>1</v>
      </c>
      <c r="I89" s="38">
        <v>1469.5033646095301</v>
      </c>
      <c r="J89">
        <v>7.54</v>
      </c>
      <c r="K89" s="17">
        <v>31.184859185958398</v>
      </c>
      <c r="L89" s="17">
        <v>31.184859185958398</v>
      </c>
      <c r="M89" s="5">
        <v>35</v>
      </c>
      <c r="N89">
        <v>0.01</v>
      </c>
      <c r="O89">
        <v>3.7</v>
      </c>
      <c r="P89">
        <v>30</v>
      </c>
      <c r="Q89" s="23">
        <v>1.34E-2</v>
      </c>
      <c r="R89" s="32">
        <v>3.7</v>
      </c>
      <c r="S89" s="41" t="s">
        <v>30</v>
      </c>
      <c r="T89" s="50">
        <v>2.0441004985511212E-4</v>
      </c>
      <c r="U89" s="32">
        <v>23.821543346069301</v>
      </c>
      <c r="V89">
        <f t="shared" si="3"/>
        <v>0.01</v>
      </c>
      <c r="W89" s="41" t="s">
        <v>30</v>
      </c>
      <c r="X89" s="41" t="s">
        <v>30</v>
      </c>
      <c r="Y89" s="17">
        <v>0.80421511627906905</v>
      </c>
      <c r="Z89" s="40">
        <v>0.53179640104931603</v>
      </c>
      <c r="AA89" s="17"/>
    </row>
    <row r="90" spans="2:27" x14ac:dyDescent="0.3">
      <c r="B90" s="5">
        <v>59</v>
      </c>
      <c r="C90" s="5" t="s">
        <v>69</v>
      </c>
      <c r="D90">
        <f t="shared" si="0"/>
        <v>0.47</v>
      </c>
      <c r="E90">
        <f t="shared" si="1"/>
        <v>3.2100000000000002E-3</v>
      </c>
      <c r="F90">
        <f t="shared" si="2"/>
        <v>0.47</v>
      </c>
      <c r="G90">
        <v>1</v>
      </c>
      <c r="H90">
        <v>1</v>
      </c>
      <c r="I90" s="38">
        <v>1470.8795784428701</v>
      </c>
      <c r="J90">
        <v>7.54</v>
      </c>
      <c r="K90" s="17">
        <v>31.1711757428589</v>
      </c>
      <c r="L90" s="17">
        <v>31.1711757428589</v>
      </c>
      <c r="M90" s="5">
        <v>35</v>
      </c>
      <c r="N90">
        <v>0.01</v>
      </c>
      <c r="O90">
        <v>3.7</v>
      </c>
      <c r="P90">
        <v>30</v>
      </c>
      <c r="Q90" s="23">
        <v>1.34E-2</v>
      </c>
      <c r="R90" s="32">
        <v>3.7</v>
      </c>
      <c r="S90" s="41" t="s">
        <v>30</v>
      </c>
      <c r="T90" s="50">
        <v>2.5031787523579151E-4</v>
      </c>
      <c r="U90" s="32">
        <v>23.501761625869801</v>
      </c>
      <c r="V90">
        <f t="shared" si="3"/>
        <v>0.01</v>
      </c>
      <c r="W90" s="41" t="s">
        <v>30</v>
      </c>
      <c r="X90" s="41" t="s">
        <v>30</v>
      </c>
      <c r="Y90" s="17">
        <v>0.82674418604651101</v>
      </c>
      <c r="Z90" s="40">
        <v>0.54700948217386103</v>
      </c>
      <c r="AA90" s="17"/>
    </row>
    <row r="91" spans="2:27" x14ac:dyDescent="0.3">
      <c r="B91" s="5">
        <v>60</v>
      </c>
      <c r="C91" s="5" t="s">
        <v>69</v>
      </c>
      <c r="D91">
        <f t="shared" si="0"/>
        <v>0.47</v>
      </c>
      <c r="E91">
        <f t="shared" si="1"/>
        <v>3.2100000000000002E-3</v>
      </c>
      <c r="F91">
        <f t="shared" si="2"/>
        <v>0.47</v>
      </c>
      <c r="G91">
        <v>1</v>
      </c>
      <c r="H91">
        <v>1</v>
      </c>
      <c r="I91" s="38">
        <v>1471.6583607162099</v>
      </c>
      <c r="J91">
        <v>7.54</v>
      </c>
      <c r="K91" s="17">
        <v>31.163440536163598</v>
      </c>
      <c r="L91" s="17">
        <v>31.163440536163598</v>
      </c>
      <c r="M91" s="5">
        <v>35</v>
      </c>
      <c r="N91">
        <v>0.01</v>
      </c>
      <c r="O91">
        <v>3.7</v>
      </c>
      <c r="P91">
        <v>30</v>
      </c>
      <c r="Q91" s="23">
        <v>1.34E-2</v>
      </c>
      <c r="R91" s="32">
        <v>3.7</v>
      </c>
      <c r="S91" s="41" t="s">
        <v>30</v>
      </c>
      <c r="T91" s="50">
        <v>3.0153690828657473E-4</v>
      </c>
      <c r="U91" s="32">
        <v>23.3210154361918</v>
      </c>
      <c r="V91">
        <f t="shared" si="3"/>
        <v>0.01</v>
      </c>
      <c r="W91" s="41" t="s">
        <v>30</v>
      </c>
      <c r="X91" s="41" t="s">
        <v>30</v>
      </c>
      <c r="Y91" s="17">
        <v>0.84040697674418596</v>
      </c>
      <c r="Z91" s="40">
        <v>0.55560818020077696</v>
      </c>
      <c r="AA91" s="17"/>
    </row>
    <row r="92" spans="2:27" x14ac:dyDescent="0.3">
      <c r="B92" s="5">
        <v>61</v>
      </c>
      <c r="C92" s="5" t="s">
        <v>69</v>
      </c>
      <c r="D92">
        <f t="shared" si="0"/>
        <v>0.47</v>
      </c>
      <c r="E92">
        <f t="shared" si="1"/>
        <v>3.2100000000000002E-3</v>
      </c>
      <c r="F92">
        <f t="shared" si="2"/>
        <v>0.47</v>
      </c>
      <c r="G92">
        <v>1</v>
      </c>
      <c r="H92">
        <v>1</v>
      </c>
      <c r="I92" s="38">
        <v>1463.78159156384</v>
      </c>
      <c r="J92">
        <v>7.54</v>
      </c>
      <c r="K92" s="17">
        <v>31.241946191063299</v>
      </c>
      <c r="L92" s="17">
        <v>31.241946191063299</v>
      </c>
      <c r="M92" s="5">
        <v>35</v>
      </c>
      <c r="N92">
        <v>0.01</v>
      </c>
      <c r="O92">
        <v>3.7</v>
      </c>
      <c r="P92">
        <v>36.799999999999997</v>
      </c>
      <c r="Q92" s="23">
        <v>1.06E-2</v>
      </c>
      <c r="R92" s="32">
        <v>3.7</v>
      </c>
      <c r="S92" s="41" t="s">
        <v>30</v>
      </c>
      <c r="T92" s="50">
        <v>1.4403969405558654E-4</v>
      </c>
      <c r="U92" s="32">
        <v>25.156284439076</v>
      </c>
      <c r="V92">
        <f t="shared" si="3"/>
        <v>0.01</v>
      </c>
      <c r="W92" s="41" t="s">
        <v>30</v>
      </c>
      <c r="X92" s="41" t="s">
        <v>30</v>
      </c>
      <c r="Y92" s="17">
        <v>0.707558139534883</v>
      </c>
      <c r="Z92" s="40">
        <v>0.46829832331208399</v>
      </c>
      <c r="AA92" s="17"/>
    </row>
    <row r="93" spans="2:27" x14ac:dyDescent="0.3">
      <c r="B93" s="5">
        <v>62</v>
      </c>
      <c r="C93" s="5" t="s">
        <v>69</v>
      </c>
      <c r="D93">
        <f t="shared" si="0"/>
        <v>0.47</v>
      </c>
      <c r="E93">
        <f t="shared" si="1"/>
        <v>3.2100000000000002E-3</v>
      </c>
      <c r="F93">
        <f t="shared" si="2"/>
        <v>0.47</v>
      </c>
      <c r="G93">
        <v>1</v>
      </c>
      <c r="H93">
        <v>1</v>
      </c>
      <c r="I93" s="38">
        <v>1464.97065293385</v>
      </c>
      <c r="J93">
        <v>7.54</v>
      </c>
      <c r="K93" s="17">
        <v>31.230056587489901</v>
      </c>
      <c r="L93" s="17">
        <v>31.230056587489901</v>
      </c>
      <c r="M93" s="5">
        <v>35</v>
      </c>
      <c r="N93">
        <v>0.01</v>
      </c>
      <c r="O93">
        <v>3.7</v>
      </c>
      <c r="P93">
        <v>36.799999999999997</v>
      </c>
      <c r="Q93" s="23">
        <v>1.06E-2</v>
      </c>
      <c r="R93" s="32">
        <v>3.7</v>
      </c>
      <c r="S93" s="41" t="s">
        <v>30</v>
      </c>
      <c r="T93" s="50">
        <v>1.6120896676059706E-4</v>
      </c>
      <c r="U93" s="32">
        <v>24.8782133780329</v>
      </c>
      <c r="V93">
        <f t="shared" si="3"/>
        <v>0.01</v>
      </c>
      <c r="W93" s="41" t="s">
        <v>30</v>
      </c>
      <c r="X93" s="41" t="s">
        <v>30</v>
      </c>
      <c r="Y93" s="17">
        <v>0.72834302325581401</v>
      </c>
      <c r="Z93" s="40">
        <v>0.48152708950734002</v>
      </c>
      <c r="AA93" s="17"/>
    </row>
    <row r="94" spans="2:27" x14ac:dyDescent="0.3">
      <c r="B94" s="5">
        <v>63</v>
      </c>
      <c r="C94" s="5" t="s">
        <v>69</v>
      </c>
      <c r="D94">
        <f t="shared" si="0"/>
        <v>0.47</v>
      </c>
      <c r="E94">
        <f t="shared" si="1"/>
        <v>3.2100000000000002E-3</v>
      </c>
      <c r="F94">
        <f t="shared" si="2"/>
        <v>0.47</v>
      </c>
      <c r="G94">
        <v>1</v>
      </c>
      <c r="H94">
        <v>1</v>
      </c>
      <c r="I94" s="38">
        <v>1468.12923205739</v>
      </c>
      <c r="J94">
        <v>7.54</v>
      </c>
      <c r="K94" s="17">
        <v>31.198540173641302</v>
      </c>
      <c r="L94" s="17">
        <v>31.198540173641302</v>
      </c>
      <c r="M94" s="5">
        <v>35</v>
      </c>
      <c r="N94">
        <v>0.01</v>
      </c>
      <c r="O94">
        <v>3.7</v>
      </c>
      <c r="P94">
        <v>36.799999999999997</v>
      </c>
      <c r="Q94" s="23">
        <v>1.06E-2</v>
      </c>
      <c r="R94" s="32">
        <v>3.7</v>
      </c>
      <c r="S94" s="41" t="s">
        <v>30</v>
      </c>
      <c r="T94" s="50">
        <v>2.0577122906691086E-4</v>
      </c>
      <c r="U94" s="32">
        <v>24.141325066268799</v>
      </c>
      <c r="V94">
        <f t="shared" si="3"/>
        <v>0.01</v>
      </c>
      <c r="W94" s="41" t="s">
        <v>30</v>
      </c>
      <c r="X94" s="41" t="s">
        <v>30</v>
      </c>
      <c r="Y94" s="17">
        <v>0.78052325581395299</v>
      </c>
      <c r="Z94" s="40">
        <v>0.51658331992477002</v>
      </c>
      <c r="AA94" s="17"/>
    </row>
    <row r="95" spans="2:27" x14ac:dyDescent="0.3">
      <c r="B95" s="5">
        <v>64</v>
      </c>
      <c r="C95" s="5" t="s">
        <v>69</v>
      </c>
      <c r="D95">
        <f t="shared" si="0"/>
        <v>0.47</v>
      </c>
      <c r="E95">
        <f t="shared" si="1"/>
        <v>3.2100000000000002E-3</v>
      </c>
      <c r="F95">
        <f t="shared" si="2"/>
        <v>0.47</v>
      </c>
      <c r="G95">
        <v>1</v>
      </c>
      <c r="H95">
        <v>1</v>
      </c>
      <c r="I95" s="38">
        <v>1469.86217608571</v>
      </c>
      <c r="J95">
        <v>7.54</v>
      </c>
      <c r="K95" s="17">
        <v>31.181289828887198</v>
      </c>
      <c r="L95" s="17">
        <v>31.181289828887198</v>
      </c>
      <c r="M95" s="5">
        <v>35</v>
      </c>
      <c r="N95">
        <v>0.01</v>
      </c>
      <c r="O95">
        <v>3.7</v>
      </c>
      <c r="P95">
        <v>36.799999999999997</v>
      </c>
      <c r="Q95" s="23">
        <v>1.06E-2</v>
      </c>
      <c r="R95" s="32">
        <v>3.7</v>
      </c>
      <c r="S95" s="41" t="s">
        <v>30</v>
      </c>
      <c r="T95" s="50">
        <v>2.504211586259466E-4</v>
      </c>
      <c r="U95" s="32">
        <v>23.7381220277564</v>
      </c>
      <c r="V95">
        <f t="shared" si="3"/>
        <v>0.01</v>
      </c>
      <c r="W95" s="41" t="s">
        <v>30</v>
      </c>
      <c r="X95" s="41" t="s">
        <v>30</v>
      </c>
      <c r="Y95" s="17">
        <v>0.81002906976744105</v>
      </c>
      <c r="Z95" s="40">
        <v>0.53576503090789196</v>
      </c>
      <c r="AA95" s="17"/>
    </row>
    <row r="96" spans="2:27" x14ac:dyDescent="0.3">
      <c r="B96" s="5">
        <v>65</v>
      </c>
      <c r="C96" s="5" t="s">
        <v>69</v>
      </c>
      <c r="D96">
        <f t="shared" si="0"/>
        <v>0.47</v>
      </c>
      <c r="E96">
        <f t="shared" si="1"/>
        <v>3.2100000000000002E-3</v>
      </c>
      <c r="F96">
        <f t="shared" si="2"/>
        <v>0.47</v>
      </c>
      <c r="G96">
        <v>1</v>
      </c>
      <c r="H96">
        <v>1</v>
      </c>
      <c r="I96" s="38">
        <v>1470.81969972204</v>
      </c>
      <c r="J96">
        <v>7.54</v>
      </c>
      <c r="K96" s="17">
        <v>31.171770726244901</v>
      </c>
      <c r="L96" s="17">
        <v>31.171770726244901</v>
      </c>
      <c r="M96" s="5">
        <v>35</v>
      </c>
      <c r="N96">
        <v>0.01</v>
      </c>
      <c r="O96">
        <v>3.7</v>
      </c>
      <c r="P96">
        <v>36.799999999999997</v>
      </c>
      <c r="Q96" s="23">
        <v>1.06E-2</v>
      </c>
      <c r="R96" s="32">
        <v>3.7</v>
      </c>
      <c r="S96" s="41" t="s">
        <v>30</v>
      </c>
      <c r="T96" s="50">
        <v>3.013326824734203E-4</v>
      </c>
      <c r="U96" s="32">
        <v>23.515665178921999</v>
      </c>
      <c r="V96">
        <f t="shared" si="3"/>
        <v>0.01</v>
      </c>
      <c r="W96" s="41" t="s">
        <v>30</v>
      </c>
      <c r="X96" s="41" t="s">
        <v>30</v>
      </c>
      <c r="Y96" s="17">
        <v>0.82616279069767395</v>
      </c>
      <c r="Z96" s="40">
        <v>0.54634804386409797</v>
      </c>
      <c r="AA96" s="17"/>
    </row>
    <row r="97" spans="2:27" x14ac:dyDescent="0.3">
      <c r="B97" s="5">
        <v>66</v>
      </c>
      <c r="C97" s="5" t="s">
        <v>70</v>
      </c>
      <c r="D97">
        <f t="shared" ref="D97:D151" si="4">$C$17</f>
        <v>0.47</v>
      </c>
      <c r="E97">
        <f t="shared" ref="E97:E151" si="5">$C$20</f>
        <v>3.2100000000000002E-3</v>
      </c>
      <c r="F97">
        <f t="shared" ref="F97:F151" si="6">$C$18</f>
        <v>0.47</v>
      </c>
      <c r="G97">
        <v>1</v>
      </c>
      <c r="H97">
        <v>1</v>
      </c>
      <c r="I97" s="38">
        <v>1453.4435469125201</v>
      </c>
      <c r="J97">
        <v>7.54</v>
      </c>
      <c r="K97" s="17">
        <v>31.345901321470102</v>
      </c>
      <c r="L97" s="17">
        <v>31.345901321470102</v>
      </c>
      <c r="M97" s="5">
        <v>35</v>
      </c>
      <c r="N97">
        <v>0.01</v>
      </c>
      <c r="O97">
        <v>3.7</v>
      </c>
      <c r="P97">
        <v>30</v>
      </c>
      <c r="Q97" s="23">
        <v>1.06E-2</v>
      </c>
      <c r="R97" s="32">
        <v>3.7</v>
      </c>
      <c r="S97" s="41" t="s">
        <v>30</v>
      </c>
      <c r="T97" s="50">
        <v>1.4136514394490565E-4</v>
      </c>
      <c r="U97" s="32">
        <v>27.589406223202701</v>
      </c>
      <c r="V97">
        <f t="shared" ref="V97:V151" si="7">N97</f>
        <v>0.01</v>
      </c>
      <c r="W97" s="41" t="s">
        <v>30</v>
      </c>
      <c r="X97" s="41" t="s">
        <v>30</v>
      </c>
      <c r="Y97" s="17">
        <v>0.53273261264254601</v>
      </c>
      <c r="Z97" s="40">
        <v>0.35254661910358898</v>
      </c>
      <c r="AA97" s="17"/>
    </row>
    <row r="98" spans="2:27" x14ac:dyDescent="0.3">
      <c r="B98" s="5">
        <v>67</v>
      </c>
      <c r="C98" s="5" t="s">
        <v>70</v>
      </c>
      <c r="D98">
        <f t="shared" si="4"/>
        <v>0.47</v>
      </c>
      <c r="E98">
        <f t="shared" si="5"/>
        <v>3.2100000000000002E-3</v>
      </c>
      <c r="F98">
        <f t="shared" si="6"/>
        <v>0.47</v>
      </c>
      <c r="G98">
        <v>1</v>
      </c>
      <c r="H98">
        <v>1</v>
      </c>
      <c r="I98" s="38">
        <v>1455.73720615772</v>
      </c>
      <c r="J98">
        <v>7.54</v>
      </c>
      <c r="K98" s="17">
        <v>31.322746425374898</v>
      </c>
      <c r="L98" s="17">
        <v>31.322746425374898</v>
      </c>
      <c r="M98" s="5">
        <v>35</v>
      </c>
      <c r="N98">
        <v>0.01</v>
      </c>
      <c r="O98">
        <v>3.7</v>
      </c>
      <c r="P98">
        <v>30</v>
      </c>
      <c r="Q98" s="23">
        <v>1.06E-2</v>
      </c>
      <c r="R98" s="32">
        <v>3.7</v>
      </c>
      <c r="S98" s="41" t="s">
        <v>30</v>
      </c>
      <c r="T98" s="50">
        <v>1.603377448399406E-4</v>
      </c>
      <c r="U98" s="32">
        <v>27.0471676541687</v>
      </c>
      <c r="V98">
        <f t="shared" si="7"/>
        <v>0.01</v>
      </c>
      <c r="W98" s="41" t="s">
        <v>30</v>
      </c>
      <c r="X98" s="41" t="s">
        <v>30</v>
      </c>
      <c r="Y98" s="17">
        <v>0.57246514221974298</v>
      </c>
      <c r="Z98" s="40">
        <v>0.37834271318433899</v>
      </c>
      <c r="AA98" s="17"/>
    </row>
    <row r="99" spans="2:27" x14ac:dyDescent="0.3">
      <c r="B99" s="5">
        <v>68</v>
      </c>
      <c r="C99" s="5" t="s">
        <v>70</v>
      </c>
      <c r="D99">
        <f t="shared" si="4"/>
        <v>0.47</v>
      </c>
      <c r="E99">
        <f t="shared" si="5"/>
        <v>3.2100000000000002E-3</v>
      </c>
      <c r="F99">
        <f t="shared" si="6"/>
        <v>0.47</v>
      </c>
      <c r="G99">
        <v>1</v>
      </c>
      <c r="H99">
        <v>1</v>
      </c>
      <c r="I99" s="38">
        <v>1459.15913368152</v>
      </c>
      <c r="J99">
        <v>7.54</v>
      </c>
      <c r="K99" s="17">
        <v>31.2882979566869</v>
      </c>
      <c r="L99" s="17">
        <v>31.2882979566869</v>
      </c>
      <c r="M99" s="5">
        <v>35</v>
      </c>
      <c r="N99">
        <v>0.01</v>
      </c>
      <c r="O99">
        <v>3.7</v>
      </c>
      <c r="P99">
        <v>30</v>
      </c>
      <c r="Q99" s="23">
        <v>1.06E-2</v>
      </c>
      <c r="R99" s="32">
        <v>3.7</v>
      </c>
      <c r="S99" s="41" t="s">
        <v>30</v>
      </c>
      <c r="T99" s="50">
        <v>1.9950698539743228E-4</v>
      </c>
      <c r="U99" s="32">
        <v>26.2407615771439</v>
      </c>
      <c r="V99">
        <f t="shared" si="7"/>
        <v>0.01</v>
      </c>
      <c r="W99" s="41" t="s">
        <v>30</v>
      </c>
      <c r="X99" s="41" t="s">
        <v>30</v>
      </c>
      <c r="Y99" s="17">
        <v>0.62959748905317303</v>
      </c>
      <c r="Z99" s="40">
        <v>0.41670613515058302</v>
      </c>
      <c r="AA99" s="17"/>
    </row>
    <row r="100" spans="2:27" x14ac:dyDescent="0.3">
      <c r="B100" s="5">
        <v>69</v>
      </c>
      <c r="C100" s="5" t="s">
        <v>70</v>
      </c>
      <c r="D100">
        <f t="shared" si="4"/>
        <v>0.47</v>
      </c>
      <c r="E100">
        <f t="shared" si="5"/>
        <v>3.2100000000000002E-3</v>
      </c>
      <c r="F100">
        <f t="shared" si="6"/>
        <v>0.47</v>
      </c>
      <c r="G100">
        <v>1</v>
      </c>
      <c r="H100">
        <v>1</v>
      </c>
      <c r="I100" s="38">
        <v>1463.48457010728</v>
      </c>
      <c r="J100">
        <v>7.54</v>
      </c>
      <c r="K100" s="17">
        <v>31.244918302526202</v>
      </c>
      <c r="L100" s="17">
        <v>31.244918302526202</v>
      </c>
      <c r="M100" s="5">
        <v>35</v>
      </c>
      <c r="N100">
        <v>0.01</v>
      </c>
      <c r="O100">
        <v>3.7</v>
      </c>
      <c r="P100">
        <v>30</v>
      </c>
      <c r="Q100" s="23">
        <v>1.06E-2</v>
      </c>
      <c r="R100" s="32">
        <v>3.7</v>
      </c>
      <c r="S100" s="41" t="s">
        <v>30</v>
      </c>
      <c r="T100" s="50">
        <v>2.42756355179663E-4</v>
      </c>
      <c r="U100" s="32">
        <v>25.225802204336699</v>
      </c>
      <c r="V100">
        <f t="shared" si="7"/>
        <v>0.01</v>
      </c>
      <c r="W100" s="41" t="s">
        <v>30</v>
      </c>
      <c r="X100" s="41" t="s">
        <v>30</v>
      </c>
      <c r="Y100" s="17">
        <v>0.70316680708666002</v>
      </c>
      <c r="Z100" s="40">
        <v>0.46499113176327</v>
      </c>
      <c r="AA100" s="17"/>
    </row>
    <row r="101" spans="2:27" x14ac:dyDescent="0.3">
      <c r="B101" s="5">
        <v>70</v>
      </c>
      <c r="C101" s="5" t="s">
        <v>70</v>
      </c>
      <c r="D101">
        <f t="shared" si="4"/>
        <v>0.47</v>
      </c>
      <c r="E101">
        <f t="shared" si="5"/>
        <v>3.2100000000000002E-3</v>
      </c>
      <c r="F101">
        <f t="shared" si="6"/>
        <v>0.47</v>
      </c>
      <c r="G101">
        <v>1</v>
      </c>
      <c r="H101">
        <v>1</v>
      </c>
      <c r="I101" s="38">
        <v>1466.1017089054601</v>
      </c>
      <c r="J101">
        <v>7.54</v>
      </c>
      <c r="K101" s="17">
        <v>31.218759747711001</v>
      </c>
      <c r="L101" s="17">
        <v>31.218759747711001</v>
      </c>
      <c r="M101" s="5">
        <v>35</v>
      </c>
      <c r="N101">
        <v>0.01</v>
      </c>
      <c r="O101">
        <v>3.7</v>
      </c>
      <c r="P101">
        <v>30</v>
      </c>
      <c r="Q101" s="23">
        <v>1.06E-2</v>
      </c>
      <c r="R101" s="32">
        <v>3.7</v>
      </c>
      <c r="S101" s="41" t="s">
        <v>30</v>
      </c>
      <c r="T101" s="50">
        <v>2.8886181541921046E-4</v>
      </c>
      <c r="U101" s="32">
        <v>24.614045870041998</v>
      </c>
      <c r="V101">
        <f t="shared" si="7"/>
        <v>0.01</v>
      </c>
      <c r="W101" s="41" t="s">
        <v>30</v>
      </c>
      <c r="X101" s="41" t="s">
        <v>30</v>
      </c>
      <c r="Y101" s="17">
        <v>0.746548753426445</v>
      </c>
      <c r="Z101" s="40">
        <v>0.494094417392834</v>
      </c>
      <c r="AA101" s="17"/>
    </row>
    <row r="102" spans="2:27" x14ac:dyDescent="0.3">
      <c r="B102" s="5">
        <v>71</v>
      </c>
      <c r="C102" s="5" t="s">
        <v>70</v>
      </c>
      <c r="D102">
        <f t="shared" si="4"/>
        <v>0.47</v>
      </c>
      <c r="E102">
        <f t="shared" si="5"/>
        <v>3.2100000000000002E-3</v>
      </c>
      <c r="F102">
        <f t="shared" si="6"/>
        <v>0.47</v>
      </c>
      <c r="G102">
        <v>1</v>
      </c>
      <c r="H102">
        <v>1</v>
      </c>
      <c r="I102" s="38">
        <v>1455.6783212637699</v>
      </c>
      <c r="J102">
        <v>7.54</v>
      </c>
      <c r="K102" s="17">
        <v>31.323340228301898</v>
      </c>
      <c r="L102" s="17">
        <v>31.323340228301898</v>
      </c>
      <c r="M102" s="5">
        <v>35</v>
      </c>
      <c r="N102">
        <v>0.01</v>
      </c>
      <c r="O102">
        <v>3.7</v>
      </c>
      <c r="P102">
        <v>30</v>
      </c>
      <c r="Q102" s="23">
        <v>1.34E-2</v>
      </c>
      <c r="R102" s="32">
        <v>3.7</v>
      </c>
      <c r="S102" s="41" t="s">
        <v>30</v>
      </c>
      <c r="T102" s="50">
        <v>1.4187516009799806E-4</v>
      </c>
      <c r="U102" s="32">
        <v>27.061071207220898</v>
      </c>
      <c r="V102">
        <f t="shared" si="7"/>
        <v>0.01</v>
      </c>
      <c r="W102" s="41" t="s">
        <v>30</v>
      </c>
      <c r="X102" s="41" t="s">
        <v>30</v>
      </c>
      <c r="Y102" s="17">
        <v>0.57101422790758305</v>
      </c>
      <c r="Z102" s="40">
        <v>0.37768127487457598</v>
      </c>
      <c r="AA102" s="17"/>
    </row>
    <row r="103" spans="2:27" x14ac:dyDescent="0.3">
      <c r="B103" s="5">
        <v>72</v>
      </c>
      <c r="C103" s="5" t="s">
        <v>70</v>
      </c>
      <c r="D103">
        <f t="shared" si="4"/>
        <v>0.47</v>
      </c>
      <c r="E103">
        <f t="shared" si="5"/>
        <v>3.2100000000000002E-3</v>
      </c>
      <c r="F103">
        <f t="shared" si="6"/>
        <v>0.47</v>
      </c>
      <c r="G103">
        <v>1</v>
      </c>
      <c r="H103">
        <v>1</v>
      </c>
      <c r="I103" s="38">
        <v>1458.15480818009</v>
      </c>
      <c r="J103">
        <v>7.54</v>
      </c>
      <c r="K103" s="17">
        <v>31.298396531088201</v>
      </c>
      <c r="L103" s="17">
        <v>31.298396531088201</v>
      </c>
      <c r="M103" s="5">
        <v>35</v>
      </c>
      <c r="N103">
        <v>0.01</v>
      </c>
      <c r="O103">
        <v>3.7</v>
      </c>
      <c r="P103">
        <v>30</v>
      </c>
      <c r="Q103" s="23">
        <v>1.34E-2</v>
      </c>
      <c r="R103" s="32">
        <v>3.7</v>
      </c>
      <c r="S103" s="41" t="s">
        <v>30</v>
      </c>
      <c r="T103" s="50">
        <v>1.6023574160932197E-4</v>
      </c>
      <c r="U103" s="32">
        <v>26.4771219790305</v>
      </c>
      <c r="V103">
        <f t="shared" si="7"/>
        <v>0.01</v>
      </c>
      <c r="W103" s="41" t="s">
        <v>30</v>
      </c>
      <c r="X103" s="41" t="s">
        <v>30</v>
      </c>
      <c r="Y103" s="17">
        <v>0.61320145720354502</v>
      </c>
      <c r="Z103" s="40">
        <v>0.40546168388461501</v>
      </c>
      <c r="AA103" s="17"/>
    </row>
    <row r="104" spans="2:27" x14ac:dyDescent="0.3">
      <c r="B104" s="5">
        <v>73</v>
      </c>
      <c r="C104" s="5" t="s">
        <v>70</v>
      </c>
      <c r="D104">
        <f t="shared" si="4"/>
        <v>0.47</v>
      </c>
      <c r="E104">
        <f t="shared" si="5"/>
        <v>3.2100000000000002E-3</v>
      </c>
      <c r="F104">
        <f t="shared" si="6"/>
        <v>0.47</v>
      </c>
      <c r="G104">
        <v>1</v>
      </c>
      <c r="H104">
        <v>1</v>
      </c>
      <c r="I104" s="38">
        <v>1461.88233734902</v>
      </c>
      <c r="J104">
        <v>7.54</v>
      </c>
      <c r="K104" s="17">
        <v>31.260965704762999</v>
      </c>
      <c r="L104" s="17">
        <v>31.260965704762999</v>
      </c>
      <c r="M104" s="5">
        <v>35</v>
      </c>
      <c r="N104">
        <v>0.01</v>
      </c>
      <c r="O104">
        <v>3.7</v>
      </c>
      <c r="P104">
        <v>30</v>
      </c>
      <c r="Q104" s="23">
        <v>1.34E-2</v>
      </c>
      <c r="R104" s="32">
        <v>3.7</v>
      </c>
      <c r="S104" s="41" t="s">
        <v>30</v>
      </c>
      <c r="T104" s="50">
        <v>2.0246507908536795E-4</v>
      </c>
      <c r="U104" s="32">
        <v>25.601198136744902</v>
      </c>
      <c r="V104">
        <f t="shared" si="7"/>
        <v>0.01</v>
      </c>
      <c r="W104" s="41" t="s">
        <v>30</v>
      </c>
      <c r="X104" s="41" t="s">
        <v>30</v>
      </c>
      <c r="Y104" s="17">
        <v>0.67621981464560699</v>
      </c>
      <c r="Z104" s="40">
        <v>0.44713229739967297</v>
      </c>
      <c r="AA104" s="17"/>
    </row>
    <row r="105" spans="2:27" x14ac:dyDescent="0.3">
      <c r="B105" s="5">
        <v>74</v>
      </c>
      <c r="C105" s="5" t="s">
        <v>70</v>
      </c>
      <c r="D105">
        <f t="shared" si="4"/>
        <v>0.47</v>
      </c>
      <c r="E105">
        <f t="shared" si="5"/>
        <v>3.2100000000000002E-3</v>
      </c>
      <c r="F105">
        <f t="shared" si="6"/>
        <v>0.47</v>
      </c>
      <c r="G105">
        <v>1</v>
      </c>
      <c r="H105">
        <v>1</v>
      </c>
      <c r="I105" s="38">
        <v>1464.7921941570501</v>
      </c>
      <c r="J105">
        <v>7.54</v>
      </c>
      <c r="K105" s="17">
        <v>31.2318401461356</v>
      </c>
      <c r="L105" s="17">
        <v>31.2318401461356</v>
      </c>
      <c r="M105" s="5">
        <v>35</v>
      </c>
      <c r="N105">
        <v>0.01</v>
      </c>
      <c r="O105">
        <v>3.7</v>
      </c>
      <c r="P105">
        <v>30</v>
      </c>
      <c r="Q105" s="23">
        <v>1.34E-2</v>
      </c>
      <c r="R105" s="32">
        <v>3.7</v>
      </c>
      <c r="S105" s="41" t="s">
        <v>30</v>
      </c>
      <c r="T105" s="50">
        <v>2.4581645209821682E-4</v>
      </c>
      <c r="U105" s="32">
        <v>24.9199240371894</v>
      </c>
      <c r="V105">
        <f t="shared" si="7"/>
        <v>0.01</v>
      </c>
      <c r="W105" s="41" t="s">
        <v>30</v>
      </c>
      <c r="X105" s="41" t="s">
        <v>30</v>
      </c>
      <c r="Y105" s="17">
        <v>0.72475833916768495</v>
      </c>
      <c r="Z105" s="40">
        <v>0.479542774578052</v>
      </c>
      <c r="AA105" s="17"/>
    </row>
    <row r="106" spans="2:27" x14ac:dyDescent="0.3">
      <c r="B106" s="5">
        <v>75</v>
      </c>
      <c r="C106" s="5" t="s">
        <v>70</v>
      </c>
      <c r="D106">
        <f t="shared" si="4"/>
        <v>0.47</v>
      </c>
      <c r="E106">
        <f t="shared" si="5"/>
        <v>3.2100000000000002E-3</v>
      </c>
      <c r="F106">
        <f t="shared" si="6"/>
        <v>0.47</v>
      </c>
      <c r="G106">
        <v>1</v>
      </c>
      <c r="H106">
        <v>1</v>
      </c>
      <c r="I106" s="38">
        <v>1467.1149040159601</v>
      </c>
      <c r="J106">
        <v>7.54</v>
      </c>
      <c r="K106" s="17">
        <v>31.208650630708</v>
      </c>
      <c r="L106" s="17">
        <v>31.208650630708</v>
      </c>
      <c r="M106" s="5">
        <v>35</v>
      </c>
      <c r="N106">
        <v>0.01</v>
      </c>
      <c r="O106">
        <v>3.7</v>
      </c>
      <c r="P106">
        <v>30</v>
      </c>
      <c r="Q106" s="23">
        <v>1.34E-2</v>
      </c>
      <c r="R106" s="32">
        <v>3.7</v>
      </c>
      <c r="S106" s="41" t="s">
        <v>30</v>
      </c>
      <c r="T106" s="50">
        <v>2.9110588649281665E-4</v>
      </c>
      <c r="U106" s="32">
        <v>24.377685468155398</v>
      </c>
      <c r="V106">
        <f t="shared" si="7"/>
        <v>0.01</v>
      </c>
      <c r="W106" s="41" t="s">
        <v>30</v>
      </c>
      <c r="X106" s="41" t="s">
        <v>30</v>
      </c>
      <c r="Y106" s="17">
        <v>0.76396945568463603</v>
      </c>
      <c r="Z106" s="40">
        <v>0.50533886865880195</v>
      </c>
      <c r="AA106" s="17"/>
    </row>
    <row r="107" spans="2:27" x14ac:dyDescent="0.3">
      <c r="B107" s="5">
        <v>76</v>
      </c>
      <c r="C107" s="5" t="s">
        <v>70</v>
      </c>
      <c r="D107">
        <f t="shared" si="4"/>
        <v>0.47</v>
      </c>
      <c r="E107">
        <f t="shared" si="5"/>
        <v>3.2100000000000002E-3</v>
      </c>
      <c r="F107">
        <f t="shared" si="6"/>
        <v>0.47</v>
      </c>
      <c r="G107">
        <v>1</v>
      </c>
      <c r="H107">
        <v>1</v>
      </c>
      <c r="I107" s="38">
        <v>1448.46475225883</v>
      </c>
      <c r="J107">
        <v>7.54</v>
      </c>
      <c r="K107" s="17">
        <v>31.396342836677</v>
      </c>
      <c r="L107" s="17">
        <v>31.396342836677</v>
      </c>
      <c r="M107" s="5">
        <v>35</v>
      </c>
      <c r="N107">
        <v>0.01</v>
      </c>
      <c r="O107">
        <v>3.7</v>
      </c>
      <c r="P107">
        <v>36.799999999999997</v>
      </c>
      <c r="Q107" s="23">
        <v>1.06E-2</v>
      </c>
      <c r="R107" s="32">
        <v>3.7</v>
      </c>
      <c r="S107" s="41" t="s">
        <v>30</v>
      </c>
      <c r="T107" s="50">
        <v>1.3850165557651551E-4</v>
      </c>
      <c r="U107" s="32">
        <v>28.771208232635601</v>
      </c>
      <c r="V107">
        <f t="shared" si="7"/>
        <v>0.01</v>
      </c>
      <c r="W107" s="41" t="s">
        <v>30</v>
      </c>
      <c r="X107" s="41" t="s">
        <v>30</v>
      </c>
      <c r="Y107" s="17">
        <v>0.44782760380201903</v>
      </c>
      <c r="Z107" s="40">
        <v>0.29632436277374802</v>
      </c>
      <c r="AA107" s="17"/>
    </row>
    <row r="108" spans="2:27" x14ac:dyDescent="0.3">
      <c r="B108" s="5">
        <v>77</v>
      </c>
      <c r="C108" s="5" t="s">
        <v>70</v>
      </c>
      <c r="D108">
        <f t="shared" si="4"/>
        <v>0.47</v>
      </c>
      <c r="E108">
        <f t="shared" si="5"/>
        <v>3.2100000000000002E-3</v>
      </c>
      <c r="F108">
        <f t="shared" si="6"/>
        <v>0.47</v>
      </c>
      <c r="G108">
        <v>1</v>
      </c>
      <c r="H108">
        <v>1</v>
      </c>
      <c r="I108" s="38">
        <v>1452.32823999672</v>
      </c>
      <c r="J108">
        <v>7.54</v>
      </c>
      <c r="K108" s="17">
        <v>31.357179371468799</v>
      </c>
      <c r="L108" s="17">
        <v>31.357179371468799</v>
      </c>
      <c r="M108" s="5">
        <v>35</v>
      </c>
      <c r="N108">
        <v>0.01</v>
      </c>
      <c r="O108">
        <v>3.7</v>
      </c>
      <c r="P108">
        <v>36.799999999999997</v>
      </c>
      <c r="Q108" s="23">
        <v>1.06E-2</v>
      </c>
      <c r="R108" s="32">
        <v>3.7</v>
      </c>
      <c r="S108" s="41" t="s">
        <v>30</v>
      </c>
      <c r="T108" s="50">
        <v>1.7819309998160789E-4</v>
      </c>
      <c r="U108" s="32">
        <v>27.853573731193599</v>
      </c>
      <c r="V108">
        <f t="shared" si="7"/>
        <v>0.01</v>
      </c>
      <c r="W108" s="41" t="s">
        <v>30</v>
      </c>
      <c r="X108" s="41" t="s">
        <v>30</v>
      </c>
      <c r="Y108" s="17">
        <v>0.51428439202097898</v>
      </c>
      <c r="Z108" s="40">
        <v>0.339979291218095</v>
      </c>
      <c r="AA108" s="17"/>
    </row>
    <row r="109" spans="2:27" x14ac:dyDescent="0.3">
      <c r="B109" s="5">
        <v>78</v>
      </c>
      <c r="C109" s="5" t="s">
        <v>70</v>
      </c>
      <c r="D109">
        <f t="shared" si="4"/>
        <v>0.47</v>
      </c>
      <c r="E109">
        <f t="shared" si="5"/>
        <v>3.2100000000000002E-3</v>
      </c>
      <c r="F109">
        <f t="shared" si="6"/>
        <v>0.47</v>
      </c>
      <c r="G109">
        <v>1</v>
      </c>
      <c r="H109">
        <v>1</v>
      </c>
      <c r="I109" s="38">
        <v>1454.3250313214301</v>
      </c>
      <c r="J109">
        <v>7.54</v>
      </c>
      <c r="K109" s="17">
        <v>31.336996422338501</v>
      </c>
      <c r="L109" s="17">
        <v>31.336996422338501</v>
      </c>
      <c r="M109" s="5">
        <v>35</v>
      </c>
      <c r="N109">
        <v>0.01</v>
      </c>
      <c r="O109">
        <v>3.7</v>
      </c>
      <c r="P109">
        <v>36.799999999999997</v>
      </c>
      <c r="Q109" s="23">
        <v>1.06E-2</v>
      </c>
      <c r="R109" s="32">
        <v>3.7</v>
      </c>
      <c r="S109" s="41" t="s">
        <v>30</v>
      </c>
      <c r="T109" s="50">
        <v>1.9824236805289814E-4</v>
      </c>
      <c r="U109" s="32">
        <v>27.380852927420399</v>
      </c>
      <c r="V109">
        <f t="shared" si="7"/>
        <v>0.01</v>
      </c>
      <c r="W109" s="41" t="s">
        <v>30</v>
      </c>
      <c r="X109" s="41" t="s">
        <v>30</v>
      </c>
      <c r="Y109" s="17">
        <v>0.54837144450641295</v>
      </c>
      <c r="Z109" s="40">
        <v>0.36246819375003098</v>
      </c>
      <c r="AA109" s="17"/>
    </row>
    <row r="110" spans="2:27" x14ac:dyDescent="0.3">
      <c r="B110" s="5">
        <v>79</v>
      </c>
      <c r="C110" s="5" t="s">
        <v>70</v>
      </c>
      <c r="D110">
        <f t="shared" si="4"/>
        <v>0.47</v>
      </c>
      <c r="E110">
        <f t="shared" si="5"/>
        <v>3.2100000000000002E-3</v>
      </c>
      <c r="F110">
        <f t="shared" si="6"/>
        <v>0.47</v>
      </c>
      <c r="G110">
        <v>1</v>
      </c>
      <c r="H110">
        <v>1</v>
      </c>
      <c r="I110" s="38">
        <v>1457.5055461560301</v>
      </c>
      <c r="J110">
        <v>7.54</v>
      </c>
      <c r="K110" s="17">
        <v>31.304930191376901</v>
      </c>
      <c r="L110" s="17">
        <v>31.304930191376901</v>
      </c>
      <c r="M110" s="5">
        <v>35</v>
      </c>
      <c r="N110">
        <v>0.01</v>
      </c>
      <c r="O110">
        <v>3.7</v>
      </c>
      <c r="P110">
        <v>36.799999999999997</v>
      </c>
      <c r="Q110" s="23">
        <v>1.06E-2</v>
      </c>
      <c r="R110" s="32">
        <v>3.7</v>
      </c>
      <c r="S110" s="41" t="s">
        <v>30</v>
      </c>
      <c r="T110" s="50">
        <v>2.399692711454309E-4</v>
      </c>
      <c r="U110" s="32">
        <v>26.630061062604199</v>
      </c>
      <c r="V110">
        <f t="shared" si="7"/>
        <v>0.01</v>
      </c>
      <c r="W110" s="41" t="s">
        <v>30</v>
      </c>
      <c r="X110" s="41" t="s">
        <v>30</v>
      </c>
      <c r="Y110" s="17">
        <v>0.60157432568736502</v>
      </c>
      <c r="Z110" s="40">
        <v>0.39818586247722398</v>
      </c>
      <c r="AA110" s="17"/>
    </row>
    <row r="111" spans="2:27" x14ac:dyDescent="0.3">
      <c r="B111" s="5">
        <v>80</v>
      </c>
      <c r="C111" s="5" t="s">
        <v>70</v>
      </c>
      <c r="D111">
        <f t="shared" si="4"/>
        <v>0.47</v>
      </c>
      <c r="E111">
        <f t="shared" si="5"/>
        <v>3.2100000000000002E-3</v>
      </c>
      <c r="F111">
        <f t="shared" si="6"/>
        <v>0.47</v>
      </c>
      <c r="G111">
        <v>1</v>
      </c>
      <c r="H111">
        <v>1</v>
      </c>
      <c r="I111" s="38">
        <v>1460.57891094515</v>
      </c>
      <c r="J111">
        <v>7.54</v>
      </c>
      <c r="K111" s="17">
        <v>31.274038872037099</v>
      </c>
      <c r="L111" s="17">
        <v>31.274038872037099</v>
      </c>
      <c r="M111" s="5">
        <v>35</v>
      </c>
      <c r="N111">
        <v>0.01</v>
      </c>
      <c r="O111">
        <v>3.7</v>
      </c>
      <c r="P111">
        <v>36.799999999999997</v>
      </c>
      <c r="Q111" s="23">
        <v>1.06E-2</v>
      </c>
      <c r="R111" s="32">
        <v>3.7</v>
      </c>
      <c r="S111" s="41" t="s">
        <v>30</v>
      </c>
      <c r="T111" s="50">
        <v>2.8759900443154181E-4</v>
      </c>
      <c r="U111" s="32">
        <v>25.9070763038922</v>
      </c>
      <c r="V111">
        <f t="shared" si="7"/>
        <v>0.01</v>
      </c>
      <c r="W111" s="41" t="s">
        <v>30</v>
      </c>
      <c r="X111" s="41" t="s">
        <v>30</v>
      </c>
      <c r="Y111" s="17">
        <v>0.65427952676484202</v>
      </c>
      <c r="Z111" s="40">
        <v>0.43258065458489098</v>
      </c>
      <c r="AA111" s="17"/>
    </row>
    <row r="112" spans="2:27" x14ac:dyDescent="0.3">
      <c r="B112" s="5">
        <v>81</v>
      </c>
      <c r="C112" s="5" t="s">
        <v>72</v>
      </c>
      <c r="D112">
        <f t="shared" si="4"/>
        <v>0.47</v>
      </c>
      <c r="E112">
        <f t="shared" si="5"/>
        <v>3.2100000000000002E-3</v>
      </c>
      <c r="F112">
        <f t="shared" si="6"/>
        <v>0.47</v>
      </c>
      <c r="G112">
        <v>1</v>
      </c>
      <c r="H112">
        <v>1</v>
      </c>
      <c r="I112" s="38">
        <v>1469.3240119902</v>
      </c>
      <c r="J112">
        <v>7.54</v>
      </c>
      <c r="K112" s="17">
        <v>31.186643801830598</v>
      </c>
      <c r="L112" s="17">
        <v>31.186643801830598</v>
      </c>
      <c r="M112" s="5">
        <v>35</v>
      </c>
      <c r="N112">
        <v>0.01</v>
      </c>
      <c r="O112">
        <v>3.7</v>
      </c>
      <c r="P112">
        <v>30</v>
      </c>
      <c r="Q112" s="23">
        <v>1.06E-2</v>
      </c>
      <c r="R112" s="32">
        <v>3.7</v>
      </c>
      <c r="S112" s="41" t="s">
        <v>30</v>
      </c>
      <c r="T112" s="50">
        <v>1.4332680079644469E-4</v>
      </c>
      <c r="U112" s="32">
        <v>23.863254005225802</v>
      </c>
      <c r="V112">
        <f t="shared" si="7"/>
        <v>0.01</v>
      </c>
      <c r="W112" s="41" t="s">
        <v>30</v>
      </c>
      <c r="X112" s="41" t="s">
        <v>30</v>
      </c>
      <c r="Y112" s="17">
        <v>0.80066412563807599</v>
      </c>
      <c r="Z112" s="40">
        <v>0.52981208612002695</v>
      </c>
      <c r="AA112" s="17"/>
    </row>
    <row r="113" spans="2:27" x14ac:dyDescent="0.3">
      <c r="B113" s="5">
        <v>82</v>
      </c>
      <c r="C113" s="5" t="s">
        <v>72</v>
      </c>
      <c r="D113">
        <f t="shared" si="4"/>
        <v>0.47</v>
      </c>
      <c r="E113">
        <f t="shared" si="5"/>
        <v>3.2100000000000002E-3</v>
      </c>
      <c r="F113">
        <f t="shared" si="6"/>
        <v>0.47</v>
      </c>
      <c r="G113">
        <v>1</v>
      </c>
      <c r="H113">
        <v>1</v>
      </c>
      <c r="I113" s="38">
        <v>1468.8459113778099</v>
      </c>
      <c r="J113">
        <v>7.54</v>
      </c>
      <c r="K113" s="17">
        <v>31.191402573282701</v>
      </c>
      <c r="L113" s="17">
        <v>31.191402573282701</v>
      </c>
      <c r="M113" s="5">
        <v>35</v>
      </c>
      <c r="N113">
        <v>0.01</v>
      </c>
      <c r="O113">
        <v>3.7</v>
      </c>
      <c r="P113">
        <v>30</v>
      </c>
      <c r="Q113" s="23">
        <v>1.06E-2</v>
      </c>
      <c r="R113" s="32">
        <v>3.7</v>
      </c>
      <c r="S113" s="41" t="s">
        <v>30</v>
      </c>
      <c r="T113" s="50">
        <v>1.6120014794209419E-4</v>
      </c>
      <c r="U113" s="32">
        <v>23.974482429643</v>
      </c>
      <c r="V113">
        <f t="shared" si="7"/>
        <v>0.01</v>
      </c>
      <c r="W113" s="41" t="s">
        <v>30</v>
      </c>
      <c r="X113" s="41" t="s">
        <v>30</v>
      </c>
      <c r="Y113" s="17">
        <v>0.79324167587601502</v>
      </c>
      <c r="Z113" s="40">
        <v>0.524520579641924</v>
      </c>
      <c r="AA113" s="17"/>
    </row>
    <row r="114" spans="2:27" x14ac:dyDescent="0.3">
      <c r="B114" s="5">
        <v>83</v>
      </c>
      <c r="C114" s="5" t="s">
        <v>72</v>
      </c>
      <c r="D114">
        <f t="shared" si="4"/>
        <v>0.47</v>
      </c>
      <c r="E114">
        <f t="shared" si="5"/>
        <v>3.2100000000000002E-3</v>
      </c>
      <c r="F114">
        <f t="shared" si="6"/>
        <v>0.47</v>
      </c>
      <c r="G114">
        <v>1</v>
      </c>
      <c r="H114">
        <v>1</v>
      </c>
      <c r="I114" s="38">
        <v>1470.9993477125599</v>
      </c>
      <c r="J114">
        <v>7.54</v>
      </c>
      <c r="K114" s="17">
        <v>31.1699857621539</v>
      </c>
      <c r="L114" s="17">
        <v>31.1699857621539</v>
      </c>
      <c r="M114" s="5">
        <v>35</v>
      </c>
      <c r="N114">
        <v>0.01</v>
      </c>
      <c r="O114">
        <v>3.7</v>
      </c>
      <c r="P114">
        <v>30</v>
      </c>
      <c r="Q114" s="23">
        <v>1.06E-2</v>
      </c>
      <c r="R114" s="32">
        <v>3.7</v>
      </c>
      <c r="S114" s="41" t="s">
        <v>30</v>
      </c>
      <c r="T114" s="50">
        <v>2.0164515644815502E-4</v>
      </c>
      <c r="U114" s="32">
        <v>23.473954519765499</v>
      </c>
      <c r="V114">
        <f t="shared" si="7"/>
        <v>0.01</v>
      </c>
      <c r="W114" s="41" t="s">
        <v>30</v>
      </c>
      <c r="X114" s="41" t="s">
        <v>30</v>
      </c>
      <c r="Y114" s="17">
        <v>0.82867197425892902</v>
      </c>
      <c r="Z114" s="40">
        <v>0.54833235879338604</v>
      </c>
      <c r="AA114" s="17"/>
    </row>
    <row r="115" spans="2:27" x14ac:dyDescent="0.3">
      <c r="B115" s="5">
        <v>84</v>
      </c>
      <c r="C115" s="5" t="s">
        <v>72</v>
      </c>
      <c r="D115">
        <f t="shared" si="4"/>
        <v>0.47</v>
      </c>
      <c r="E115">
        <f t="shared" si="5"/>
        <v>3.2100000000000002E-3</v>
      </c>
      <c r="F115">
        <f t="shared" si="6"/>
        <v>0.47</v>
      </c>
      <c r="G115">
        <v>1</v>
      </c>
      <c r="H115">
        <v>1</v>
      </c>
      <c r="I115" s="38">
        <v>1471.0592382621401</v>
      </c>
      <c r="J115">
        <v>7.54</v>
      </c>
      <c r="K115" s="17">
        <v>31.1693907648345</v>
      </c>
      <c r="L115" s="17">
        <v>31.1693907648345</v>
      </c>
      <c r="M115" s="5">
        <v>35</v>
      </c>
      <c r="N115">
        <v>0.01</v>
      </c>
      <c r="O115">
        <v>3.7</v>
      </c>
      <c r="P115">
        <v>30</v>
      </c>
      <c r="Q115" s="23">
        <v>1.06E-2</v>
      </c>
      <c r="R115" s="32">
        <v>3.7</v>
      </c>
      <c r="S115" s="41" t="s">
        <v>30</v>
      </c>
      <c r="T115" s="50">
        <v>2.4385335695488518E-4</v>
      </c>
      <c r="U115" s="32">
        <v>23.4600509667134</v>
      </c>
      <c r="V115">
        <f t="shared" si="7"/>
        <v>0.01</v>
      </c>
      <c r="W115" s="41" t="s">
        <v>30</v>
      </c>
      <c r="X115" s="41" t="s">
        <v>30</v>
      </c>
      <c r="Y115" s="17">
        <v>0.83037671876526997</v>
      </c>
      <c r="Z115" s="40">
        <v>0.54899379710314899</v>
      </c>
      <c r="AA115" s="17"/>
    </row>
    <row r="116" spans="2:27" x14ac:dyDescent="0.3">
      <c r="B116" s="5">
        <v>85</v>
      </c>
      <c r="C116" s="5" t="s">
        <v>72</v>
      </c>
      <c r="D116">
        <f t="shared" si="4"/>
        <v>0.47</v>
      </c>
      <c r="E116">
        <f t="shared" si="5"/>
        <v>3.2100000000000002E-3</v>
      </c>
      <c r="F116">
        <f t="shared" si="6"/>
        <v>0.47</v>
      </c>
      <c r="G116">
        <v>1</v>
      </c>
      <c r="H116">
        <v>1</v>
      </c>
      <c r="I116" s="38">
        <v>1471.7182946652999</v>
      </c>
      <c r="J116">
        <v>7.54</v>
      </c>
      <c r="K116" s="17">
        <v>31.1628454877462</v>
      </c>
      <c r="L116" s="17">
        <v>31.1628454877462</v>
      </c>
      <c r="M116" s="5">
        <v>35</v>
      </c>
      <c r="N116">
        <v>0.01</v>
      </c>
      <c r="O116">
        <v>3.7</v>
      </c>
      <c r="P116">
        <v>30</v>
      </c>
      <c r="Q116" s="23">
        <v>1.06E-2</v>
      </c>
      <c r="R116" s="32">
        <v>3.7</v>
      </c>
      <c r="S116" s="41" t="s">
        <v>30</v>
      </c>
      <c r="T116" s="50">
        <v>2.910890905022329E-4</v>
      </c>
      <c r="U116" s="32">
        <v>23.307111883139701</v>
      </c>
      <c r="V116">
        <f t="shared" si="7"/>
        <v>0.01</v>
      </c>
      <c r="W116" s="41" t="s">
        <v>30</v>
      </c>
      <c r="X116" s="41" t="s">
        <v>30</v>
      </c>
      <c r="Y116" s="17">
        <v>0.84121996436545698</v>
      </c>
      <c r="Z116" s="40">
        <v>0.55626961851054002</v>
      </c>
      <c r="AA116" s="17"/>
    </row>
    <row r="117" spans="2:27" x14ac:dyDescent="0.3">
      <c r="B117" s="5">
        <v>86</v>
      </c>
      <c r="C117" s="5" t="s">
        <v>72</v>
      </c>
      <c r="D117">
        <f t="shared" si="4"/>
        <v>0.47</v>
      </c>
      <c r="E117">
        <f t="shared" si="5"/>
        <v>3.2100000000000002E-3</v>
      </c>
      <c r="F117">
        <f t="shared" si="6"/>
        <v>0.47</v>
      </c>
      <c r="G117">
        <v>1</v>
      </c>
      <c r="H117">
        <v>1</v>
      </c>
      <c r="I117" s="38">
        <v>1470.1014624617901</v>
      </c>
      <c r="J117">
        <v>7.54</v>
      </c>
      <c r="K117" s="17">
        <v>31.178910164661399</v>
      </c>
      <c r="L117" s="17">
        <v>31.178910164661399</v>
      </c>
      <c r="M117" s="5">
        <v>35</v>
      </c>
      <c r="N117">
        <v>0.01</v>
      </c>
      <c r="O117">
        <v>3.7</v>
      </c>
      <c r="P117">
        <v>30</v>
      </c>
      <c r="Q117" s="23">
        <v>1.34E-2</v>
      </c>
      <c r="R117" s="32">
        <v>3.7</v>
      </c>
      <c r="S117" s="41" t="s">
        <v>30</v>
      </c>
      <c r="T117" s="50">
        <v>1.4249842533462509E-4</v>
      </c>
      <c r="U117" s="32">
        <v>23.682507815547801</v>
      </c>
      <c r="V117">
        <f t="shared" si="7"/>
        <v>0.01</v>
      </c>
      <c r="W117" s="41" t="s">
        <v>30</v>
      </c>
      <c r="X117" s="41" t="s">
        <v>30</v>
      </c>
      <c r="Y117" s="17">
        <v>0.813882646579008</v>
      </c>
      <c r="Z117" s="40">
        <v>0.53841078414694399</v>
      </c>
      <c r="AA117" s="17"/>
    </row>
    <row r="118" spans="2:27" x14ac:dyDescent="0.3">
      <c r="B118" s="5">
        <v>87</v>
      </c>
      <c r="C118" s="5" t="s">
        <v>72</v>
      </c>
      <c r="D118">
        <f t="shared" si="4"/>
        <v>0.47</v>
      </c>
      <c r="E118">
        <f t="shared" si="5"/>
        <v>3.2100000000000002E-3</v>
      </c>
      <c r="F118">
        <f t="shared" si="6"/>
        <v>0.47</v>
      </c>
      <c r="G118">
        <v>1</v>
      </c>
      <c r="H118">
        <v>1</v>
      </c>
      <c r="I118" s="38">
        <v>1470.5203652437699</v>
      </c>
      <c r="J118">
        <v>7.54</v>
      </c>
      <c r="K118" s="17">
        <v>31.174745573513899</v>
      </c>
      <c r="L118" s="17">
        <v>31.174745573513899</v>
      </c>
      <c r="M118" s="5">
        <v>35</v>
      </c>
      <c r="N118">
        <v>0.01</v>
      </c>
      <c r="O118">
        <v>3.7</v>
      </c>
      <c r="P118">
        <v>30</v>
      </c>
      <c r="Q118" s="23">
        <v>1.34E-2</v>
      </c>
      <c r="R118" s="32">
        <v>3.7</v>
      </c>
      <c r="S118" s="41" t="s">
        <v>30</v>
      </c>
      <c r="T118" s="50">
        <v>1.5923485744832798E-4</v>
      </c>
      <c r="U118" s="32">
        <v>23.585182944182701</v>
      </c>
      <c r="V118">
        <f t="shared" si="7"/>
        <v>0.01</v>
      </c>
      <c r="W118" s="41" t="s">
        <v>30</v>
      </c>
      <c r="X118" s="41" t="s">
        <v>30</v>
      </c>
      <c r="Y118" s="17">
        <v>0.82054362976160899</v>
      </c>
      <c r="Z118" s="40">
        <v>0.54304085231528298</v>
      </c>
      <c r="AA118" s="17"/>
    </row>
    <row r="119" spans="2:27" x14ac:dyDescent="0.3">
      <c r="B119" s="5">
        <v>88</v>
      </c>
      <c r="C119" s="5" t="s">
        <v>72</v>
      </c>
      <c r="D119">
        <f t="shared" si="4"/>
        <v>0.47</v>
      </c>
      <c r="E119">
        <f t="shared" si="5"/>
        <v>3.2100000000000002E-3</v>
      </c>
      <c r="F119">
        <f t="shared" si="6"/>
        <v>0.47</v>
      </c>
      <c r="G119">
        <v>1</v>
      </c>
      <c r="H119">
        <v>1</v>
      </c>
      <c r="I119" s="38">
        <v>1470.9993477125599</v>
      </c>
      <c r="J119">
        <v>7.54</v>
      </c>
      <c r="K119" s="17">
        <v>31.1699857621539</v>
      </c>
      <c r="L119" s="17">
        <v>31.1699857621539</v>
      </c>
      <c r="M119" s="5">
        <v>35</v>
      </c>
      <c r="N119">
        <v>0.01</v>
      </c>
      <c r="O119">
        <v>3.7</v>
      </c>
      <c r="P119">
        <v>30</v>
      </c>
      <c r="Q119" s="23">
        <v>1.34E-2</v>
      </c>
      <c r="R119" s="32">
        <v>3.7</v>
      </c>
      <c r="S119" s="41" t="s">
        <v>30</v>
      </c>
      <c r="T119" s="50">
        <v>2.0102890194079794E-4</v>
      </c>
      <c r="U119" s="32">
        <v>23.473954519765499</v>
      </c>
      <c r="V119">
        <f t="shared" si="7"/>
        <v>0.01</v>
      </c>
      <c r="W119" s="41" t="s">
        <v>30</v>
      </c>
      <c r="X119" s="41" t="s">
        <v>30</v>
      </c>
      <c r="Y119" s="17">
        <v>0.828795868197298</v>
      </c>
      <c r="Z119" s="40">
        <v>0.54833235879338604</v>
      </c>
      <c r="AA119" s="17"/>
    </row>
    <row r="120" spans="2:27" x14ac:dyDescent="0.3">
      <c r="B120" s="5">
        <v>89</v>
      </c>
      <c r="C120" s="5" t="s">
        <v>72</v>
      </c>
      <c r="D120">
        <f t="shared" si="4"/>
        <v>0.47</v>
      </c>
      <c r="E120">
        <f t="shared" si="5"/>
        <v>3.2100000000000002E-3</v>
      </c>
      <c r="F120">
        <f t="shared" si="6"/>
        <v>0.47</v>
      </c>
      <c r="G120">
        <v>1</v>
      </c>
      <c r="H120">
        <v>1</v>
      </c>
      <c r="I120" s="38">
        <v>1472.07798127098</v>
      </c>
      <c r="J120">
        <v>7.54</v>
      </c>
      <c r="K120" s="17">
        <v>31.1592750996716</v>
      </c>
      <c r="L120" s="17">
        <v>31.1592750996716</v>
      </c>
      <c r="M120" s="5">
        <v>35</v>
      </c>
      <c r="N120">
        <v>0.01</v>
      </c>
      <c r="O120">
        <v>3.7</v>
      </c>
      <c r="P120">
        <v>30</v>
      </c>
      <c r="Q120" s="23">
        <v>1.34E-2</v>
      </c>
      <c r="R120" s="32">
        <v>3.7</v>
      </c>
      <c r="S120" s="41" t="s">
        <v>30</v>
      </c>
      <c r="T120" s="50">
        <v>2.408667903346703E-4</v>
      </c>
      <c r="U120" s="32">
        <v>23.2236905648268</v>
      </c>
      <c r="V120">
        <f t="shared" si="7"/>
        <v>0.01</v>
      </c>
      <c r="W120" s="41" t="s">
        <v>30</v>
      </c>
      <c r="X120" s="41" t="s">
        <v>30</v>
      </c>
      <c r="Y120" s="17">
        <v>0.84656129667636404</v>
      </c>
      <c r="Z120" s="40">
        <v>0.56023824836911695</v>
      </c>
      <c r="AA120" s="17"/>
    </row>
    <row r="121" spans="2:27" x14ac:dyDescent="0.3">
      <c r="B121" s="5">
        <v>90</v>
      </c>
      <c r="C121" s="5" t="s">
        <v>72</v>
      </c>
      <c r="D121">
        <f t="shared" si="4"/>
        <v>0.47</v>
      </c>
      <c r="E121">
        <f t="shared" si="5"/>
        <v>3.2100000000000002E-3</v>
      </c>
      <c r="F121">
        <f t="shared" si="6"/>
        <v>0.47</v>
      </c>
      <c r="G121">
        <v>1</v>
      </c>
      <c r="H121">
        <v>1</v>
      </c>
      <c r="I121" s="38">
        <v>1472.31785133059</v>
      </c>
      <c r="J121">
        <v>7.54</v>
      </c>
      <c r="K121" s="17">
        <v>31.156894748022701</v>
      </c>
      <c r="L121" s="17">
        <v>31.156894748022701</v>
      </c>
      <c r="M121" s="5">
        <v>35</v>
      </c>
      <c r="N121">
        <v>0.01</v>
      </c>
      <c r="O121">
        <v>3.7</v>
      </c>
      <c r="P121">
        <v>30</v>
      </c>
      <c r="Q121" s="23">
        <v>1.34E-2</v>
      </c>
      <c r="R121" s="32">
        <v>3.7</v>
      </c>
      <c r="S121" s="41" t="s">
        <v>30</v>
      </c>
      <c r="T121" s="51">
        <v>2.8810582241360665E-4</v>
      </c>
      <c r="U121" s="35">
        <v>23.168076352618201</v>
      </c>
      <c r="V121">
        <f t="shared" si="7"/>
        <v>0.01</v>
      </c>
      <c r="W121" s="41" t="s">
        <v>30</v>
      </c>
      <c r="X121" s="41" t="s">
        <v>30</v>
      </c>
      <c r="Y121" s="17">
        <v>0.85098082200019498</v>
      </c>
      <c r="Z121" s="40">
        <v>0.56288400160816798</v>
      </c>
      <c r="AA121" s="17"/>
    </row>
    <row r="122" spans="2:27" x14ac:dyDescent="0.3">
      <c r="B122" s="5">
        <v>91</v>
      </c>
      <c r="C122" s="5" t="s">
        <v>72</v>
      </c>
      <c r="D122">
        <f t="shared" si="4"/>
        <v>0.47</v>
      </c>
      <c r="E122">
        <f t="shared" si="5"/>
        <v>3.2100000000000002E-3</v>
      </c>
      <c r="F122">
        <f t="shared" si="6"/>
        <v>0.47</v>
      </c>
      <c r="G122">
        <v>1</v>
      </c>
      <c r="H122">
        <v>1</v>
      </c>
      <c r="I122" s="38">
        <v>1465.8039257002899</v>
      </c>
      <c r="J122">
        <v>7.54</v>
      </c>
      <c r="K122" s="17">
        <v>31.221732762472701</v>
      </c>
      <c r="L122" s="17">
        <v>31.221732762472701</v>
      </c>
      <c r="M122" s="5">
        <v>35</v>
      </c>
      <c r="N122">
        <v>0.01</v>
      </c>
      <c r="O122">
        <v>3.7</v>
      </c>
      <c r="P122">
        <v>36.799999999999997</v>
      </c>
      <c r="Q122" s="23">
        <v>1.06E-2</v>
      </c>
      <c r="R122" s="32">
        <v>3.7</v>
      </c>
      <c r="S122" s="41" t="s">
        <v>30</v>
      </c>
      <c r="T122" s="51">
        <v>1.4262346638110423E-4</v>
      </c>
      <c r="U122" s="35">
        <v>24.6835636353028</v>
      </c>
      <c r="V122">
        <f t="shared" si="7"/>
        <v>0.01</v>
      </c>
      <c r="W122" s="41" t="s">
        <v>30</v>
      </c>
      <c r="X122" s="41" t="s">
        <v>30</v>
      </c>
      <c r="Y122" s="17">
        <v>0.74186261906372797</v>
      </c>
      <c r="Z122" s="40">
        <v>0.49078722584402001</v>
      </c>
      <c r="AA122" s="17"/>
    </row>
    <row r="123" spans="2:27" x14ac:dyDescent="0.3">
      <c r="B123" s="5">
        <v>92</v>
      </c>
      <c r="C123" s="5" t="s">
        <v>72</v>
      </c>
      <c r="D123">
        <f t="shared" si="4"/>
        <v>0.47</v>
      </c>
      <c r="E123">
        <f t="shared" si="5"/>
        <v>3.2100000000000002E-3</v>
      </c>
      <c r="F123">
        <f t="shared" si="6"/>
        <v>0.47</v>
      </c>
      <c r="G123">
        <v>1</v>
      </c>
      <c r="H123">
        <v>1</v>
      </c>
      <c r="I123" s="38">
        <v>1468.0098404873299</v>
      </c>
      <c r="J123">
        <v>7.54</v>
      </c>
      <c r="K123" s="17">
        <v>31.199729708750901</v>
      </c>
      <c r="L123" s="17">
        <v>31.199729708750901</v>
      </c>
      <c r="M123" s="5">
        <v>35</v>
      </c>
      <c r="N123">
        <v>0.01</v>
      </c>
      <c r="O123">
        <v>3.7</v>
      </c>
      <c r="P123">
        <v>36.799999999999997</v>
      </c>
      <c r="Q123" s="23">
        <v>1.06E-2</v>
      </c>
      <c r="R123" s="32">
        <v>3.7</v>
      </c>
      <c r="S123" s="41" t="s">
        <v>30</v>
      </c>
      <c r="T123" s="51">
        <v>1.5992127929631941E-4</v>
      </c>
      <c r="U123" s="35">
        <v>24.1691321723731</v>
      </c>
      <c r="V123">
        <f t="shared" si="7"/>
        <v>0.01</v>
      </c>
      <c r="W123" s="41" t="s">
        <v>30</v>
      </c>
      <c r="X123" s="41" t="s">
        <v>30</v>
      </c>
      <c r="Y123" s="17">
        <v>0.77903591270288697</v>
      </c>
      <c r="Z123" s="40">
        <v>0.51526044330524501</v>
      </c>
      <c r="AA123" s="17"/>
    </row>
    <row r="124" spans="2:27" x14ac:dyDescent="0.3">
      <c r="B124" s="5">
        <v>93</v>
      </c>
      <c r="C124" s="5" t="s">
        <v>72</v>
      </c>
      <c r="D124">
        <f t="shared" si="4"/>
        <v>0.47</v>
      </c>
      <c r="E124">
        <f t="shared" si="5"/>
        <v>3.2100000000000002E-3</v>
      </c>
      <c r="F124">
        <f t="shared" si="6"/>
        <v>0.47</v>
      </c>
      <c r="G124">
        <v>1</v>
      </c>
      <c r="H124">
        <v>1</v>
      </c>
      <c r="I124" s="38">
        <v>1469.2044632443999</v>
      </c>
      <c r="J124">
        <v>7.54</v>
      </c>
      <c r="K124" s="17">
        <v>31.187833522538799</v>
      </c>
      <c r="L124" s="17">
        <v>31.187833522538799</v>
      </c>
      <c r="M124" s="5">
        <v>35</v>
      </c>
      <c r="N124">
        <v>0.01</v>
      </c>
      <c r="O124">
        <v>3.7</v>
      </c>
      <c r="P124">
        <v>36.799999999999997</v>
      </c>
      <c r="Q124" s="23">
        <v>1.06E-2</v>
      </c>
      <c r="R124" s="32">
        <v>3.7</v>
      </c>
      <c r="S124" s="41" t="s">
        <v>30</v>
      </c>
      <c r="T124" s="51">
        <v>2.0110242825896864E-4</v>
      </c>
      <c r="U124" s="35">
        <v>23.891061111330099</v>
      </c>
      <c r="V124">
        <f t="shared" si="7"/>
        <v>0.01</v>
      </c>
      <c r="W124" s="41" t="s">
        <v>30</v>
      </c>
      <c r="X124" s="41" t="s">
        <v>30</v>
      </c>
      <c r="Y124" s="17">
        <v>0.79939469391130402</v>
      </c>
      <c r="Z124" s="40">
        <v>0.52848920950050104</v>
      </c>
      <c r="AA124" s="17"/>
    </row>
    <row r="125" spans="2:27" x14ac:dyDescent="0.3">
      <c r="B125" s="5">
        <v>94</v>
      </c>
      <c r="C125" s="5" t="s">
        <v>72</v>
      </c>
      <c r="D125">
        <f t="shared" si="4"/>
        <v>0.47</v>
      </c>
      <c r="E125">
        <f t="shared" si="5"/>
        <v>3.2100000000000002E-3</v>
      </c>
      <c r="F125">
        <f t="shared" si="6"/>
        <v>0.47</v>
      </c>
      <c r="G125">
        <v>1</v>
      </c>
      <c r="H125">
        <v>1</v>
      </c>
      <c r="I125" s="38">
        <v>1470.9993477125599</v>
      </c>
      <c r="J125">
        <v>7.54</v>
      </c>
      <c r="K125" s="17">
        <v>31.1699857621539</v>
      </c>
      <c r="L125" s="17">
        <v>31.1699857621539</v>
      </c>
      <c r="M125" s="5">
        <v>35</v>
      </c>
      <c r="N125">
        <v>0.01</v>
      </c>
      <c r="O125">
        <v>3.7</v>
      </c>
      <c r="P125">
        <v>36.799999999999997</v>
      </c>
      <c r="Q125" s="23">
        <v>1.06E-2</v>
      </c>
      <c r="R125" s="32">
        <v>3.7</v>
      </c>
      <c r="S125" s="41" t="s">
        <v>30</v>
      </c>
      <c r="T125" s="51">
        <v>2.4217655368922005E-4</v>
      </c>
      <c r="U125" s="35">
        <v>23.473954519765499</v>
      </c>
      <c r="V125">
        <f t="shared" si="7"/>
        <v>0.01</v>
      </c>
      <c r="W125" s="41" t="s">
        <v>30</v>
      </c>
      <c r="X125" s="41" t="s">
        <v>30</v>
      </c>
      <c r="Y125" s="17">
        <v>0.82864791718351705</v>
      </c>
      <c r="Z125" s="40">
        <v>0.54833235879338604</v>
      </c>
      <c r="AA125" s="17"/>
    </row>
    <row r="126" spans="2:27" x14ac:dyDescent="0.3">
      <c r="B126" s="5">
        <v>95</v>
      </c>
      <c r="C126" s="5" t="s">
        <v>72</v>
      </c>
      <c r="D126">
        <f t="shared" si="4"/>
        <v>0.47</v>
      </c>
      <c r="E126">
        <f t="shared" si="5"/>
        <v>3.2100000000000002E-3</v>
      </c>
      <c r="F126">
        <f t="shared" si="6"/>
        <v>0.47</v>
      </c>
      <c r="G126">
        <v>1</v>
      </c>
      <c r="H126">
        <v>1</v>
      </c>
      <c r="I126" s="38">
        <v>1471.6583607162099</v>
      </c>
      <c r="J126">
        <v>7.54</v>
      </c>
      <c r="K126" s="17">
        <v>31.163440536163598</v>
      </c>
      <c r="L126" s="17">
        <v>31.163440536163598</v>
      </c>
      <c r="M126" s="5">
        <v>35</v>
      </c>
      <c r="N126">
        <v>0.01</v>
      </c>
      <c r="O126">
        <v>3.7</v>
      </c>
      <c r="P126">
        <v>36.799999999999997</v>
      </c>
      <c r="Q126" s="23">
        <v>1.06E-2</v>
      </c>
      <c r="R126" s="32">
        <v>3.7</v>
      </c>
      <c r="S126" s="41" t="s">
        <v>30</v>
      </c>
      <c r="T126" s="51">
        <v>2.8889564831025835E-4</v>
      </c>
      <c r="U126" s="35">
        <v>23.3210154361918</v>
      </c>
      <c r="V126">
        <f t="shared" si="7"/>
        <v>0.01</v>
      </c>
      <c r="W126" s="41" t="s">
        <v>30</v>
      </c>
      <c r="X126" s="41" t="s">
        <v>30</v>
      </c>
      <c r="Y126" s="17">
        <v>0.83973846951893305</v>
      </c>
      <c r="Z126" s="40">
        <v>0.55560818020077696</v>
      </c>
      <c r="AA126" s="17"/>
    </row>
    <row r="127" spans="2:27" x14ac:dyDescent="0.3">
      <c r="B127" s="5">
        <v>96</v>
      </c>
      <c r="C127" s="5" t="s">
        <v>69</v>
      </c>
      <c r="D127">
        <f t="shared" si="4"/>
        <v>0.47</v>
      </c>
      <c r="E127">
        <f t="shared" si="5"/>
        <v>3.2100000000000002E-3</v>
      </c>
      <c r="F127">
        <f t="shared" si="6"/>
        <v>0.47</v>
      </c>
      <c r="G127">
        <v>1</v>
      </c>
      <c r="H127">
        <v>1</v>
      </c>
      <c r="I127" s="38">
        <v>1472.30705952174</v>
      </c>
      <c r="J127">
        <v>7.54</v>
      </c>
      <c r="K127" s="17">
        <v>31.157001828711099</v>
      </c>
      <c r="L127" s="17">
        <v>31.157001828711099</v>
      </c>
      <c r="M127" s="5">
        <v>35</v>
      </c>
      <c r="N127">
        <v>0.01</v>
      </c>
      <c r="O127">
        <v>3.7</v>
      </c>
      <c r="P127">
        <v>30</v>
      </c>
      <c r="Q127" s="23">
        <v>1.06E-2</v>
      </c>
      <c r="R127" s="32">
        <v>3.7</v>
      </c>
      <c r="S127" s="41" t="s">
        <v>30</v>
      </c>
      <c r="T127" s="51">
        <v>1.4438109021140081E-4</v>
      </c>
      <c r="U127" s="35">
        <v>23.170578133943998</v>
      </c>
      <c r="V127">
        <f t="shared" si="7"/>
        <v>0.01</v>
      </c>
      <c r="W127" s="41" t="s">
        <v>30</v>
      </c>
      <c r="X127" s="41" t="s">
        <v>30</v>
      </c>
      <c r="Y127" s="17">
        <v>0.85078971940691195</v>
      </c>
      <c r="Z127" s="40">
        <v>0.5627449139681</v>
      </c>
      <c r="AA127" s="17"/>
    </row>
    <row r="128" spans="2:27" x14ac:dyDescent="0.3">
      <c r="B128" s="5">
        <v>97</v>
      </c>
      <c r="C128" s="5" t="s">
        <v>69</v>
      </c>
      <c r="D128">
        <f t="shared" si="4"/>
        <v>0.47</v>
      </c>
      <c r="E128">
        <f t="shared" si="5"/>
        <v>3.2100000000000002E-3</v>
      </c>
      <c r="F128">
        <f t="shared" si="6"/>
        <v>0.47</v>
      </c>
      <c r="G128">
        <v>1</v>
      </c>
      <c r="H128">
        <v>1</v>
      </c>
      <c r="I128" s="38">
        <v>1473.0579940524201</v>
      </c>
      <c r="J128">
        <v>7.54</v>
      </c>
      <c r="K128" s="17">
        <v>31.149553421596501</v>
      </c>
      <c r="L128" s="17">
        <v>31.149553421596501</v>
      </c>
      <c r="M128" s="5">
        <v>35</v>
      </c>
      <c r="N128">
        <v>0.01</v>
      </c>
      <c r="O128">
        <v>3.7</v>
      </c>
      <c r="P128">
        <v>30</v>
      </c>
      <c r="Q128" s="23">
        <v>1.06E-2</v>
      </c>
      <c r="R128" s="32">
        <v>3.7</v>
      </c>
      <c r="S128" s="41" t="s">
        <v>30</v>
      </c>
      <c r="T128" s="51">
        <v>1.6260363750019672E-4</v>
      </c>
      <c r="U128" s="35">
        <v>22.996565540927399</v>
      </c>
      <c r="V128">
        <f t="shared" si="7"/>
        <v>0.01</v>
      </c>
      <c r="W128" s="41" t="s">
        <v>30</v>
      </c>
      <c r="X128" s="41" t="s">
        <v>30</v>
      </c>
      <c r="Y128" s="17">
        <v>0.86330450604794695</v>
      </c>
      <c r="Z128" s="40">
        <v>0.57102267329098899</v>
      </c>
      <c r="AA128" s="17"/>
    </row>
    <row r="129" spans="2:27" x14ac:dyDescent="0.3">
      <c r="B129" s="5">
        <v>98</v>
      </c>
      <c r="C129" s="5" t="s">
        <v>69</v>
      </c>
      <c r="D129">
        <f t="shared" si="4"/>
        <v>0.47</v>
      </c>
      <c r="E129">
        <f t="shared" si="5"/>
        <v>3.2100000000000002E-3</v>
      </c>
      <c r="F129">
        <f t="shared" si="6"/>
        <v>0.47</v>
      </c>
      <c r="G129">
        <v>1</v>
      </c>
      <c r="H129">
        <v>1</v>
      </c>
      <c r="I129" s="38">
        <v>1472.9591514925401</v>
      </c>
      <c r="J129">
        <v>7.54</v>
      </c>
      <c r="K129" s="17">
        <v>31.1505335167619</v>
      </c>
      <c r="L129" s="17">
        <v>31.1505335167619</v>
      </c>
      <c r="M129" s="5">
        <v>35</v>
      </c>
      <c r="N129">
        <v>0.01</v>
      </c>
      <c r="O129">
        <v>3.7</v>
      </c>
      <c r="P129">
        <v>30</v>
      </c>
      <c r="Q129" s="23">
        <v>1.06E-2</v>
      </c>
      <c r="R129" s="32">
        <v>3.7</v>
      </c>
      <c r="S129" s="41" t="s">
        <v>30</v>
      </c>
      <c r="T129" s="51">
        <v>2.0620418258385985E-4</v>
      </c>
      <c r="U129" s="35">
        <v>23.019461934745301</v>
      </c>
      <c r="V129">
        <f t="shared" si="7"/>
        <v>0.01</v>
      </c>
      <c r="W129" s="41" t="s">
        <v>30</v>
      </c>
      <c r="X129" s="41" t="s">
        <v>30</v>
      </c>
      <c r="Y129" s="17">
        <v>0.86172217670252904</v>
      </c>
      <c r="Z129" s="40">
        <v>0.56997606004326695</v>
      </c>
      <c r="AA129" s="17"/>
    </row>
    <row r="130" spans="2:27" x14ac:dyDescent="0.3">
      <c r="B130" s="5">
        <v>99</v>
      </c>
      <c r="C130" s="5" t="s">
        <v>69</v>
      </c>
      <c r="D130">
        <f t="shared" si="4"/>
        <v>0.47</v>
      </c>
      <c r="E130">
        <f t="shared" si="5"/>
        <v>3.2100000000000002E-3</v>
      </c>
      <c r="F130">
        <f t="shared" si="6"/>
        <v>0.47</v>
      </c>
      <c r="G130">
        <v>1</v>
      </c>
      <c r="H130">
        <v>1</v>
      </c>
      <c r="I130" s="38">
        <v>1475.8101172754</v>
      </c>
      <c r="J130">
        <v>7.54</v>
      </c>
      <c r="K130" s="17">
        <v>31.1223017273172</v>
      </c>
      <c r="L130" s="17">
        <v>31.1223017273172</v>
      </c>
      <c r="M130" s="5">
        <v>35</v>
      </c>
      <c r="N130">
        <v>0.01</v>
      </c>
      <c r="O130">
        <v>3.7</v>
      </c>
      <c r="P130">
        <v>30</v>
      </c>
      <c r="Q130" s="23">
        <v>1.06E-2</v>
      </c>
      <c r="R130" s="32">
        <v>3.7</v>
      </c>
      <c r="S130" s="41" t="s">
        <v>30</v>
      </c>
      <c r="T130" s="51">
        <v>2.5209447182946608E-4</v>
      </c>
      <c r="U130" s="35">
        <v>22.360045792787702</v>
      </c>
      <c r="V130">
        <f t="shared" si="7"/>
        <v>0.01</v>
      </c>
      <c r="W130" s="41" t="s">
        <v>30</v>
      </c>
      <c r="X130" s="41" t="s">
        <v>30</v>
      </c>
      <c r="Y130" s="17">
        <v>0.90912013300392003</v>
      </c>
      <c r="Z130" s="40">
        <v>0.60132688414547197</v>
      </c>
      <c r="AA130" s="17"/>
    </row>
    <row r="131" spans="2:27" x14ac:dyDescent="0.3">
      <c r="B131" s="5">
        <v>100</v>
      </c>
      <c r="C131" s="5" t="s">
        <v>69</v>
      </c>
      <c r="D131">
        <f t="shared" si="4"/>
        <v>0.47</v>
      </c>
      <c r="E131">
        <f t="shared" si="5"/>
        <v>3.2100000000000002E-3</v>
      </c>
      <c r="F131">
        <f t="shared" si="6"/>
        <v>0.47</v>
      </c>
      <c r="G131">
        <v>1</v>
      </c>
      <c r="H131">
        <v>1</v>
      </c>
      <c r="I131" s="38">
        <v>1477.79520897925</v>
      </c>
      <c r="J131">
        <v>7.54</v>
      </c>
      <c r="K131" s="17">
        <v>31.102690159401401</v>
      </c>
      <c r="L131" s="17">
        <v>31.102690159401401</v>
      </c>
      <c r="M131" s="5">
        <v>35</v>
      </c>
      <c r="N131">
        <v>0.01</v>
      </c>
      <c r="O131">
        <v>3.7</v>
      </c>
      <c r="P131">
        <v>30</v>
      </c>
      <c r="Q131" s="23">
        <v>1.06E-2</v>
      </c>
      <c r="R131" s="32">
        <v>3.7</v>
      </c>
      <c r="S131" s="41" t="s">
        <v>30</v>
      </c>
      <c r="T131" s="51">
        <v>3.0380452748667719E-4</v>
      </c>
      <c r="U131" s="35">
        <v>21.9021179164282</v>
      </c>
      <c r="V131">
        <f t="shared" si="7"/>
        <v>0.01</v>
      </c>
      <c r="W131" s="41" t="s">
        <v>30</v>
      </c>
      <c r="X131" s="41" t="s">
        <v>30</v>
      </c>
      <c r="Y131" s="17">
        <v>0.94206135301308103</v>
      </c>
      <c r="Z131" s="40">
        <v>0.62311546902985704</v>
      </c>
      <c r="AA131" s="17"/>
    </row>
    <row r="132" spans="2:27" x14ac:dyDescent="0.3">
      <c r="B132" s="5">
        <v>101</v>
      </c>
      <c r="C132" s="5" t="s">
        <v>73</v>
      </c>
      <c r="D132">
        <f t="shared" si="4"/>
        <v>0.47</v>
      </c>
      <c r="E132">
        <f t="shared" si="5"/>
        <v>3.2100000000000002E-3</v>
      </c>
      <c r="F132">
        <f t="shared" si="6"/>
        <v>0.47</v>
      </c>
      <c r="G132">
        <v>1</v>
      </c>
      <c r="H132">
        <v>1</v>
      </c>
      <c r="I132" s="38">
        <v>1463.20701629972</v>
      </c>
      <c r="J132">
        <v>7.54</v>
      </c>
      <c r="K132" s="17">
        <v>31.247696390429802</v>
      </c>
      <c r="L132" s="17">
        <v>31.247696390429802</v>
      </c>
      <c r="M132" s="5">
        <v>35</v>
      </c>
      <c r="N132">
        <v>0.01</v>
      </c>
      <c r="O132">
        <v>3.7</v>
      </c>
      <c r="P132">
        <v>30</v>
      </c>
      <c r="Q132" s="23">
        <v>1.06E-2</v>
      </c>
      <c r="R132" s="32">
        <v>3.7</v>
      </c>
      <c r="S132" s="41" t="s">
        <v>30</v>
      </c>
      <c r="T132" s="51">
        <v>1.4323621813042953E-4</v>
      </c>
      <c r="U132" s="35">
        <v>25.290784201488272</v>
      </c>
      <c r="V132">
        <f t="shared" si="7"/>
        <v>0.01</v>
      </c>
      <c r="W132" s="41" t="s">
        <v>30</v>
      </c>
      <c r="X132" s="41" t="s">
        <v>30</v>
      </c>
      <c r="Y132" s="17">
        <v>0.69831070975751997</v>
      </c>
      <c r="Z132" s="40">
        <v>0.46188945555129601</v>
      </c>
      <c r="AA132" s="17"/>
    </row>
    <row r="133" spans="2:27" x14ac:dyDescent="0.3">
      <c r="B133" s="5">
        <v>102</v>
      </c>
      <c r="C133" s="5" t="s">
        <v>73</v>
      </c>
      <c r="D133">
        <f t="shared" si="4"/>
        <v>0.47</v>
      </c>
      <c r="E133">
        <f t="shared" si="5"/>
        <v>3.2100000000000002E-3</v>
      </c>
      <c r="F133">
        <f t="shared" si="6"/>
        <v>0.47</v>
      </c>
      <c r="G133">
        <v>1</v>
      </c>
      <c r="H133">
        <v>1</v>
      </c>
      <c r="I133" s="38">
        <v>1464.18535528556</v>
      </c>
      <c r="J133">
        <v>7.54</v>
      </c>
      <c r="K133" s="17">
        <v>31.237907353570499</v>
      </c>
      <c r="L133" s="17">
        <v>31.237907353570499</v>
      </c>
      <c r="M133" s="5">
        <v>35</v>
      </c>
      <c r="N133">
        <v>0.01</v>
      </c>
      <c r="O133">
        <v>3.7</v>
      </c>
      <c r="P133">
        <v>30</v>
      </c>
      <c r="Q133" s="23">
        <v>1.06E-2</v>
      </c>
      <c r="R133" s="32">
        <v>3.7</v>
      </c>
      <c r="S133" s="41" t="s">
        <v>30</v>
      </c>
      <c r="T133" s="51">
        <v>1.5926442726402995E-4</v>
      </c>
      <c r="U133" s="35">
        <v>25.06182026330853</v>
      </c>
      <c r="V133">
        <f t="shared" si="7"/>
        <v>0.01</v>
      </c>
      <c r="W133" s="41" t="s">
        <v>30</v>
      </c>
      <c r="X133" s="41" t="s">
        <v>30</v>
      </c>
      <c r="Y133" s="17">
        <v>0.71478131976210102</v>
      </c>
      <c r="Z133" s="40">
        <v>0.47278374799348899</v>
      </c>
      <c r="AA133" s="17"/>
    </row>
    <row r="134" spans="2:27" x14ac:dyDescent="0.3">
      <c r="B134" s="5">
        <v>103</v>
      </c>
      <c r="C134" s="5" t="s">
        <v>73</v>
      </c>
      <c r="D134">
        <f t="shared" si="4"/>
        <v>0.47</v>
      </c>
      <c r="E134">
        <f t="shared" si="5"/>
        <v>3.2100000000000002E-3</v>
      </c>
      <c r="F134">
        <f t="shared" si="6"/>
        <v>0.47</v>
      </c>
      <c r="G134">
        <v>1</v>
      </c>
      <c r="H134">
        <v>1</v>
      </c>
      <c r="I134" s="38">
        <v>1465.7136781507099</v>
      </c>
      <c r="J134">
        <v>7.54</v>
      </c>
      <c r="K134" s="17">
        <v>31.2226339480255</v>
      </c>
      <c r="L134" s="17">
        <v>31.2226339480255</v>
      </c>
      <c r="M134" s="5">
        <v>35</v>
      </c>
      <c r="N134">
        <v>0.01</v>
      </c>
      <c r="O134">
        <v>3.7</v>
      </c>
      <c r="P134">
        <v>30</v>
      </c>
      <c r="Q134" s="23">
        <v>1.06E-2</v>
      </c>
      <c r="R134" s="32">
        <v>3.7</v>
      </c>
      <c r="S134" s="41" t="s">
        <v>30</v>
      </c>
      <c r="T134" s="51">
        <v>1.9952576211152632E-4</v>
      </c>
      <c r="U134" s="35">
        <v>24.704636519748199</v>
      </c>
      <c r="V134">
        <f t="shared" si="7"/>
        <v>0.01</v>
      </c>
      <c r="W134" s="41" t="s">
        <v>30</v>
      </c>
      <c r="X134" s="41" t="s">
        <v>30</v>
      </c>
      <c r="Y134" s="17">
        <v>0.74045820959456898</v>
      </c>
      <c r="Z134" s="40">
        <v>0.48976742660424299</v>
      </c>
      <c r="AA134" s="17"/>
    </row>
    <row r="135" spans="2:27" x14ac:dyDescent="0.3">
      <c r="B135" s="5">
        <v>104</v>
      </c>
      <c r="C135" s="5" t="s">
        <v>73</v>
      </c>
      <c r="D135">
        <f t="shared" si="4"/>
        <v>0.47</v>
      </c>
      <c r="E135">
        <f t="shared" si="5"/>
        <v>3.2100000000000002E-3</v>
      </c>
      <c r="F135">
        <f t="shared" si="6"/>
        <v>0.47</v>
      </c>
      <c r="G135">
        <v>1</v>
      </c>
      <c r="H135">
        <v>1</v>
      </c>
      <c r="I135" s="38">
        <v>1467.8537374995201</v>
      </c>
      <c r="J135">
        <v>7.54</v>
      </c>
      <c r="K135" s="17">
        <v>31.201285219112101</v>
      </c>
      <c r="L135" s="17">
        <v>31.201285219112101</v>
      </c>
      <c r="M135" s="5">
        <v>35</v>
      </c>
      <c r="N135">
        <v>0.01</v>
      </c>
      <c r="O135">
        <v>3.7</v>
      </c>
      <c r="P135">
        <v>30</v>
      </c>
      <c r="Q135" s="23">
        <v>1.06E-2</v>
      </c>
      <c r="R135" s="32">
        <v>3.7</v>
      </c>
      <c r="S135" s="41" t="s">
        <v>30</v>
      </c>
      <c r="T135" s="51">
        <v>2.4226765313446088E-4</v>
      </c>
      <c r="U135" s="35">
        <v>24.205495134516401</v>
      </c>
      <c r="V135">
        <f t="shared" si="7"/>
        <v>0.01</v>
      </c>
      <c r="W135" s="41" t="s">
        <v>30</v>
      </c>
      <c r="X135" s="41" t="s">
        <v>30</v>
      </c>
      <c r="Y135" s="17">
        <v>0.77642024017225597</v>
      </c>
      <c r="Z135" s="40">
        <v>0.51355409132518803</v>
      </c>
      <c r="AA135" s="17"/>
    </row>
    <row r="136" spans="2:27" x14ac:dyDescent="0.3">
      <c r="B136" s="5">
        <v>105</v>
      </c>
      <c r="C136" s="5" t="s">
        <v>73</v>
      </c>
      <c r="D136">
        <f t="shared" si="4"/>
        <v>0.47</v>
      </c>
      <c r="E136">
        <f t="shared" si="5"/>
        <v>3.2100000000000002E-3</v>
      </c>
      <c r="F136">
        <f t="shared" si="6"/>
        <v>0.47</v>
      </c>
      <c r="G136">
        <v>1</v>
      </c>
      <c r="H136">
        <v>1</v>
      </c>
      <c r="I136" s="38">
        <v>1469.4867153176699</v>
      </c>
      <c r="J136">
        <v>7.54</v>
      </c>
      <c r="K136" s="17">
        <v>31.1850248386584</v>
      </c>
      <c r="L136" s="17">
        <v>31.1850248386584</v>
      </c>
      <c r="M136" s="5">
        <v>35</v>
      </c>
      <c r="N136">
        <v>0.01</v>
      </c>
      <c r="O136">
        <v>3.7</v>
      </c>
      <c r="P136">
        <v>30</v>
      </c>
      <c r="Q136" s="23">
        <v>1.06E-2</v>
      </c>
      <c r="R136" s="32">
        <v>3.7</v>
      </c>
      <c r="S136" s="41" t="s">
        <v>30</v>
      </c>
      <c r="T136" s="51">
        <v>2.9111552858924306E-4</v>
      </c>
      <c r="U136" s="35">
        <v>23.825414997137997</v>
      </c>
      <c r="V136">
        <f t="shared" si="7"/>
        <v>0.01</v>
      </c>
      <c r="W136" s="41" t="s">
        <v>30</v>
      </c>
      <c r="X136" s="41" t="s">
        <v>30</v>
      </c>
      <c r="Y136" s="17">
        <v>0.80375138341129804</v>
      </c>
      <c r="Z136" s="40">
        <v>0.53163195651310502</v>
      </c>
      <c r="AA136" s="17"/>
    </row>
    <row r="137" spans="2:27" x14ac:dyDescent="0.3">
      <c r="B137" s="5">
        <v>106</v>
      </c>
      <c r="C137" s="5" t="s">
        <v>70</v>
      </c>
      <c r="D137">
        <f t="shared" si="4"/>
        <v>0.47</v>
      </c>
      <c r="E137">
        <f t="shared" si="5"/>
        <v>3.2100000000000002E-3</v>
      </c>
      <c r="F137">
        <f t="shared" si="6"/>
        <v>0.47</v>
      </c>
      <c r="G137">
        <v>1</v>
      </c>
      <c r="H137">
        <v>1</v>
      </c>
      <c r="I137" s="38">
        <v>1456.03885326098</v>
      </c>
      <c r="J137">
        <v>7.54</v>
      </c>
      <c r="K137" s="17">
        <v>31.3197051135853</v>
      </c>
      <c r="L137" s="17">
        <v>31.3197051135853</v>
      </c>
      <c r="M137" s="5">
        <v>35</v>
      </c>
      <c r="N137">
        <v>0.01</v>
      </c>
      <c r="O137">
        <v>3.7</v>
      </c>
      <c r="P137">
        <v>30</v>
      </c>
      <c r="Q137" s="23">
        <v>1.06E-2</v>
      </c>
      <c r="R137" s="32">
        <v>3.7</v>
      </c>
      <c r="S137" s="41" t="s">
        <v>30</v>
      </c>
      <c r="T137" s="51">
        <v>1.4132809799547675E-4</v>
      </c>
      <c r="U137" s="35">
        <v>26.97595878649113</v>
      </c>
      <c r="V137">
        <f t="shared" si="7"/>
        <v>0.01</v>
      </c>
      <c r="W137" s="41" t="s">
        <v>30</v>
      </c>
      <c r="X137" s="41" t="s">
        <v>30</v>
      </c>
      <c r="Y137" s="17">
        <v>0.57711866671071599</v>
      </c>
      <c r="Z137" s="40">
        <v>0.381728395441714</v>
      </c>
      <c r="AA137" s="17"/>
    </row>
    <row r="138" spans="2:27" x14ac:dyDescent="0.3">
      <c r="B138" s="5">
        <v>107</v>
      </c>
      <c r="C138" s="5" t="s">
        <v>70</v>
      </c>
      <c r="D138">
        <f t="shared" si="4"/>
        <v>0.47</v>
      </c>
      <c r="E138">
        <f t="shared" si="5"/>
        <v>3.2100000000000002E-3</v>
      </c>
      <c r="F138">
        <f t="shared" si="6"/>
        <v>0.47</v>
      </c>
      <c r="G138">
        <v>1</v>
      </c>
      <c r="H138">
        <v>1</v>
      </c>
      <c r="I138" s="38">
        <v>1458.75916448925</v>
      </c>
      <c r="J138">
        <v>7.54</v>
      </c>
      <c r="K138" s="17">
        <v>31.292318491854498</v>
      </c>
      <c r="L138" s="17">
        <v>31.292318491854498</v>
      </c>
      <c r="M138" s="5">
        <v>35</v>
      </c>
      <c r="N138">
        <v>0.01</v>
      </c>
      <c r="O138">
        <v>3.7</v>
      </c>
      <c r="P138">
        <v>30</v>
      </c>
      <c r="Q138" s="23">
        <v>1.06E-2</v>
      </c>
      <c r="R138" s="32">
        <v>3.7</v>
      </c>
      <c r="S138" s="41" t="s">
        <v>30</v>
      </c>
      <c r="T138" s="51">
        <v>1.6031389333825361E-4</v>
      </c>
      <c r="U138" s="35">
        <v>26.334859759587872</v>
      </c>
      <c r="V138">
        <f t="shared" si="7"/>
        <v>0.01</v>
      </c>
      <c r="W138" s="41" t="s">
        <v>30</v>
      </c>
      <c r="X138" s="41" t="s">
        <v>30</v>
      </c>
      <c r="Y138" s="17">
        <v>0.62322198991130995</v>
      </c>
      <c r="Z138" s="40">
        <v>0.41222289961396502</v>
      </c>
      <c r="AA138" s="17"/>
    </row>
    <row r="139" spans="2:27" x14ac:dyDescent="0.3">
      <c r="B139" s="5">
        <v>108</v>
      </c>
      <c r="C139" s="5" t="s">
        <v>70</v>
      </c>
      <c r="D139">
        <f t="shared" si="4"/>
        <v>0.47</v>
      </c>
      <c r="E139">
        <f t="shared" si="5"/>
        <v>3.2100000000000002E-3</v>
      </c>
      <c r="F139">
        <f t="shared" si="6"/>
        <v>0.47</v>
      </c>
      <c r="G139">
        <v>1</v>
      </c>
      <c r="H139">
        <v>1</v>
      </c>
      <c r="I139" s="38">
        <v>1462.77688204985</v>
      </c>
      <c r="J139">
        <v>7.54</v>
      </c>
      <c r="K139" s="17">
        <v>31.252003168903599</v>
      </c>
      <c r="L139" s="17">
        <v>31.252003168903599</v>
      </c>
      <c r="M139" s="5">
        <v>35</v>
      </c>
      <c r="N139">
        <v>0.01</v>
      </c>
      <c r="O139">
        <v>3.7</v>
      </c>
      <c r="P139">
        <v>30</v>
      </c>
      <c r="Q139" s="23">
        <v>1.06E-2</v>
      </c>
      <c r="R139" s="32">
        <v>3.7</v>
      </c>
      <c r="S139" s="41" t="s">
        <v>30</v>
      </c>
      <c r="T139" s="51">
        <v>1.9952576211152632E-4</v>
      </c>
      <c r="U139" s="35">
        <v>25.391528334287351</v>
      </c>
      <c r="V139">
        <f t="shared" si="7"/>
        <v>0.01</v>
      </c>
      <c r="W139" s="41" t="s">
        <v>30</v>
      </c>
      <c r="X139" s="41" t="s">
        <v>30</v>
      </c>
      <c r="Y139" s="17">
        <v>0.69104637958082804</v>
      </c>
      <c r="Z139" s="40">
        <v>0.45708454927766601</v>
      </c>
      <c r="AA139" s="17"/>
    </row>
    <row r="140" spans="2:27" x14ac:dyDescent="0.3">
      <c r="B140" s="5">
        <v>109</v>
      </c>
      <c r="C140" s="5" t="s">
        <v>70</v>
      </c>
      <c r="D140">
        <f t="shared" si="4"/>
        <v>0.47</v>
      </c>
      <c r="E140">
        <f t="shared" si="5"/>
        <v>3.2100000000000002E-3</v>
      </c>
      <c r="F140">
        <f t="shared" si="6"/>
        <v>0.47</v>
      </c>
      <c r="G140">
        <v>1</v>
      </c>
      <c r="H140">
        <v>1</v>
      </c>
      <c r="I140" s="38">
        <v>1467.75545907481</v>
      </c>
      <c r="J140">
        <v>7.54</v>
      </c>
      <c r="K140" s="17">
        <v>31.2022646493838</v>
      </c>
      <c r="L140" s="17">
        <v>31.2022646493838</v>
      </c>
      <c r="M140" s="5">
        <v>35</v>
      </c>
      <c r="N140">
        <v>0.01</v>
      </c>
      <c r="O140">
        <v>3.7</v>
      </c>
      <c r="P140">
        <v>30</v>
      </c>
      <c r="Q140" s="23">
        <v>1.06E-2</v>
      </c>
      <c r="R140" s="32">
        <v>3.7</v>
      </c>
      <c r="S140" s="41" t="s">
        <v>30</v>
      </c>
      <c r="T140" s="51">
        <v>2.4274468316819872E-4</v>
      </c>
      <c r="U140" s="35">
        <v>24.228391528334299</v>
      </c>
      <c r="V140">
        <f t="shared" si="7"/>
        <v>0.01</v>
      </c>
      <c r="W140" s="41" t="s">
        <v>30</v>
      </c>
      <c r="X140" s="41" t="s">
        <v>30</v>
      </c>
      <c r="Y140" s="17">
        <v>0.77476598676568198</v>
      </c>
      <c r="Z140" s="40">
        <v>0.51245990474802405</v>
      </c>
      <c r="AA140" s="17"/>
    </row>
    <row r="141" spans="2:27" x14ac:dyDescent="0.3">
      <c r="B141" s="5">
        <v>110</v>
      </c>
      <c r="C141" s="5" t="s">
        <v>70</v>
      </c>
      <c r="D141">
        <f t="shared" si="4"/>
        <v>0.47</v>
      </c>
      <c r="E141">
        <f t="shared" si="5"/>
        <v>3.2100000000000002E-3</v>
      </c>
      <c r="F141">
        <f t="shared" si="6"/>
        <v>0.47</v>
      </c>
      <c r="G141">
        <v>1</v>
      </c>
      <c r="H141">
        <v>1</v>
      </c>
      <c r="I141" s="38">
        <v>1470.0185583893999</v>
      </c>
      <c r="J141">
        <v>7.54</v>
      </c>
      <c r="K141" s="17">
        <v>31.179734569709101</v>
      </c>
      <c r="L141" s="17">
        <v>31.179734569709101</v>
      </c>
      <c r="M141" s="5">
        <v>35</v>
      </c>
      <c r="N141">
        <v>0.01</v>
      </c>
      <c r="O141">
        <v>3.7</v>
      </c>
      <c r="P141">
        <v>30</v>
      </c>
      <c r="Q141" s="23">
        <v>1.06E-2</v>
      </c>
      <c r="R141" s="32">
        <v>3.7</v>
      </c>
      <c r="S141" s="41" t="s">
        <v>30</v>
      </c>
      <c r="T141" s="51">
        <v>2.888257844273005E-4</v>
      </c>
      <c r="U141" s="35">
        <v>23.701774470520903</v>
      </c>
      <c r="V141">
        <f t="shared" si="7"/>
        <v>0.01</v>
      </c>
      <c r="W141" s="41" t="s">
        <v>30</v>
      </c>
      <c r="X141" s="41" t="s">
        <v>30</v>
      </c>
      <c r="Y141" s="17">
        <v>0.81259804293340798</v>
      </c>
      <c r="Z141" s="40">
        <v>0.53748347603445701</v>
      </c>
      <c r="AA141" s="17"/>
    </row>
    <row r="142" spans="2:27" x14ac:dyDescent="0.3">
      <c r="B142" s="5">
        <v>111</v>
      </c>
      <c r="C142" s="5" t="s">
        <v>71</v>
      </c>
      <c r="D142">
        <f t="shared" si="4"/>
        <v>0.47</v>
      </c>
      <c r="E142">
        <f t="shared" si="5"/>
        <v>3.2100000000000002E-3</v>
      </c>
      <c r="F142">
        <f t="shared" si="6"/>
        <v>0.47</v>
      </c>
      <c r="G142">
        <v>1</v>
      </c>
      <c r="H142">
        <v>1</v>
      </c>
      <c r="I142" s="38">
        <v>1452.84329138986</v>
      </c>
      <c r="J142">
        <v>7.54</v>
      </c>
      <c r="K142" s="17">
        <v>31.351969607534201</v>
      </c>
      <c r="L142" s="17">
        <v>31.351969607534201</v>
      </c>
      <c r="M142" s="5">
        <v>35</v>
      </c>
      <c r="N142">
        <v>0.01</v>
      </c>
      <c r="O142">
        <v>3.7</v>
      </c>
      <c r="P142">
        <v>30</v>
      </c>
      <c r="Q142" s="23">
        <v>1.06E-2</v>
      </c>
      <c r="R142" s="32">
        <v>3.7</v>
      </c>
      <c r="S142" s="41" t="s">
        <v>30</v>
      </c>
      <c r="T142" s="51">
        <v>1.4438109021140081E-4</v>
      </c>
      <c r="U142" s="35">
        <v>27.731539782484262</v>
      </c>
      <c r="V142">
        <f t="shared" si="7"/>
        <v>0.01</v>
      </c>
      <c r="W142" s="41" t="s">
        <v>30</v>
      </c>
      <c r="X142" s="41" t="s">
        <v>30</v>
      </c>
      <c r="Y142" s="17">
        <v>0.52274407647725396</v>
      </c>
      <c r="Z142" s="40">
        <v>0.34576295838364601</v>
      </c>
      <c r="AA142" s="17"/>
    </row>
    <row r="143" spans="2:27" x14ac:dyDescent="0.3">
      <c r="B143" s="5">
        <v>112</v>
      </c>
      <c r="C143" s="5" t="s">
        <v>71</v>
      </c>
      <c r="D143">
        <f t="shared" si="4"/>
        <v>0.47</v>
      </c>
      <c r="E143">
        <f t="shared" si="5"/>
        <v>3.2100000000000002E-3</v>
      </c>
      <c r="F143">
        <f t="shared" si="6"/>
        <v>0.47</v>
      </c>
      <c r="G143">
        <v>1</v>
      </c>
      <c r="H143">
        <v>1</v>
      </c>
      <c r="I143" s="38">
        <v>1454.7592655133899</v>
      </c>
      <c r="J143">
        <v>7.54</v>
      </c>
      <c r="K143" s="17">
        <v>31.332612545633999</v>
      </c>
      <c r="L143" s="17">
        <v>31.332612545633999</v>
      </c>
      <c r="M143" s="5">
        <v>35</v>
      </c>
      <c r="N143">
        <v>0.01</v>
      </c>
      <c r="O143">
        <v>3.7</v>
      </c>
      <c r="P143">
        <v>30</v>
      </c>
      <c r="Q143" s="23">
        <v>1.06E-2</v>
      </c>
      <c r="R143" s="32">
        <v>3.7</v>
      </c>
      <c r="S143" s="41" t="s">
        <v>30</v>
      </c>
      <c r="T143" s="51">
        <v>1.6117254739898222E-4</v>
      </c>
      <c r="U143" s="35">
        <v>27.278191184888389</v>
      </c>
      <c r="V143">
        <f t="shared" si="7"/>
        <v>0.01</v>
      </c>
      <c r="W143" s="41" t="s">
        <v>30</v>
      </c>
      <c r="X143" s="41" t="s">
        <v>30</v>
      </c>
      <c r="Y143" s="17">
        <v>0.55539760024179297</v>
      </c>
      <c r="Z143" s="40">
        <v>0.36736124995026398</v>
      </c>
      <c r="AA143" s="17"/>
    </row>
    <row r="144" spans="2:27" x14ac:dyDescent="0.3">
      <c r="B144" s="5">
        <v>113</v>
      </c>
      <c r="C144" s="5" t="s">
        <v>71</v>
      </c>
      <c r="D144">
        <f t="shared" si="4"/>
        <v>0.47</v>
      </c>
      <c r="E144">
        <f t="shared" si="5"/>
        <v>3.2100000000000002E-3</v>
      </c>
      <c r="F144">
        <f t="shared" si="6"/>
        <v>0.47</v>
      </c>
      <c r="G144">
        <v>1</v>
      </c>
      <c r="H144">
        <v>1</v>
      </c>
      <c r="I144" s="38">
        <v>1458.5062180637699</v>
      </c>
      <c r="J144">
        <v>7.54</v>
      </c>
      <c r="K144" s="17">
        <v>31.294861948869698</v>
      </c>
      <c r="L144" s="17">
        <v>31.294861948869698</v>
      </c>
      <c r="M144" s="5">
        <v>35</v>
      </c>
      <c r="N144">
        <v>0.01</v>
      </c>
      <c r="O144">
        <v>3.7</v>
      </c>
      <c r="P144">
        <v>30</v>
      </c>
      <c r="Q144" s="23">
        <v>1.06E-2</v>
      </c>
      <c r="R144" s="32">
        <v>3.7</v>
      </c>
      <c r="S144" s="41" t="s">
        <v>30</v>
      </c>
      <c r="T144" s="51">
        <v>2.0057522818575001E-4</v>
      </c>
      <c r="U144" s="35">
        <v>26.394390383514597</v>
      </c>
      <c r="V144">
        <f t="shared" si="7"/>
        <v>0.01</v>
      </c>
      <c r="W144" s="41" t="s">
        <v>30</v>
      </c>
      <c r="X144" s="41" t="s">
        <v>30</v>
      </c>
      <c r="Y144" s="17">
        <v>0.61897847030314401</v>
      </c>
      <c r="Z144" s="40">
        <v>0.40941607317689299</v>
      </c>
      <c r="AA144" s="17"/>
    </row>
    <row r="145" spans="2:27" x14ac:dyDescent="0.3">
      <c r="B145" s="5">
        <v>114</v>
      </c>
      <c r="C145" s="5" t="s">
        <v>71</v>
      </c>
      <c r="D145">
        <f t="shared" si="4"/>
        <v>0.47</v>
      </c>
      <c r="E145">
        <f t="shared" si="5"/>
        <v>3.2100000000000002E-3</v>
      </c>
      <c r="F145">
        <f t="shared" si="6"/>
        <v>0.47</v>
      </c>
      <c r="G145">
        <v>1</v>
      </c>
      <c r="H145">
        <v>1</v>
      </c>
      <c r="I145" s="38">
        <v>1460.3758041343699</v>
      </c>
      <c r="J145">
        <v>7.54</v>
      </c>
      <c r="K145" s="17">
        <v>31.276077499871601</v>
      </c>
      <c r="L145" s="17">
        <v>31.276077499871601</v>
      </c>
      <c r="M145" s="5">
        <v>35</v>
      </c>
      <c r="N145">
        <v>0.01</v>
      </c>
      <c r="O145">
        <v>3.7</v>
      </c>
      <c r="P145">
        <v>30</v>
      </c>
      <c r="Q145" s="23">
        <v>1.06E-2</v>
      </c>
      <c r="R145" s="32">
        <v>3.7</v>
      </c>
      <c r="S145" s="41" t="s">
        <v>30</v>
      </c>
      <c r="T145" s="51">
        <v>2.4560686337062764E-4</v>
      </c>
      <c r="U145" s="35">
        <v>25.9547796222095</v>
      </c>
      <c r="V145">
        <f t="shared" si="7"/>
        <v>0.01</v>
      </c>
      <c r="W145" s="41" t="s">
        <v>30</v>
      </c>
      <c r="X145" s="41" t="s">
        <v>30</v>
      </c>
      <c r="Y145" s="17">
        <v>0.65055313315035201</v>
      </c>
      <c r="Z145" s="40">
        <v>0.43030076480188201</v>
      </c>
      <c r="AA145" s="17"/>
    </row>
    <row r="146" spans="2:27" x14ac:dyDescent="0.3">
      <c r="B146" s="5">
        <v>115</v>
      </c>
      <c r="C146" s="5" t="s">
        <v>71</v>
      </c>
      <c r="D146">
        <f t="shared" si="4"/>
        <v>0.47</v>
      </c>
      <c r="E146">
        <f t="shared" si="5"/>
        <v>3.2100000000000002E-3</v>
      </c>
      <c r="F146">
        <f t="shared" si="6"/>
        <v>0.47</v>
      </c>
      <c r="G146">
        <v>1</v>
      </c>
      <c r="H146">
        <v>1</v>
      </c>
      <c r="I146" s="38">
        <v>1463.0505801787399</v>
      </c>
      <c r="J146">
        <v>7.54</v>
      </c>
      <c r="K146" s="17">
        <v>31.249262519811801</v>
      </c>
      <c r="L146" s="17">
        <v>31.249262519811801</v>
      </c>
      <c r="M146" s="5">
        <v>35</v>
      </c>
      <c r="N146">
        <v>0.01</v>
      </c>
      <c r="O146">
        <v>3.7</v>
      </c>
      <c r="P146">
        <v>30</v>
      </c>
      <c r="Q146" s="23">
        <v>1.06E-2</v>
      </c>
      <c r="R146" s="32">
        <v>3.7</v>
      </c>
      <c r="S146" s="41" t="s">
        <v>30</v>
      </c>
      <c r="T146" s="51">
        <v>2.9521798687939089E-4</v>
      </c>
      <c r="U146" s="35">
        <v>25.327418431597032</v>
      </c>
      <c r="V146">
        <f t="shared" si="7"/>
        <v>0.01</v>
      </c>
      <c r="W146" s="41" t="s">
        <v>30</v>
      </c>
      <c r="X146" s="41" t="s">
        <v>30</v>
      </c>
      <c r="Y146" s="17">
        <v>0.69572144355592702</v>
      </c>
      <c r="Z146" s="40">
        <v>0.46017681569138802</v>
      </c>
      <c r="AA146" s="17"/>
    </row>
    <row r="147" spans="2:27" x14ac:dyDescent="0.3">
      <c r="B147" s="5">
        <v>116</v>
      </c>
      <c r="C147" s="5" t="s">
        <v>72</v>
      </c>
      <c r="D147">
        <f t="shared" si="4"/>
        <v>0.47</v>
      </c>
      <c r="E147">
        <f t="shared" si="5"/>
        <v>3.2100000000000002E-3</v>
      </c>
      <c r="F147">
        <f t="shared" si="6"/>
        <v>0.47</v>
      </c>
      <c r="G147">
        <v>1</v>
      </c>
      <c r="H147">
        <v>1</v>
      </c>
      <c r="I147" s="38">
        <v>1472.3268130245101</v>
      </c>
      <c r="J147">
        <v>7.54</v>
      </c>
      <c r="K147" s="17">
        <v>31.1568058273247</v>
      </c>
      <c r="L147" s="17">
        <v>31.1568058273247</v>
      </c>
      <c r="M147" s="5">
        <v>35</v>
      </c>
      <c r="N147">
        <v>0.01</v>
      </c>
      <c r="O147">
        <v>3.7</v>
      </c>
      <c r="P147">
        <v>30</v>
      </c>
      <c r="Q147" s="23">
        <v>1.06E-2</v>
      </c>
      <c r="R147" s="32">
        <v>3.7</v>
      </c>
      <c r="S147" s="41" t="s">
        <v>30</v>
      </c>
      <c r="T147" s="51">
        <v>1.4323621813042953E-4</v>
      </c>
      <c r="U147" s="35">
        <v>23.165998855180398</v>
      </c>
      <c r="V147">
        <f t="shared" si="7"/>
        <v>0.01</v>
      </c>
      <c r="W147" s="41" t="s">
        <v>30</v>
      </c>
      <c r="X147" s="41" t="s">
        <v>30</v>
      </c>
      <c r="Y147" s="17">
        <v>0.85114933971268902</v>
      </c>
      <c r="Z147" s="40">
        <v>0.56298278061531004</v>
      </c>
      <c r="AA147" s="17"/>
    </row>
    <row r="148" spans="2:27" x14ac:dyDescent="0.3">
      <c r="B148" s="5">
        <v>117</v>
      </c>
      <c r="C148" s="5" t="s">
        <v>72</v>
      </c>
      <c r="D148">
        <f t="shared" si="4"/>
        <v>0.47</v>
      </c>
      <c r="E148">
        <f t="shared" si="5"/>
        <v>3.2100000000000002E-3</v>
      </c>
      <c r="F148">
        <f t="shared" si="6"/>
        <v>0.47</v>
      </c>
      <c r="G148">
        <v>1</v>
      </c>
      <c r="H148">
        <v>1</v>
      </c>
      <c r="I148" s="38">
        <v>1471.6949134602801</v>
      </c>
      <c r="J148">
        <v>7.54</v>
      </c>
      <c r="K148" s="17">
        <v>31.163077621669501</v>
      </c>
      <c r="L148" s="17">
        <v>31.163077621669501</v>
      </c>
      <c r="M148" s="5">
        <v>35</v>
      </c>
      <c r="N148">
        <v>0.01</v>
      </c>
      <c r="O148">
        <v>3.7</v>
      </c>
      <c r="P148">
        <v>30</v>
      </c>
      <c r="Q148" s="23">
        <v>1.06E-2</v>
      </c>
      <c r="R148" s="32">
        <v>3.7</v>
      </c>
      <c r="S148" s="41" t="s">
        <v>30</v>
      </c>
      <c r="T148" s="51">
        <v>1.6117254739898222E-4</v>
      </c>
      <c r="U148" s="35">
        <v>23.312535775615402</v>
      </c>
      <c r="V148">
        <f t="shared" si="7"/>
        <v>0.01</v>
      </c>
      <c r="W148" s="41" t="s">
        <v>30</v>
      </c>
      <c r="X148" s="41" t="s">
        <v>30</v>
      </c>
      <c r="Y148" s="17">
        <v>0.84057650272284901</v>
      </c>
      <c r="Z148" s="40">
        <v>0.55598950118735202</v>
      </c>
      <c r="AA148" s="17"/>
    </row>
    <row r="149" spans="2:27" x14ac:dyDescent="0.3">
      <c r="B149" s="5">
        <v>118</v>
      </c>
      <c r="C149" s="5" t="s">
        <v>72</v>
      </c>
      <c r="D149">
        <f t="shared" si="4"/>
        <v>0.47</v>
      </c>
      <c r="E149">
        <f t="shared" si="5"/>
        <v>3.2100000000000002E-3</v>
      </c>
      <c r="F149">
        <f t="shared" si="6"/>
        <v>0.47</v>
      </c>
      <c r="G149">
        <v>1</v>
      </c>
      <c r="H149">
        <v>1</v>
      </c>
      <c r="I149" s="38">
        <v>1473.0579940524201</v>
      </c>
      <c r="J149">
        <v>7.54</v>
      </c>
      <c r="K149" s="17">
        <v>31.149553421596501</v>
      </c>
      <c r="L149" s="17">
        <v>31.149553421596501</v>
      </c>
      <c r="M149" s="5">
        <v>35</v>
      </c>
      <c r="N149">
        <v>0.01</v>
      </c>
      <c r="O149">
        <v>3.7</v>
      </c>
      <c r="P149">
        <v>30</v>
      </c>
      <c r="Q149" s="23">
        <v>1.06E-2</v>
      </c>
      <c r="R149" s="32">
        <v>3.7</v>
      </c>
      <c r="S149" s="41" t="s">
        <v>30</v>
      </c>
      <c r="T149" s="51">
        <v>2.0143388224647861E-4</v>
      </c>
      <c r="U149" s="35">
        <v>22.996565540927399</v>
      </c>
      <c r="V149">
        <f t="shared" si="7"/>
        <v>0.01</v>
      </c>
      <c r="W149" s="41" t="s">
        <v>30</v>
      </c>
      <c r="X149" s="41" t="s">
        <v>30</v>
      </c>
      <c r="Y149" s="17">
        <v>0.86330450604794695</v>
      </c>
      <c r="Z149" s="40">
        <v>0.57102267329098899</v>
      </c>
      <c r="AA149" s="17"/>
    </row>
    <row r="150" spans="2:27" x14ac:dyDescent="0.3">
      <c r="B150" s="5">
        <v>119</v>
      </c>
      <c r="C150" s="5" t="s">
        <v>72</v>
      </c>
      <c r="D150">
        <f t="shared" si="4"/>
        <v>0.47</v>
      </c>
      <c r="E150">
        <f t="shared" si="5"/>
        <v>3.2100000000000002E-3</v>
      </c>
      <c r="F150">
        <f t="shared" si="6"/>
        <v>0.47</v>
      </c>
      <c r="G150">
        <v>1</v>
      </c>
      <c r="H150">
        <v>1</v>
      </c>
      <c r="I150" s="38">
        <v>1472.9591514925401</v>
      </c>
      <c r="J150">
        <v>7.54</v>
      </c>
      <c r="K150" s="17">
        <v>31.1505335167619</v>
      </c>
      <c r="L150" s="17">
        <v>31.1505335167619</v>
      </c>
      <c r="M150" s="5">
        <v>35</v>
      </c>
      <c r="N150">
        <v>0.01</v>
      </c>
      <c r="O150">
        <v>3.7</v>
      </c>
      <c r="P150">
        <v>30</v>
      </c>
      <c r="Q150" s="23">
        <v>1.06E-2</v>
      </c>
      <c r="R150" s="32">
        <v>3.7</v>
      </c>
      <c r="S150" s="41" t="s">
        <v>30</v>
      </c>
      <c r="T150" s="51">
        <v>2.4379414924242292E-4</v>
      </c>
      <c r="U150" s="35">
        <v>23.019461934745301</v>
      </c>
      <c r="V150">
        <f t="shared" si="7"/>
        <v>0.01</v>
      </c>
      <c r="W150" s="41" t="s">
        <v>30</v>
      </c>
      <c r="X150" s="41" t="s">
        <v>30</v>
      </c>
      <c r="Y150" s="17">
        <v>0.86172217670252904</v>
      </c>
      <c r="Z150" s="40">
        <v>0.56997606004326695</v>
      </c>
      <c r="AA150" s="17"/>
    </row>
    <row r="151" spans="2:27" ht="15" thickBot="1" x14ac:dyDescent="0.35">
      <c r="B151" s="5">
        <v>120</v>
      </c>
      <c r="C151" s="7" t="s">
        <v>72</v>
      </c>
      <c r="D151" s="8">
        <f t="shared" si="4"/>
        <v>0.47</v>
      </c>
      <c r="E151" s="8">
        <f t="shared" si="5"/>
        <v>3.2100000000000002E-3</v>
      </c>
      <c r="F151" s="8">
        <f t="shared" si="6"/>
        <v>0.47</v>
      </c>
      <c r="G151">
        <v>1</v>
      </c>
      <c r="H151" s="8">
        <v>1</v>
      </c>
      <c r="I151" s="53">
        <v>1473.3941390054299</v>
      </c>
      <c r="J151" s="8">
        <v>7.54</v>
      </c>
      <c r="K151" s="47">
        <v>31.146221003731299</v>
      </c>
      <c r="L151" s="47">
        <v>31.146221003731299</v>
      </c>
      <c r="M151" s="7">
        <v>35</v>
      </c>
      <c r="N151" s="8">
        <v>0.01</v>
      </c>
      <c r="O151" s="8">
        <v>3.7</v>
      </c>
      <c r="P151" s="8">
        <v>30</v>
      </c>
      <c r="Q151" s="24">
        <v>1.06E-2</v>
      </c>
      <c r="R151" s="34">
        <v>3.7</v>
      </c>
      <c r="S151" s="42" t="s">
        <v>30</v>
      </c>
      <c r="T151" s="52">
        <v>2.9111552858924306E-4</v>
      </c>
      <c r="U151" s="36">
        <v>22.918717801946201</v>
      </c>
      <c r="V151" s="8">
        <f t="shared" si="7"/>
        <v>0.01</v>
      </c>
      <c r="W151" s="42" t="s">
        <v>30</v>
      </c>
      <c r="X151" s="42" t="s">
        <v>30</v>
      </c>
      <c r="Y151" s="47">
        <v>0.86891458281806599</v>
      </c>
      <c r="Z151" s="48">
        <v>0.57473339298745596</v>
      </c>
      <c r="AA151" s="17"/>
    </row>
    <row r="152" spans="2:27" x14ac:dyDescent="0.3">
      <c r="B152" s="3"/>
      <c r="L152" s="32"/>
      <c r="N152" s="31"/>
      <c r="P152" s="23"/>
      <c r="Q152" s="31"/>
    </row>
    <row r="153" spans="2:27" x14ac:dyDescent="0.3">
      <c r="N153" s="31"/>
      <c r="P153" s="23"/>
      <c r="Q153" s="31"/>
    </row>
    <row r="154" spans="2:27" x14ac:dyDescent="0.3">
      <c r="N154" s="31"/>
      <c r="P154" s="23"/>
      <c r="Q154" s="31"/>
    </row>
    <row r="155" spans="2:27" x14ac:dyDescent="0.3">
      <c r="N155" s="31"/>
      <c r="P155" s="23"/>
      <c r="Q155" s="31"/>
    </row>
    <row r="156" spans="2:27" x14ac:dyDescent="0.3">
      <c r="N156" s="31"/>
      <c r="P156" s="23"/>
      <c r="Q156" s="31"/>
    </row>
    <row r="157" spans="2:27" x14ac:dyDescent="0.3">
      <c r="N157" s="31"/>
      <c r="P157" s="23"/>
      <c r="Q157" s="31"/>
    </row>
    <row r="158" spans="2:27" x14ac:dyDescent="0.3">
      <c r="N158" s="31"/>
      <c r="P158" s="23"/>
      <c r="Q158" s="31"/>
    </row>
    <row r="159" spans="2:27" x14ac:dyDescent="0.3">
      <c r="N159" s="31"/>
      <c r="P159" s="23"/>
      <c r="Q159" s="31"/>
    </row>
    <row r="160" spans="2:27" x14ac:dyDescent="0.3">
      <c r="N160" s="31"/>
      <c r="P160" s="23"/>
      <c r="Q160" s="31"/>
    </row>
    <row r="161" spans="14:17" x14ac:dyDescent="0.3">
      <c r="N161" s="31"/>
      <c r="P161" s="23"/>
      <c r="Q161" s="31"/>
    </row>
    <row r="162" spans="14:17" x14ac:dyDescent="0.3">
      <c r="N162" s="31"/>
      <c r="P162" s="23"/>
      <c r="Q162" s="31"/>
    </row>
    <row r="163" spans="14:17" x14ac:dyDescent="0.3">
      <c r="N163" s="31"/>
      <c r="P163" s="23"/>
      <c r="Q163" s="31"/>
    </row>
    <row r="164" spans="14:17" x14ac:dyDescent="0.3">
      <c r="N164" s="31"/>
      <c r="P164" s="23"/>
      <c r="Q164" s="31"/>
    </row>
    <row r="165" spans="14:17" x14ac:dyDescent="0.3">
      <c r="N165" s="31"/>
      <c r="P165" s="23"/>
      <c r="Q165" s="31"/>
    </row>
    <row r="166" spans="14:17" x14ac:dyDescent="0.3">
      <c r="N166" s="31"/>
      <c r="P166" s="23"/>
      <c r="Q166" s="31"/>
    </row>
    <row r="167" spans="14:17" x14ac:dyDescent="0.3">
      <c r="N167" s="31"/>
      <c r="P167" s="23"/>
      <c r="Q167" s="31"/>
    </row>
    <row r="168" spans="14:17" x14ac:dyDescent="0.3">
      <c r="N168" s="31"/>
      <c r="P168" s="23"/>
      <c r="Q168" s="31"/>
    </row>
    <row r="169" spans="14:17" x14ac:dyDescent="0.3">
      <c r="N169" s="31"/>
      <c r="P169" s="23"/>
      <c r="Q169" s="31"/>
    </row>
  </sheetData>
  <mergeCells count="7">
    <mergeCell ref="C7:N7"/>
    <mergeCell ref="E14:F14"/>
    <mergeCell ref="G14:H14"/>
    <mergeCell ref="I14:J14"/>
    <mergeCell ref="E11:F11"/>
    <mergeCell ref="G11:H11"/>
    <mergeCell ref="I11:J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DeAntonellis2019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2025-08-12T09:17:51Z</dcterms:modified>
</cp:coreProperties>
</file>