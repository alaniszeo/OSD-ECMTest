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Z\alaniszeo_git\EC-generic-model\Database_for_model_validation\M-IEC\"/>
    </mc:Choice>
  </mc:AlternateContent>
  <xr:revisionPtr revIDLastSave="0" documentId="13_ncr:1_{9060FFCE-6037-4635-B36A-A7DF3FBD5485}" xr6:coauthVersionLast="47" xr6:coauthVersionMax="47" xr10:uidLastSave="{00000000-0000-0000-0000-000000000000}"/>
  <bookViews>
    <workbookView xWindow="-108" yWindow="-108" windowWidth="30936" windowHeight="16776" xr2:uid="{1306219A-737B-4B5D-BCFD-98C34D3C77CC}"/>
  </bookViews>
  <sheets>
    <sheet name="Pacak2022" sheetId="1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8" i="14" l="1"/>
  <c r="W69" i="14"/>
  <c r="W70" i="14"/>
  <c r="W71" i="14"/>
  <c r="W72" i="14"/>
  <c r="W73" i="14"/>
  <c r="W74" i="14"/>
  <c r="W75" i="14"/>
  <c r="W76" i="14"/>
  <c r="W77" i="14"/>
  <c r="W78" i="14"/>
  <c r="W79" i="14"/>
  <c r="W80" i="14"/>
  <c r="W81" i="14"/>
  <c r="W82" i="14"/>
  <c r="W83" i="14"/>
  <c r="W84" i="14"/>
  <c r="W85" i="14"/>
  <c r="W86" i="14"/>
  <c r="W87" i="14"/>
  <c r="W88" i="14"/>
  <c r="W89" i="14"/>
  <c r="W90" i="14"/>
  <c r="W91" i="14"/>
  <c r="W92" i="14"/>
  <c r="W93" i="14"/>
  <c r="W94" i="14"/>
  <c r="W95" i="14"/>
  <c r="W96" i="14"/>
  <c r="W97" i="14"/>
  <c r="W98" i="14"/>
  <c r="W99" i="14"/>
  <c r="W100" i="14"/>
  <c r="W101" i="14"/>
  <c r="W102" i="14"/>
  <c r="W103" i="14"/>
  <c r="W104" i="14"/>
  <c r="W105" i="14"/>
  <c r="W106" i="14"/>
  <c r="W107" i="14"/>
  <c r="W108" i="14"/>
  <c r="W109" i="14"/>
  <c r="W110" i="14"/>
  <c r="W111" i="14"/>
  <c r="W112" i="14"/>
  <c r="W113" i="14"/>
  <c r="W114" i="14"/>
  <c r="W115" i="14"/>
  <c r="W116" i="14"/>
  <c r="W117" i="14"/>
  <c r="W118" i="14"/>
  <c r="W119" i="14"/>
  <c r="W120" i="14"/>
  <c r="W121" i="14"/>
  <c r="W122" i="14"/>
  <c r="W123" i="14"/>
  <c r="W124" i="14"/>
  <c r="W125" i="14"/>
  <c r="W126" i="14"/>
  <c r="W127" i="14"/>
  <c r="W128" i="14"/>
  <c r="W129" i="14"/>
  <c r="W130" i="14"/>
  <c r="W131" i="14"/>
  <c r="W132" i="14"/>
  <c r="W133" i="14"/>
  <c r="W134" i="14"/>
  <c r="W135" i="14"/>
  <c r="W136" i="14"/>
  <c r="W137" i="14"/>
  <c r="W138" i="14"/>
  <c r="W139" i="14"/>
  <c r="B34" i="14"/>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B64" i="14" s="1"/>
  <c r="B65" i="14" s="1"/>
  <c r="B66" i="14" s="1"/>
  <c r="B67" i="14" s="1"/>
  <c r="B68" i="14" s="1"/>
  <c r="B69" i="14" s="1"/>
  <c r="B70" i="14" s="1"/>
  <c r="B71" i="14" s="1"/>
  <c r="B72" i="14" s="1"/>
  <c r="B73" i="14" s="1"/>
  <c r="B74" i="14" s="1"/>
  <c r="B75" i="14" s="1"/>
  <c r="B76" i="14" s="1"/>
  <c r="B77" i="14" s="1"/>
  <c r="B78" i="14" s="1"/>
  <c r="B79" i="14" s="1"/>
  <c r="B80" i="14" s="1"/>
  <c r="B81" i="14" s="1"/>
  <c r="B82" i="14" s="1"/>
  <c r="B83" i="14" s="1"/>
  <c r="B84" i="14" s="1"/>
  <c r="B85" i="14" s="1"/>
  <c r="B86" i="14" s="1"/>
  <c r="B87" i="14" s="1"/>
  <c r="B88" i="14" s="1"/>
  <c r="B89" i="14" s="1"/>
  <c r="B90" i="14" s="1"/>
  <c r="B91" i="14" s="1"/>
  <c r="B92" i="14" s="1"/>
  <c r="B93" i="14" s="1"/>
  <c r="B94" i="14" s="1"/>
  <c r="B95" i="14" s="1"/>
  <c r="B96" i="14" s="1"/>
  <c r="B97" i="14" s="1"/>
  <c r="B98" i="14" s="1"/>
  <c r="B99" i="14" s="1"/>
  <c r="B100" i="14" s="1"/>
  <c r="B101" i="14" s="1"/>
  <c r="B102" i="14" s="1"/>
  <c r="B103" i="14" s="1"/>
  <c r="B104" i="14" s="1"/>
  <c r="B105" i="14" s="1"/>
  <c r="B106" i="14" s="1"/>
  <c r="B107" i="14" s="1"/>
  <c r="B108" i="14" s="1"/>
  <c r="B109" i="14" s="1"/>
  <c r="B110" i="14" s="1"/>
  <c r="B111" i="14" s="1"/>
  <c r="B112" i="14" s="1"/>
  <c r="B113" i="14" s="1"/>
  <c r="B114" i="14" s="1"/>
  <c r="B115" i="14" s="1"/>
  <c r="B116" i="14" s="1"/>
  <c r="B117" i="14" s="1"/>
  <c r="B118" i="14" s="1"/>
  <c r="B119" i="14" s="1"/>
  <c r="B120" i="14" s="1"/>
  <c r="B121" i="14" s="1"/>
  <c r="B122" i="14" s="1"/>
  <c r="B123" i="14" s="1"/>
  <c r="B124" i="14" s="1"/>
  <c r="B125" i="14" s="1"/>
  <c r="B126" i="14" s="1"/>
  <c r="B127" i="14" s="1"/>
  <c r="B128" i="14" s="1"/>
  <c r="B129" i="14" s="1"/>
  <c r="B130" i="14" s="1"/>
  <c r="B131" i="14" s="1"/>
  <c r="B132" i="14" s="1"/>
  <c r="B133" i="14" s="1"/>
  <c r="B134" i="14" s="1"/>
  <c r="B135" i="14" s="1"/>
  <c r="B136" i="14" s="1"/>
  <c r="B137" i="14" s="1"/>
  <c r="B138" i="14" s="1"/>
  <c r="B139" i="14" s="1"/>
  <c r="W34" i="14"/>
  <c r="W35" i="14"/>
  <c r="W36" i="14"/>
  <c r="W37" i="14"/>
  <c r="W38" i="14"/>
  <c r="W39" i="14"/>
  <c r="W40" i="14"/>
  <c r="W41" i="14"/>
  <c r="W42" i="14"/>
  <c r="W43" i="14"/>
  <c r="W44" i="14"/>
  <c r="W45" i="14"/>
  <c r="W46" i="14"/>
  <c r="W47" i="14"/>
  <c r="W48" i="14"/>
  <c r="W49" i="14"/>
  <c r="W50" i="14"/>
  <c r="W51" i="14"/>
  <c r="W52" i="14"/>
  <c r="W53" i="14"/>
  <c r="W54" i="14"/>
  <c r="W55" i="14"/>
  <c r="W56" i="14"/>
  <c r="W57" i="14"/>
  <c r="W58" i="14"/>
  <c r="W59" i="14"/>
  <c r="W60" i="14"/>
  <c r="W61" i="14"/>
  <c r="W62" i="14"/>
  <c r="W63" i="14"/>
  <c r="W64" i="14"/>
  <c r="W65" i="14"/>
  <c r="W66" i="14"/>
  <c r="W67" i="14"/>
  <c r="W33" i="14"/>
  <c r="W32" i="14"/>
</calcChain>
</file>

<file path=xl/sharedStrings.xml><?xml version="1.0" encoding="utf-8"?>
<sst xmlns="http://schemas.openxmlformats.org/spreadsheetml/2006/main" count="732" uniqueCount="76">
  <si>
    <t>Authors</t>
  </si>
  <si>
    <t>Title</t>
  </si>
  <si>
    <t>Year</t>
  </si>
  <si>
    <t>HEX characteristics</t>
  </si>
  <si>
    <t>Data type</t>
  </si>
  <si>
    <t>m/s</t>
  </si>
  <si>
    <t>-</t>
  </si>
  <si>
    <t>m</t>
  </si>
  <si>
    <t>Configuration</t>
  </si>
  <si>
    <t>Water recirculation</t>
  </si>
  <si>
    <t>Run</t>
  </si>
  <si>
    <t>epsilon_wb</t>
  </si>
  <si>
    <t>Inlet conditions</t>
  </si>
  <si>
    <t>Outlet conditions</t>
  </si>
  <si>
    <t>HEX type</t>
  </si>
  <si>
    <t>Water injection type</t>
  </si>
  <si>
    <t>Geometry</t>
  </si>
  <si>
    <t>Length</t>
  </si>
  <si>
    <t>Height</t>
  </si>
  <si>
    <t>Paper information</t>
  </si>
  <si>
    <t>Operating conditions</t>
  </si>
  <si>
    <t>Water supplied</t>
  </si>
  <si>
    <t>Wall thickness</t>
  </si>
  <si>
    <t>Primary fluid velocity</t>
  </si>
  <si>
    <t>Secondary fluid velocity</t>
  </si>
  <si>
    <t>epsilon_dp</t>
  </si>
  <si>
    <t>kg/kg</t>
  </si>
  <si>
    <t>NA</t>
  </si>
  <si>
    <t>Testing conditions</t>
  </si>
  <si>
    <t>W</t>
  </si>
  <si>
    <t>h_ch</t>
  </si>
  <si>
    <t>Channel height</t>
  </si>
  <si>
    <t>Number of channels</t>
  </si>
  <si>
    <t>pd</t>
  </si>
  <si>
    <t>Wall material</t>
  </si>
  <si>
    <t>Width</t>
  </si>
  <si>
    <t>Secondary-to-Primary flow rate ratio</t>
  </si>
  <si>
    <t>kg/s</t>
  </si>
  <si>
    <t>T_pdi</t>
  </si>
  <si>
    <t>w_pdi</t>
  </si>
  <si>
    <t>v_pdi</t>
  </si>
  <si>
    <t>T_wfi</t>
  </si>
  <si>
    <t>m_dot_wf</t>
  </si>
  <si>
    <t>T_pdo</t>
  </si>
  <si>
    <t>w_pdo</t>
  </si>
  <si>
    <t>Numerical, extracted from graphs</t>
  </si>
  <si>
    <t>Crossflow</t>
  </si>
  <si>
    <t>Wet surface</t>
  </si>
  <si>
    <t>Yes</t>
  </si>
  <si>
    <t>Pacak et al.</t>
  </si>
  <si>
    <t>Performance Analysis of the Multi-Stage Dew-Point Indirect Evaporative Air Cooler</t>
  </si>
  <si>
    <t>Hybrid IEC</t>
  </si>
  <si>
    <t>CF/XF</t>
  </si>
  <si>
    <t>Counterflow</t>
  </si>
  <si>
    <t>0.3-3</t>
  </si>
  <si>
    <t>0.1-1</t>
  </si>
  <si>
    <t>WWR</t>
  </si>
  <si>
    <t>Re</t>
  </si>
  <si>
    <t>Nu</t>
  </si>
  <si>
    <t>h_T_pd</t>
  </si>
  <si>
    <t>h_T_sw</t>
  </si>
  <si>
    <t>SPR_x</t>
  </si>
  <si>
    <t>SPR_c</t>
  </si>
  <si>
    <t>sw_x</t>
  </si>
  <si>
    <t>sw_c</t>
  </si>
  <si>
    <t>L_x</t>
  </si>
  <si>
    <t>L_c</t>
  </si>
  <si>
    <t>T_swo_x</t>
  </si>
  <si>
    <t>w_wso_x</t>
  </si>
  <si>
    <t>T_swo_c</t>
  </si>
  <si>
    <t>w_wso_c</t>
  </si>
  <si>
    <t>T_swi_x</t>
  </si>
  <si>
    <t>w_swi_x</t>
  </si>
  <si>
    <t>v_swi_x</t>
  </si>
  <si>
    <t>Description</t>
  </si>
  <si>
    <t xml:space="preserve">Numerical model of a hybrid IEC consisting of a D-IEC pre-cooled with a crossflow IEC module, based on the work of Anisimov et al. (2015). Model validation for the D-IEC configuration, using two sources of experimental results from the literature. The temperature profile of the primary air validated against the experimental results from Hsu et al. (1989). Comparison of predicted outlet temperature of primary air to the measured temperature reported by Lee et al. (2013) under various inlet conditions.
Use of numerical model to predict the primary air outlet temperature when varying the secondary-to-primary air flow rate ratios and the relative length of both sections of the evaporative cooler.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</si>
</sst>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5">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7" xfId="0" applyFont="1" applyBorder="1"/>
    <xf numFmtId="0" fontId="1" fillId="0" borderId="15" xfId="0" applyFont="1" applyBorder="1"/>
    <xf numFmtId="0" fontId="1" fillId="0" borderId="1"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0" xfId="0" applyNumberFormat="1"/>
    <xf numFmtId="164" fontId="0" fillId="0" borderId="8" xfId="0" applyNumberFormat="1" applyBorder="1"/>
    <xf numFmtId="164" fontId="0" fillId="0" borderId="3" xfId="0" applyNumberFormat="1" applyBorder="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0" fontId="1" fillId="0" borderId="8" xfId="0" applyFont="1" applyBorder="1"/>
    <xf numFmtId="0" fontId="1" fillId="0" borderId="9" xfId="0" applyFont="1" applyBorder="1"/>
    <xf numFmtId="2" fontId="0" fillId="0" borderId="0" xfId="0" applyNumberFormat="1"/>
    <xf numFmtId="1" fontId="0" fillId="0" borderId="0" xfId="0" applyNumberFormat="1"/>
    <xf numFmtId="164" fontId="0" fillId="0" borderId="3" xfId="0" applyNumberFormat="1" applyBorder="1" applyAlignment="1">
      <alignment horizontal="right"/>
    </xf>
    <xf numFmtId="0" fontId="0" fillId="0" borderId="4" xfId="0" applyBorder="1" applyAlignment="1">
      <alignment horizontal="right"/>
    </xf>
    <xf numFmtId="0" fontId="0" fillId="0" borderId="6" xfId="0" applyBorder="1" applyAlignment="1">
      <alignment horizontal="right"/>
    </xf>
    <xf numFmtId="2" fontId="0" fillId="0" borderId="6" xfId="0" applyNumberFormat="1" applyBorder="1"/>
    <xf numFmtId="2" fontId="0" fillId="0" borderId="9" xfId="0" applyNumberFormat="1" applyBorder="1"/>
    <xf numFmtId="1" fontId="0" fillId="0" borderId="3" xfId="0" applyNumberFormat="1" applyBorder="1"/>
    <xf numFmtId="164" fontId="0" fillId="0" borderId="0" xfId="0" applyNumberFormat="1" applyAlignment="1">
      <alignment horizontal="right"/>
    </xf>
    <xf numFmtId="1" fontId="0" fillId="0" borderId="8" xfId="0" applyNumberFormat="1" applyBorder="1"/>
    <xf numFmtId="164" fontId="0" fillId="0" borderId="8" xfId="0" applyNumberFormat="1" applyBorder="1" applyAlignment="1">
      <alignment horizontal="right"/>
    </xf>
    <xf numFmtId="0" fontId="0" fillId="0" borderId="9" xfId="0" applyBorder="1" applyAlignment="1">
      <alignment horizontal="right"/>
    </xf>
    <xf numFmtId="2" fontId="0" fillId="0" borderId="8" xfId="0" applyNumberFormat="1" applyBorder="1"/>
    <xf numFmtId="0" fontId="0" fillId="0" borderId="5"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0" fontId="0" fillId="0" borderId="14" xfId="0" applyBorder="1"/>
    <xf numFmtId="0" fontId="0" fillId="0" borderId="15" xfId="0" applyBorder="1"/>
    <xf numFmtId="0" fontId="0" fillId="0" borderId="10" xfId="0" applyBorder="1" applyAlignment="1">
      <alignment horizontal="center"/>
    </xf>
    <xf numFmtId="0" fontId="0" fillId="0" borderId="12" xfId="0" applyBorder="1" applyAlignment="1">
      <alignment horizontal="center"/>
    </xf>
    <xf numFmtId="0" fontId="0" fillId="0" borderId="8" xfId="0" applyBorder="1" applyAlignment="1">
      <alignment horizontal="left" vertical="top"/>
    </xf>
    <xf numFmtId="0" fontId="0" fillId="0" borderId="9" xfId="0" applyBorder="1" applyAlignment="1">
      <alignment horizontal="left" vertical="top"/>
    </xf>
    <xf numFmtId="0" fontId="0" fillId="0" borderId="5" xfId="0" applyBorder="1" applyAlignment="1">
      <alignment horizontal="left"/>
    </xf>
    <xf numFmtId="0" fontId="0" fillId="0" borderId="7" xfId="0" applyBorder="1" applyAlignment="1">
      <alignment horizontal="left" vertical="top" wrapText="1"/>
    </xf>
    <xf numFmtId="0" fontId="1" fillId="0" borderId="15"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3AE9-4A7F-4426-9CE0-9222F5668867}">
  <dimension ref="B1:AC139"/>
  <sheetViews>
    <sheetView tabSelected="1" topLeftCell="B1" workbookViewId="0">
      <selection activeCell="V6" sqref="V6"/>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17" width="9.33203125" customWidth="1"/>
    <col min="18" max="18" width="9.6640625" customWidth="1"/>
    <col min="19" max="20" width="9.44140625" customWidth="1"/>
    <col min="21" max="21" width="9.6640625" bestFit="1" customWidth="1"/>
    <col min="23" max="27" width="9.33203125" customWidth="1"/>
    <col min="29" max="29" width="10.5546875" bestFit="1" customWidth="1"/>
    <col min="30" max="30" width="10.21875" bestFit="1" customWidth="1"/>
  </cols>
  <sheetData>
    <row r="1" spans="2:14" ht="15" thickBot="1" x14ac:dyDescent="0.35"/>
    <row r="2" spans="2:14" ht="15" thickBot="1" x14ac:dyDescent="0.35">
      <c r="B2" s="10" t="s">
        <v>19</v>
      </c>
      <c r="C2" s="11"/>
      <c r="D2" s="11"/>
      <c r="E2" s="11"/>
      <c r="F2" s="11"/>
      <c r="G2" s="11"/>
      <c r="H2" s="11"/>
      <c r="I2" s="11"/>
      <c r="J2" s="11"/>
      <c r="K2" s="11"/>
      <c r="L2" s="11"/>
      <c r="M2" s="11"/>
      <c r="N2" s="12"/>
    </row>
    <row r="3" spans="2:14" x14ac:dyDescent="0.3">
      <c r="B3" s="20" t="s">
        <v>0</v>
      </c>
      <c r="C3" s="13" t="s">
        <v>49</v>
      </c>
      <c r="D3" s="3"/>
      <c r="E3" s="3"/>
      <c r="F3" s="3"/>
      <c r="G3" s="3"/>
      <c r="H3" s="3"/>
      <c r="I3" s="3"/>
      <c r="J3" s="3"/>
      <c r="K3" s="3"/>
      <c r="L3" s="3"/>
      <c r="M3" s="3"/>
      <c r="N3" s="4"/>
    </row>
    <row r="4" spans="2:14" x14ac:dyDescent="0.3">
      <c r="B4" s="21" t="s">
        <v>1</v>
      </c>
      <c r="C4" s="5" t="s">
        <v>50</v>
      </c>
      <c r="N4" s="6"/>
    </row>
    <row r="5" spans="2:14" x14ac:dyDescent="0.3">
      <c r="B5" s="21" t="s">
        <v>2</v>
      </c>
      <c r="C5" s="52">
        <v>2022</v>
      </c>
      <c r="N5" s="6"/>
    </row>
    <row r="6" spans="2:14" x14ac:dyDescent="0.3">
      <c r="B6" s="21" t="s">
        <v>4</v>
      </c>
      <c r="C6" s="5" t="s">
        <v>45</v>
      </c>
      <c r="N6" s="6"/>
    </row>
    <row r="7" spans="2:14" ht="60.6" customHeight="1" thickBot="1" x14ac:dyDescent="0.35">
      <c r="B7" s="54" t="s">
        <v>74</v>
      </c>
      <c r="C7" s="53" t="s">
        <v>75</v>
      </c>
      <c r="D7" s="50"/>
      <c r="E7" s="50"/>
      <c r="F7" s="50"/>
      <c r="G7" s="50"/>
      <c r="H7" s="50"/>
      <c r="I7" s="50"/>
      <c r="J7" s="50"/>
      <c r="K7" s="50"/>
      <c r="L7" s="50"/>
      <c r="M7" s="50"/>
      <c r="N7" s="51"/>
    </row>
    <row r="8" spans="2:14" ht="15" thickBot="1" x14ac:dyDescent="0.35"/>
    <row r="9" spans="2:14" ht="15" thickBot="1" x14ac:dyDescent="0.35">
      <c r="B9" s="10" t="s">
        <v>3</v>
      </c>
      <c r="C9" s="18"/>
      <c r="E9" s="10" t="s">
        <v>8</v>
      </c>
      <c r="F9" s="17"/>
      <c r="G9" s="17"/>
      <c r="H9" s="18"/>
    </row>
    <row r="10" spans="2:14" ht="15" thickBot="1" x14ac:dyDescent="0.35">
      <c r="B10" s="20" t="s">
        <v>14</v>
      </c>
      <c r="C10" s="6" t="s">
        <v>51</v>
      </c>
      <c r="E10" s="10" t="s">
        <v>33</v>
      </c>
      <c r="F10" s="11" t="s">
        <v>63</v>
      </c>
      <c r="G10" s="10" t="s">
        <v>33</v>
      </c>
      <c r="H10" s="12" t="s">
        <v>64</v>
      </c>
    </row>
    <row r="11" spans="2:14" ht="15" thickBot="1" x14ac:dyDescent="0.35">
      <c r="B11" s="21" t="s">
        <v>15</v>
      </c>
      <c r="C11" s="6" t="s">
        <v>47</v>
      </c>
      <c r="E11" s="48" t="s">
        <v>46</v>
      </c>
      <c r="F11" s="49"/>
      <c r="G11" s="48" t="s">
        <v>53</v>
      </c>
      <c r="H11" s="49"/>
    </row>
    <row r="12" spans="2:14" x14ac:dyDescent="0.3">
      <c r="B12" s="21" t="s">
        <v>9</v>
      </c>
      <c r="C12" s="6" t="s">
        <v>48</v>
      </c>
    </row>
    <row r="13" spans="2:14" x14ac:dyDescent="0.3">
      <c r="B13" s="21" t="s">
        <v>34</v>
      </c>
      <c r="C13" s="6" t="s">
        <v>27</v>
      </c>
    </row>
    <row r="14" spans="2:14" ht="15" thickBot="1" x14ac:dyDescent="0.35">
      <c r="B14" s="15" t="s">
        <v>8</v>
      </c>
      <c r="C14" s="9" t="s">
        <v>52</v>
      </c>
    </row>
    <row r="15" spans="2:14" ht="15" thickBot="1" x14ac:dyDescent="0.35">
      <c r="B15" s="1"/>
    </row>
    <row r="16" spans="2:14" ht="15" thickBot="1" x14ac:dyDescent="0.35">
      <c r="B16" s="10" t="s">
        <v>16</v>
      </c>
      <c r="C16" s="17"/>
      <c r="D16" s="18"/>
      <c r="F16" s="1"/>
    </row>
    <row r="17" spans="2:29" x14ac:dyDescent="0.3">
      <c r="B17" s="20" t="s">
        <v>17</v>
      </c>
      <c r="C17" s="3">
        <v>1</v>
      </c>
      <c r="D17" s="4" t="s">
        <v>7</v>
      </c>
      <c r="F17" s="1"/>
      <c r="G17" s="25"/>
    </row>
    <row r="18" spans="2:29" x14ac:dyDescent="0.3">
      <c r="B18" s="21" t="s">
        <v>35</v>
      </c>
      <c r="C18">
        <v>1</v>
      </c>
      <c r="D18" s="6" t="s">
        <v>7</v>
      </c>
      <c r="F18" s="1"/>
    </row>
    <row r="19" spans="2:29" x14ac:dyDescent="0.3">
      <c r="B19" s="21" t="s">
        <v>18</v>
      </c>
      <c r="C19">
        <v>0.55000000000000004</v>
      </c>
      <c r="D19" s="6" t="s">
        <v>7</v>
      </c>
      <c r="F19" s="1"/>
    </row>
    <row r="20" spans="2:29" x14ac:dyDescent="0.3">
      <c r="B20" s="21" t="s">
        <v>31</v>
      </c>
      <c r="C20">
        <v>3.0000000000000001E-3</v>
      </c>
      <c r="D20" s="6" t="s">
        <v>7</v>
      </c>
    </row>
    <row r="21" spans="2:29" x14ac:dyDescent="0.3">
      <c r="B21" s="21" t="s">
        <v>22</v>
      </c>
      <c r="C21">
        <v>5.0000000000000001E-4</v>
      </c>
      <c r="D21" s="6" t="s">
        <v>7</v>
      </c>
    </row>
    <row r="22" spans="2:29" ht="15" thickBot="1" x14ac:dyDescent="0.35">
      <c r="B22" s="15" t="s">
        <v>32</v>
      </c>
      <c r="C22" s="8">
        <v>185</v>
      </c>
      <c r="D22" s="9" t="s">
        <v>6</v>
      </c>
    </row>
    <row r="23" spans="2:29" ht="15" thickBot="1" x14ac:dyDescent="0.35">
      <c r="B23" s="1"/>
    </row>
    <row r="24" spans="2:29" ht="15" thickBot="1" x14ac:dyDescent="0.35">
      <c r="B24" s="2" t="s">
        <v>20</v>
      </c>
      <c r="C24" s="3"/>
      <c r="D24" s="4"/>
    </row>
    <row r="25" spans="2:29" x14ac:dyDescent="0.3">
      <c r="B25" s="2" t="s">
        <v>23</v>
      </c>
      <c r="C25" s="13">
        <v>3</v>
      </c>
      <c r="D25" s="4" t="s">
        <v>5</v>
      </c>
    </row>
    <row r="26" spans="2:29" x14ac:dyDescent="0.3">
      <c r="B26" s="19" t="s">
        <v>24</v>
      </c>
      <c r="C26" s="43" t="s">
        <v>54</v>
      </c>
      <c r="D26" s="6" t="s">
        <v>5</v>
      </c>
    </row>
    <row r="27" spans="2:29" ht="28.8" x14ac:dyDescent="0.3">
      <c r="B27" s="26" t="s">
        <v>36</v>
      </c>
      <c r="C27" s="44" t="s">
        <v>55</v>
      </c>
      <c r="D27" s="27" t="s">
        <v>26</v>
      </c>
    </row>
    <row r="28" spans="2:29" ht="15" thickBot="1" x14ac:dyDescent="0.35">
      <c r="B28" s="14" t="s">
        <v>21</v>
      </c>
      <c r="C28" s="45" t="s">
        <v>27</v>
      </c>
      <c r="D28" s="9" t="s">
        <v>37</v>
      </c>
      <c r="J28" s="30"/>
      <c r="K28" s="30"/>
      <c r="L28" s="30"/>
      <c r="M28" s="30"/>
      <c r="N28" s="30"/>
      <c r="R28" s="30"/>
      <c r="W28" s="30"/>
      <c r="X28" s="30"/>
    </row>
    <row r="29" spans="2:29" ht="15" thickBot="1" x14ac:dyDescent="0.35"/>
    <row r="30" spans="2:29" ht="15" thickBot="1" x14ac:dyDescent="0.35">
      <c r="B30" s="20"/>
      <c r="C30" s="10" t="s">
        <v>28</v>
      </c>
      <c r="D30" s="11"/>
      <c r="E30" s="11"/>
      <c r="F30" s="11"/>
      <c r="G30" s="11"/>
      <c r="H30" s="11"/>
      <c r="I30" s="11"/>
      <c r="J30" s="11"/>
      <c r="K30" s="11"/>
      <c r="L30" s="11"/>
      <c r="M30" s="11"/>
      <c r="N30" s="10" t="s">
        <v>12</v>
      </c>
      <c r="O30" s="11"/>
      <c r="P30" s="11"/>
      <c r="Q30" s="11"/>
      <c r="R30" s="11"/>
      <c r="S30" s="11"/>
      <c r="T30" s="11"/>
      <c r="U30" s="12"/>
      <c r="V30" s="16" t="s">
        <v>13</v>
      </c>
      <c r="W30" s="3"/>
      <c r="X30" s="3"/>
      <c r="Y30" s="3"/>
      <c r="Z30" s="3"/>
      <c r="AA30" s="3"/>
      <c r="AB30" s="3"/>
      <c r="AC30" s="18"/>
    </row>
    <row r="31" spans="2:29" ht="15" thickBot="1" x14ac:dyDescent="0.35">
      <c r="B31" s="15" t="s">
        <v>10</v>
      </c>
      <c r="C31" s="14" t="s">
        <v>65</v>
      </c>
      <c r="D31" s="28" t="s">
        <v>66</v>
      </c>
      <c r="E31" s="28" t="s">
        <v>30</v>
      </c>
      <c r="F31" s="28" t="s">
        <v>29</v>
      </c>
      <c r="G31" s="28" t="s">
        <v>56</v>
      </c>
      <c r="H31" s="28" t="s">
        <v>62</v>
      </c>
      <c r="I31" s="28" t="s">
        <v>61</v>
      </c>
      <c r="J31" s="28" t="s">
        <v>57</v>
      </c>
      <c r="K31" s="28" t="s">
        <v>58</v>
      </c>
      <c r="L31" s="28" t="s">
        <v>59</v>
      </c>
      <c r="M31" s="28" t="s">
        <v>60</v>
      </c>
      <c r="N31" s="10" t="s">
        <v>38</v>
      </c>
      <c r="O31" s="11" t="s">
        <v>39</v>
      </c>
      <c r="P31" s="11" t="s">
        <v>40</v>
      </c>
      <c r="Q31" s="11" t="s">
        <v>71</v>
      </c>
      <c r="R31" s="11" t="s">
        <v>72</v>
      </c>
      <c r="S31" s="28" t="s">
        <v>73</v>
      </c>
      <c r="T31" s="28" t="s">
        <v>41</v>
      </c>
      <c r="U31" s="29" t="s">
        <v>42</v>
      </c>
      <c r="V31" s="10" t="s">
        <v>43</v>
      </c>
      <c r="W31" s="11" t="s">
        <v>44</v>
      </c>
      <c r="X31" s="11" t="s">
        <v>67</v>
      </c>
      <c r="Y31" s="11" t="s">
        <v>68</v>
      </c>
      <c r="Z31" s="11" t="s">
        <v>69</v>
      </c>
      <c r="AA31" s="11" t="s">
        <v>70</v>
      </c>
      <c r="AB31" s="11" t="s">
        <v>11</v>
      </c>
      <c r="AC31" s="12" t="s">
        <v>25</v>
      </c>
    </row>
    <row r="32" spans="2:29" x14ac:dyDescent="0.3">
      <c r="B32" s="46">
        <v>1</v>
      </c>
      <c r="C32" s="5">
        <v>0.1</v>
      </c>
      <c r="D32">
        <v>0.9</v>
      </c>
      <c r="E32">
        <v>3.0000000000000001E-3</v>
      </c>
      <c r="F32" s="3">
        <v>1</v>
      </c>
      <c r="G32">
        <v>1</v>
      </c>
      <c r="H32">
        <v>0.1</v>
      </c>
      <c r="I32">
        <v>0.3</v>
      </c>
      <c r="J32" s="37">
        <v>1127.68550356321</v>
      </c>
      <c r="K32">
        <v>7.54</v>
      </c>
      <c r="L32" s="30">
        <v>33.1323730278258</v>
      </c>
      <c r="M32" s="30">
        <v>33.1323730278258</v>
      </c>
      <c r="N32" s="13">
        <v>30</v>
      </c>
      <c r="O32" s="3">
        <v>1.2E-2</v>
      </c>
      <c r="P32" s="3">
        <v>3</v>
      </c>
      <c r="Q32" s="3">
        <v>30</v>
      </c>
      <c r="R32" s="24">
        <v>1.2E-2</v>
      </c>
      <c r="S32" s="3">
        <v>0.89999999999999991</v>
      </c>
      <c r="T32" s="32" t="s">
        <v>27</v>
      </c>
      <c r="U32" s="33" t="s">
        <v>27</v>
      </c>
      <c r="V32" s="30">
        <v>23.788177295468099</v>
      </c>
      <c r="W32" s="22">
        <f>O32</f>
        <v>1.2E-2</v>
      </c>
      <c r="X32" s="32" t="s">
        <v>27</v>
      </c>
      <c r="Y32" s="32" t="s">
        <v>27</v>
      </c>
      <c r="Z32" s="32" t="s">
        <v>27</v>
      </c>
      <c r="AA32" s="32" t="s">
        <v>27</v>
      </c>
      <c r="AB32" s="30">
        <v>0.69310530802426695</v>
      </c>
      <c r="AC32" s="35">
        <v>0.46936149356297802</v>
      </c>
    </row>
    <row r="33" spans="2:29" x14ac:dyDescent="0.3">
      <c r="B33" s="46">
        <v>2</v>
      </c>
      <c r="C33" s="5">
        <v>0.2</v>
      </c>
      <c r="D33">
        <v>0.8</v>
      </c>
      <c r="E33">
        <v>3.0000000000000001E-3</v>
      </c>
      <c r="F33">
        <v>1</v>
      </c>
      <c r="G33">
        <v>1</v>
      </c>
      <c r="H33">
        <v>0.1</v>
      </c>
      <c r="I33">
        <v>0.3</v>
      </c>
      <c r="J33" s="31">
        <v>1131.00356628386</v>
      </c>
      <c r="K33">
        <v>7.54</v>
      </c>
      <c r="L33" s="30">
        <v>33.086822082767299</v>
      </c>
      <c r="M33" s="30">
        <v>33.086822082767299</v>
      </c>
      <c r="N33" s="5">
        <v>30</v>
      </c>
      <c r="O33">
        <v>1.2E-2</v>
      </c>
      <c r="P33">
        <v>3</v>
      </c>
      <c r="Q33">
        <v>30</v>
      </c>
      <c r="R33" s="22">
        <v>1.2E-2</v>
      </c>
      <c r="S33">
        <v>0.89999999999999991</v>
      </c>
      <c r="T33" s="38" t="s">
        <v>27</v>
      </c>
      <c r="U33" s="34" t="s">
        <v>27</v>
      </c>
      <c r="V33" s="30">
        <v>22.793103422356399</v>
      </c>
      <c r="W33" s="22">
        <f>O33</f>
        <v>1.2E-2</v>
      </c>
      <c r="X33" s="38" t="s">
        <v>27</v>
      </c>
      <c r="Y33" s="38" t="s">
        <v>27</v>
      </c>
      <c r="Z33" s="38" t="s">
        <v>27</v>
      </c>
      <c r="AA33" s="38" t="s">
        <v>27</v>
      </c>
      <c r="AB33" s="30">
        <v>0.80471646873670999</v>
      </c>
      <c r="AC33" s="35">
        <v>0.54494305452319902</v>
      </c>
    </row>
    <row r="34" spans="2:29" x14ac:dyDescent="0.3">
      <c r="B34" s="46">
        <f>B33+1</f>
        <v>3</v>
      </c>
      <c r="C34" s="5">
        <v>0.3</v>
      </c>
      <c r="D34">
        <v>0.7</v>
      </c>
      <c r="E34">
        <v>3.0000000000000001E-3</v>
      </c>
      <c r="F34">
        <v>1</v>
      </c>
      <c r="G34">
        <v>1</v>
      </c>
      <c r="H34">
        <v>0.1</v>
      </c>
      <c r="I34">
        <v>0.3</v>
      </c>
      <c r="J34" s="31">
        <v>1132.6850294880301</v>
      </c>
      <c r="K34">
        <v>7.54</v>
      </c>
      <c r="L34" s="30">
        <v>33.063811286828397</v>
      </c>
      <c r="M34" s="30">
        <v>33.063811286828397</v>
      </c>
      <c r="N34" s="5">
        <v>30</v>
      </c>
      <c r="O34">
        <v>1.2E-2</v>
      </c>
      <c r="P34">
        <v>3</v>
      </c>
      <c r="Q34">
        <v>30</v>
      </c>
      <c r="R34" s="22">
        <v>1.2E-2</v>
      </c>
      <c r="S34">
        <v>0.89999999999999991</v>
      </c>
      <c r="T34" s="38" t="s">
        <v>27</v>
      </c>
      <c r="U34" s="34" t="s">
        <v>27</v>
      </c>
      <c r="V34" s="30">
        <v>22.290640358912199</v>
      </c>
      <c r="W34" s="22">
        <f t="shared" ref="W34:W97" si="0">O34</f>
        <v>1.2E-2</v>
      </c>
      <c r="X34" s="38" t="s">
        <v>27</v>
      </c>
      <c r="Y34" s="38" t="s">
        <v>27</v>
      </c>
      <c r="Z34" s="38" t="s">
        <v>27</v>
      </c>
      <c r="AA34" s="38" t="s">
        <v>27</v>
      </c>
      <c r="AB34" s="30">
        <v>0.86052204909293095</v>
      </c>
      <c r="AC34" s="35">
        <v>0.58273383500331</v>
      </c>
    </row>
    <row r="35" spans="2:29" x14ac:dyDescent="0.3">
      <c r="B35" s="46">
        <f t="shared" ref="B35:B98" si="1">B34+1</f>
        <v>4</v>
      </c>
      <c r="C35" s="5">
        <v>0.4</v>
      </c>
      <c r="D35">
        <v>0.6</v>
      </c>
      <c r="E35">
        <v>3.0000000000000001E-3</v>
      </c>
      <c r="F35">
        <v>1</v>
      </c>
      <c r="G35">
        <v>1</v>
      </c>
      <c r="H35">
        <v>0.1</v>
      </c>
      <c r="I35">
        <v>0.3</v>
      </c>
      <c r="J35" s="31">
        <v>1133.65948711797</v>
      </c>
      <c r="K35">
        <v>7.54</v>
      </c>
      <c r="L35" s="30">
        <v>33.0504981142739</v>
      </c>
      <c r="M35" s="30">
        <v>33.0504981142739</v>
      </c>
      <c r="N35" s="5">
        <v>30</v>
      </c>
      <c r="O35">
        <v>1.2E-2</v>
      </c>
      <c r="P35">
        <v>3</v>
      </c>
      <c r="Q35">
        <v>30</v>
      </c>
      <c r="R35" s="22">
        <v>1.2E-2</v>
      </c>
      <c r="S35">
        <v>0.89999999999999991</v>
      </c>
      <c r="T35" s="38" t="s">
        <v>27</v>
      </c>
      <c r="U35" s="34" t="s">
        <v>27</v>
      </c>
      <c r="V35" s="30">
        <v>22.000000093958</v>
      </c>
      <c r="W35" s="22">
        <f t="shared" si="0"/>
        <v>1.2E-2</v>
      </c>
      <c r="X35" s="38" t="s">
        <v>27</v>
      </c>
      <c r="Y35" s="38" t="s">
        <v>27</v>
      </c>
      <c r="Z35" s="38" t="s">
        <v>27</v>
      </c>
      <c r="AA35" s="38" t="s">
        <v>27</v>
      </c>
      <c r="AB35" s="30">
        <v>0.89288928569953896</v>
      </c>
      <c r="AC35" s="35">
        <v>0.60465248768177504</v>
      </c>
    </row>
    <row r="36" spans="2:29" x14ac:dyDescent="0.3">
      <c r="B36" s="46">
        <f t="shared" si="1"/>
        <v>5</v>
      </c>
      <c r="C36" s="5">
        <v>0.5</v>
      </c>
      <c r="D36">
        <v>0.5</v>
      </c>
      <c r="E36">
        <v>3.0000000000000001E-3</v>
      </c>
      <c r="F36">
        <v>1</v>
      </c>
      <c r="G36">
        <v>1</v>
      </c>
      <c r="H36">
        <v>0.1</v>
      </c>
      <c r="I36">
        <v>0.3</v>
      </c>
      <c r="J36" s="31">
        <v>1134.50290829702</v>
      </c>
      <c r="K36">
        <v>7.54</v>
      </c>
      <c r="L36" s="30">
        <v>33.038988336385998</v>
      </c>
      <c r="M36" s="30">
        <v>33.038988336385998</v>
      </c>
      <c r="N36" s="5">
        <v>30</v>
      </c>
      <c r="O36">
        <v>1.2E-2</v>
      </c>
      <c r="P36">
        <v>3</v>
      </c>
      <c r="Q36">
        <v>30</v>
      </c>
      <c r="R36" s="22">
        <v>1.2E-2</v>
      </c>
      <c r="S36">
        <v>0.89999999999999991</v>
      </c>
      <c r="T36" s="38" t="s">
        <v>27</v>
      </c>
      <c r="U36" s="34" t="s">
        <v>27</v>
      </c>
      <c r="V36" s="30">
        <v>21.748768656193999</v>
      </c>
      <c r="W36" s="22">
        <f t="shared" si="0"/>
        <v>1.2E-2</v>
      </c>
      <c r="X36" s="38" t="s">
        <v>27</v>
      </c>
      <c r="Y36" s="38" t="s">
        <v>27</v>
      </c>
      <c r="Z36" s="38" t="s">
        <v>27</v>
      </c>
      <c r="AA36" s="38" t="s">
        <v>27</v>
      </c>
      <c r="AB36" s="30">
        <v>0.92079207587765</v>
      </c>
      <c r="AC36" s="35">
        <v>0.62354787792182997</v>
      </c>
    </row>
    <row r="37" spans="2:29" x14ac:dyDescent="0.3">
      <c r="B37" s="46">
        <f t="shared" si="1"/>
        <v>6</v>
      </c>
      <c r="C37" s="5">
        <v>0.6</v>
      </c>
      <c r="D37">
        <v>0.4</v>
      </c>
      <c r="E37">
        <v>3.0000000000000001E-3</v>
      </c>
      <c r="F37">
        <v>1</v>
      </c>
      <c r="G37">
        <v>1</v>
      </c>
      <c r="H37">
        <v>0.1</v>
      </c>
      <c r="I37">
        <v>0.3</v>
      </c>
      <c r="J37" s="31">
        <v>1135.0657536077099</v>
      </c>
      <c r="K37">
        <v>7.54</v>
      </c>
      <c r="L37" s="30">
        <v>33.031314227887698</v>
      </c>
      <c r="M37" s="30">
        <v>33.031314227887698</v>
      </c>
      <c r="N37" s="5">
        <v>30</v>
      </c>
      <c r="O37">
        <v>1.2E-2</v>
      </c>
      <c r="P37">
        <v>3</v>
      </c>
      <c r="Q37">
        <v>30</v>
      </c>
      <c r="R37" s="22">
        <v>1.2E-2</v>
      </c>
      <c r="S37">
        <v>0.89999999999999991</v>
      </c>
      <c r="T37" s="38" t="s">
        <v>27</v>
      </c>
      <c r="U37" s="34" t="s">
        <v>27</v>
      </c>
      <c r="V37" s="30">
        <v>21.581280905740599</v>
      </c>
      <c r="W37" s="22">
        <f t="shared" si="0"/>
        <v>1.2E-2</v>
      </c>
      <c r="X37" s="38" t="s">
        <v>27</v>
      </c>
      <c r="Y37" s="38" t="s">
        <v>27</v>
      </c>
      <c r="Z37" s="38" t="s">
        <v>27</v>
      </c>
      <c r="AA37" s="38" t="s">
        <v>27</v>
      </c>
      <c r="AB37" s="30">
        <v>0.93976597319876498</v>
      </c>
      <c r="AC37" s="35">
        <v>0.63639674328506801</v>
      </c>
    </row>
    <row r="38" spans="2:29" x14ac:dyDescent="0.3">
      <c r="B38" s="46">
        <f t="shared" si="1"/>
        <v>7</v>
      </c>
      <c r="C38" s="5">
        <v>0.7</v>
      </c>
      <c r="D38">
        <v>0.30000000000000004</v>
      </c>
      <c r="E38">
        <v>3.0000000000000001E-3</v>
      </c>
      <c r="F38">
        <v>1</v>
      </c>
      <c r="G38">
        <v>1</v>
      </c>
      <c r="H38">
        <v>0.1</v>
      </c>
      <c r="I38">
        <v>0.3</v>
      </c>
      <c r="J38" s="31">
        <v>1135.04919314682</v>
      </c>
      <c r="K38">
        <v>7.54</v>
      </c>
      <c r="L38" s="30">
        <v>33.031539943894998</v>
      </c>
      <c r="M38" s="30">
        <v>33.031539943894998</v>
      </c>
      <c r="N38" s="5">
        <v>30</v>
      </c>
      <c r="O38">
        <v>1.2E-2</v>
      </c>
      <c r="P38">
        <v>3</v>
      </c>
      <c r="Q38">
        <v>30</v>
      </c>
      <c r="R38" s="22">
        <v>1.2E-2</v>
      </c>
      <c r="S38">
        <v>0.89999999999999991</v>
      </c>
      <c r="T38" s="38" t="s">
        <v>27</v>
      </c>
      <c r="U38" s="34" t="s">
        <v>27</v>
      </c>
      <c r="V38" s="30">
        <v>21.586206938670799</v>
      </c>
      <c r="W38" s="22">
        <f t="shared" si="0"/>
        <v>1.2E-2</v>
      </c>
      <c r="X38" s="38" t="s">
        <v>27</v>
      </c>
      <c r="Y38" s="38" t="s">
        <v>27</v>
      </c>
      <c r="Z38" s="38" t="s">
        <v>27</v>
      </c>
      <c r="AA38" s="38" t="s">
        <v>27</v>
      </c>
      <c r="AB38" s="30">
        <v>0.93864986159163999</v>
      </c>
      <c r="AC38" s="35">
        <v>0.63564092767546498</v>
      </c>
    </row>
    <row r="39" spans="2:29" x14ac:dyDescent="0.3">
      <c r="B39" s="46">
        <f t="shared" si="1"/>
        <v>8</v>
      </c>
      <c r="C39" s="5">
        <v>0.8</v>
      </c>
      <c r="D39">
        <v>0.19999999999999996</v>
      </c>
      <c r="E39">
        <v>3.0000000000000001E-3</v>
      </c>
      <c r="F39">
        <v>1</v>
      </c>
      <c r="G39">
        <v>1</v>
      </c>
      <c r="H39">
        <v>0.1</v>
      </c>
      <c r="I39">
        <v>0.3</v>
      </c>
      <c r="J39" s="31">
        <v>1135.03263307678</v>
      </c>
      <c r="K39">
        <v>7.54</v>
      </c>
      <c r="L39" s="30">
        <v>33.031765659267101</v>
      </c>
      <c r="M39" s="30">
        <v>33.031765659267101</v>
      </c>
      <c r="N39" s="5">
        <v>30</v>
      </c>
      <c r="O39">
        <v>1.2E-2</v>
      </c>
      <c r="P39">
        <v>3</v>
      </c>
      <c r="Q39">
        <v>30</v>
      </c>
      <c r="R39" s="22">
        <v>1.2E-2</v>
      </c>
      <c r="S39">
        <v>0.89999999999999991</v>
      </c>
      <c r="T39" s="38" t="s">
        <v>27</v>
      </c>
      <c r="U39" s="34" t="s">
        <v>27</v>
      </c>
      <c r="V39" s="30">
        <v>21.591132971600999</v>
      </c>
      <c r="W39" s="22">
        <f t="shared" si="0"/>
        <v>1.2E-2</v>
      </c>
      <c r="X39" s="38" t="s">
        <v>27</v>
      </c>
      <c r="Y39" s="38" t="s">
        <v>27</v>
      </c>
      <c r="Z39" s="38" t="s">
        <v>27</v>
      </c>
      <c r="AA39" s="38" t="s">
        <v>27</v>
      </c>
      <c r="AB39" s="30">
        <v>0.93864986159163999</v>
      </c>
      <c r="AC39" s="35">
        <v>0.63564092767546498</v>
      </c>
    </row>
    <row r="40" spans="2:29" x14ac:dyDescent="0.3">
      <c r="B40" s="46">
        <f t="shared" si="1"/>
        <v>9</v>
      </c>
      <c r="C40" s="5">
        <v>0.9</v>
      </c>
      <c r="D40">
        <v>9.9999999999999978E-2</v>
      </c>
      <c r="E40">
        <v>3.0000000000000001E-3</v>
      </c>
      <c r="F40">
        <v>1</v>
      </c>
      <c r="G40">
        <v>1</v>
      </c>
      <c r="H40">
        <v>0.1</v>
      </c>
      <c r="I40">
        <v>0.3</v>
      </c>
      <c r="J40" s="31">
        <v>1134.3209082805399</v>
      </c>
      <c r="K40">
        <v>7.54</v>
      </c>
      <c r="L40" s="30">
        <v>33.0414709744676</v>
      </c>
      <c r="M40" s="30">
        <v>33.0414709744676</v>
      </c>
      <c r="N40" s="5">
        <v>30</v>
      </c>
      <c r="O40">
        <v>1.2E-2</v>
      </c>
      <c r="P40">
        <v>3</v>
      </c>
      <c r="Q40">
        <v>30</v>
      </c>
      <c r="R40" s="22">
        <v>1.2E-2</v>
      </c>
      <c r="S40">
        <v>0.89999999999999991</v>
      </c>
      <c r="T40" s="38" t="s">
        <v>27</v>
      </c>
      <c r="U40" s="34" t="s">
        <v>27</v>
      </c>
      <c r="V40" s="30">
        <v>21.802955770091</v>
      </c>
      <c r="W40" s="22">
        <f t="shared" si="0"/>
        <v>1.2E-2</v>
      </c>
      <c r="X40" s="38" t="s">
        <v>27</v>
      </c>
      <c r="Y40" s="38" t="s">
        <v>27</v>
      </c>
      <c r="Z40" s="38" t="s">
        <v>27</v>
      </c>
      <c r="AA40" s="38" t="s">
        <v>27</v>
      </c>
      <c r="AB40" s="30">
        <v>0.91521151784202803</v>
      </c>
      <c r="AC40" s="35">
        <v>0.61976879987381905</v>
      </c>
    </row>
    <row r="41" spans="2:29" x14ac:dyDescent="0.3">
      <c r="B41" s="46">
        <f t="shared" si="1"/>
        <v>10</v>
      </c>
      <c r="C41" s="5">
        <v>0.1</v>
      </c>
      <c r="D41">
        <v>0.9</v>
      </c>
      <c r="E41">
        <v>3.0000000000000001E-3</v>
      </c>
      <c r="F41">
        <v>1</v>
      </c>
      <c r="G41">
        <v>1</v>
      </c>
      <c r="H41">
        <v>0.1</v>
      </c>
      <c r="I41">
        <v>0.5</v>
      </c>
      <c r="J41" s="31">
        <v>1128.34129416212</v>
      </c>
      <c r="K41">
        <v>7.54</v>
      </c>
      <c r="L41" s="30">
        <v>33.123355090164601</v>
      </c>
      <c r="M41" s="30">
        <v>33.123355090164601</v>
      </c>
      <c r="N41" s="5">
        <v>30</v>
      </c>
      <c r="O41">
        <v>1.2E-2</v>
      </c>
      <c r="P41">
        <v>3</v>
      </c>
      <c r="Q41">
        <v>30</v>
      </c>
      <c r="R41" s="22">
        <v>1.2E-2</v>
      </c>
      <c r="S41">
        <v>1.5</v>
      </c>
      <c r="T41" s="38" t="s">
        <v>27</v>
      </c>
      <c r="U41" s="34" t="s">
        <v>27</v>
      </c>
      <c r="V41" s="30">
        <v>23.591132971600999</v>
      </c>
      <c r="W41" s="22">
        <f t="shared" si="0"/>
        <v>1.2E-2</v>
      </c>
      <c r="X41" s="38" t="s">
        <v>27</v>
      </c>
      <c r="Y41" s="38" t="s">
        <v>27</v>
      </c>
      <c r="Z41" s="38" t="s">
        <v>27</v>
      </c>
      <c r="AA41" s="38" t="s">
        <v>27</v>
      </c>
      <c r="AB41" s="30">
        <v>0.71542754016675603</v>
      </c>
      <c r="AC41" s="35">
        <v>0.48447780575502197</v>
      </c>
    </row>
    <row r="42" spans="2:29" x14ac:dyDescent="0.3">
      <c r="B42" s="46">
        <f t="shared" si="1"/>
        <v>11</v>
      </c>
      <c r="C42" s="5">
        <v>0.2</v>
      </c>
      <c r="D42">
        <v>0.8</v>
      </c>
      <c r="E42">
        <v>3.0000000000000001E-3</v>
      </c>
      <c r="F42">
        <v>1</v>
      </c>
      <c r="G42">
        <v>1</v>
      </c>
      <c r="H42">
        <v>0.1</v>
      </c>
      <c r="I42">
        <v>0.5</v>
      </c>
      <c r="J42" s="31">
        <v>1131.6624819808801</v>
      </c>
      <c r="K42">
        <v>7.54</v>
      </c>
      <c r="L42" s="30">
        <v>33.077799028096798</v>
      </c>
      <c r="M42" s="30">
        <v>33.077799028096798</v>
      </c>
      <c r="N42" s="5">
        <v>30</v>
      </c>
      <c r="O42">
        <v>1.2E-2</v>
      </c>
      <c r="P42">
        <v>3</v>
      </c>
      <c r="Q42">
        <v>30</v>
      </c>
      <c r="R42" s="22">
        <v>1.2E-2</v>
      </c>
      <c r="S42">
        <v>1.5</v>
      </c>
      <c r="T42" s="38" t="s">
        <v>27</v>
      </c>
      <c r="U42" s="34" t="s">
        <v>27</v>
      </c>
      <c r="V42" s="30">
        <v>22.596059098489299</v>
      </c>
      <c r="W42" s="22">
        <f t="shared" si="0"/>
        <v>1.2E-2</v>
      </c>
      <c r="X42" s="38" t="s">
        <v>27</v>
      </c>
      <c r="Y42" s="38" t="s">
        <v>27</v>
      </c>
      <c r="Z42" s="38" t="s">
        <v>27</v>
      </c>
      <c r="AA42" s="38" t="s">
        <v>27</v>
      </c>
      <c r="AB42" s="30">
        <v>0.82592258927207396</v>
      </c>
      <c r="AC42" s="35">
        <v>0.55930355110564101</v>
      </c>
    </row>
    <row r="43" spans="2:29" x14ac:dyDescent="0.3">
      <c r="B43" s="46">
        <f t="shared" si="1"/>
        <v>12</v>
      </c>
      <c r="C43" s="5">
        <v>0.3</v>
      </c>
      <c r="D43">
        <v>0.7</v>
      </c>
      <c r="E43">
        <v>3.0000000000000001E-3</v>
      </c>
      <c r="F43">
        <v>1</v>
      </c>
      <c r="G43">
        <v>1</v>
      </c>
      <c r="H43">
        <v>0.1</v>
      </c>
      <c r="I43">
        <v>0.5</v>
      </c>
      <c r="J43" s="31">
        <v>1134.0231929110601</v>
      </c>
      <c r="K43">
        <v>7.54</v>
      </c>
      <c r="L43" s="30">
        <v>33.045533294132198</v>
      </c>
      <c r="M43" s="30">
        <v>33.045533294132198</v>
      </c>
      <c r="N43" s="5">
        <v>30</v>
      </c>
      <c r="O43">
        <v>1.2E-2</v>
      </c>
      <c r="P43">
        <v>3</v>
      </c>
      <c r="Q43">
        <v>30</v>
      </c>
      <c r="R43" s="22">
        <v>1.2E-2</v>
      </c>
      <c r="S43">
        <v>1.5</v>
      </c>
      <c r="T43" s="38" t="s">
        <v>27</v>
      </c>
      <c r="U43" s="34" t="s">
        <v>27</v>
      </c>
      <c r="V43" s="30">
        <v>21.891625302415701</v>
      </c>
      <c r="W43" s="22">
        <f t="shared" si="0"/>
        <v>1.2E-2</v>
      </c>
      <c r="X43" s="38" t="s">
        <v>27</v>
      </c>
      <c r="Y43" s="38" t="s">
        <v>27</v>
      </c>
      <c r="Z43" s="38" t="s">
        <v>27</v>
      </c>
      <c r="AA43" s="38" t="s">
        <v>27</v>
      </c>
      <c r="AB43" s="30">
        <v>0.90516651337790799</v>
      </c>
      <c r="AC43" s="35">
        <v>0.61296645938739902</v>
      </c>
    </row>
    <row r="44" spans="2:29" x14ac:dyDescent="0.3">
      <c r="B44" s="46">
        <f t="shared" si="1"/>
        <v>13</v>
      </c>
      <c r="C44" s="5">
        <v>0.4</v>
      </c>
      <c r="D44">
        <v>0.6</v>
      </c>
      <c r="E44">
        <v>3.0000000000000001E-3</v>
      </c>
      <c r="F44">
        <v>1</v>
      </c>
      <c r="G44">
        <v>1</v>
      </c>
      <c r="H44">
        <v>0.1</v>
      </c>
      <c r="I44">
        <v>0.5</v>
      </c>
      <c r="J44" s="31">
        <v>1135.36391381167</v>
      </c>
      <c r="K44">
        <v>7.54</v>
      </c>
      <c r="L44" s="30">
        <v>33.027251162250998</v>
      </c>
      <c r="M44" s="30">
        <v>33.027251162250998</v>
      </c>
      <c r="N44" s="5">
        <v>30</v>
      </c>
      <c r="O44">
        <v>1.2E-2</v>
      </c>
      <c r="P44">
        <v>3</v>
      </c>
      <c r="Q44">
        <v>30</v>
      </c>
      <c r="R44" s="22">
        <v>1.2E-2</v>
      </c>
      <c r="S44">
        <v>1.5</v>
      </c>
      <c r="T44" s="38" t="s">
        <v>27</v>
      </c>
      <c r="U44" s="34" t="s">
        <v>27</v>
      </c>
      <c r="V44" s="30">
        <v>21.4926108096675</v>
      </c>
      <c r="W44" s="22">
        <f t="shared" si="0"/>
        <v>1.2E-2</v>
      </c>
      <c r="X44" s="38" t="s">
        <v>27</v>
      </c>
      <c r="Y44" s="38" t="s">
        <v>27</v>
      </c>
      <c r="Z44" s="38" t="s">
        <v>27</v>
      </c>
      <c r="AA44" s="38" t="s">
        <v>27</v>
      </c>
      <c r="AB44" s="30">
        <v>0.94981097766288503</v>
      </c>
      <c r="AC44" s="35">
        <v>0.64319908377148804</v>
      </c>
    </row>
    <row r="45" spans="2:29" x14ac:dyDescent="0.3">
      <c r="B45" s="46">
        <f t="shared" si="1"/>
        <v>14</v>
      </c>
      <c r="C45" s="5">
        <v>0.5</v>
      </c>
      <c r="D45">
        <v>0.5</v>
      </c>
      <c r="E45">
        <v>3.0000000000000001E-3</v>
      </c>
      <c r="F45">
        <v>1</v>
      </c>
      <c r="G45">
        <v>1</v>
      </c>
      <c r="H45">
        <v>0.1</v>
      </c>
      <c r="I45">
        <v>0.5</v>
      </c>
      <c r="J45" s="31">
        <v>1136.34210410798</v>
      </c>
      <c r="K45">
        <v>7.54</v>
      </c>
      <c r="L45" s="30">
        <v>33.013931911911399</v>
      </c>
      <c r="M45" s="30">
        <v>33.013931911911399</v>
      </c>
      <c r="N45" s="5">
        <v>30</v>
      </c>
      <c r="O45">
        <v>1.2E-2</v>
      </c>
      <c r="P45">
        <v>3</v>
      </c>
      <c r="Q45">
        <v>30</v>
      </c>
      <c r="R45" s="22">
        <v>1.2E-2</v>
      </c>
      <c r="S45">
        <v>1.5</v>
      </c>
      <c r="T45" s="38" t="s">
        <v>27</v>
      </c>
      <c r="U45" s="34" t="s">
        <v>27</v>
      </c>
      <c r="V45" s="30">
        <v>21.201970356797201</v>
      </c>
      <c r="W45" s="22">
        <f t="shared" si="0"/>
        <v>1.2E-2</v>
      </c>
      <c r="X45" s="38" t="s">
        <v>27</v>
      </c>
      <c r="Y45" s="38" t="s">
        <v>27</v>
      </c>
      <c r="Z45" s="38" t="s">
        <v>27</v>
      </c>
      <c r="AA45" s="38" t="s">
        <v>27</v>
      </c>
      <c r="AB45" s="30">
        <v>0.98217821426949303</v>
      </c>
      <c r="AC45" s="35">
        <v>0.66511773644995198</v>
      </c>
    </row>
    <row r="46" spans="2:29" x14ac:dyDescent="0.3">
      <c r="B46" s="46">
        <f t="shared" si="1"/>
        <v>15</v>
      </c>
      <c r="C46" s="5">
        <v>0.6</v>
      </c>
      <c r="D46">
        <v>0.4</v>
      </c>
      <c r="E46">
        <v>3.0000000000000001E-3</v>
      </c>
      <c r="F46">
        <v>1</v>
      </c>
      <c r="G46">
        <v>1</v>
      </c>
      <c r="H46">
        <v>0.1</v>
      </c>
      <c r="I46">
        <v>0.5</v>
      </c>
      <c r="J46" s="31">
        <v>1136.8732177398599</v>
      </c>
      <c r="K46">
        <v>7.54</v>
      </c>
      <c r="L46" s="30">
        <v>33.006706995096401</v>
      </c>
      <c r="M46" s="30">
        <v>33.006706995096401</v>
      </c>
      <c r="N46" s="5">
        <v>30</v>
      </c>
      <c r="O46">
        <v>1.2E-2</v>
      </c>
      <c r="P46">
        <v>3</v>
      </c>
      <c r="Q46">
        <v>30</v>
      </c>
      <c r="R46" s="22">
        <v>1.2E-2</v>
      </c>
      <c r="S46">
        <v>1.5</v>
      </c>
      <c r="T46" s="38" t="s">
        <v>27</v>
      </c>
      <c r="U46" s="34" t="s">
        <v>27</v>
      </c>
      <c r="V46" s="30">
        <v>21.044335048036501</v>
      </c>
      <c r="W46" s="22">
        <f t="shared" si="0"/>
        <v>1.2E-2</v>
      </c>
      <c r="X46" s="38" t="s">
        <v>27</v>
      </c>
      <c r="Y46" s="38" t="s">
        <v>27</v>
      </c>
      <c r="Z46" s="38" t="s">
        <v>27</v>
      </c>
      <c r="AA46" s="38" t="s">
        <v>27</v>
      </c>
      <c r="AB46" s="30">
        <v>1.00003599998348</v>
      </c>
      <c r="AC46" s="35">
        <v>0.67721078620358799</v>
      </c>
    </row>
    <row r="47" spans="2:29" x14ac:dyDescent="0.3">
      <c r="B47" s="46">
        <f t="shared" si="1"/>
        <v>16</v>
      </c>
      <c r="C47" s="5">
        <v>0.7</v>
      </c>
      <c r="D47">
        <v>0.30000000000000004</v>
      </c>
      <c r="E47">
        <v>3.0000000000000001E-3</v>
      </c>
      <c r="F47">
        <v>1</v>
      </c>
      <c r="G47">
        <v>1</v>
      </c>
      <c r="H47">
        <v>0.1</v>
      </c>
      <c r="I47">
        <v>0.5</v>
      </c>
      <c r="J47" s="31">
        <v>1137.3715020478601</v>
      </c>
      <c r="K47">
        <v>7.54</v>
      </c>
      <c r="L47" s="30">
        <v>32.999933037826501</v>
      </c>
      <c r="M47" s="30">
        <v>32.999933037826501</v>
      </c>
      <c r="N47" s="5">
        <v>30</v>
      </c>
      <c r="O47">
        <v>1.2E-2</v>
      </c>
      <c r="P47">
        <v>3</v>
      </c>
      <c r="Q47">
        <v>30</v>
      </c>
      <c r="R47" s="22">
        <v>1.2E-2</v>
      </c>
      <c r="S47">
        <v>1.5</v>
      </c>
      <c r="T47" s="38" t="s">
        <v>27</v>
      </c>
      <c r="U47" s="34" t="s">
        <v>27</v>
      </c>
      <c r="V47" s="30">
        <v>20.896551805136198</v>
      </c>
      <c r="W47" s="22">
        <f t="shared" si="0"/>
        <v>1.2E-2</v>
      </c>
      <c r="X47" s="38" t="s">
        <v>27</v>
      </c>
      <c r="Y47" s="38" t="s">
        <v>27</v>
      </c>
      <c r="Z47" s="38" t="s">
        <v>27</v>
      </c>
      <c r="AA47" s="38" t="s">
        <v>27</v>
      </c>
      <c r="AB47" s="30">
        <v>1.0156615624832299</v>
      </c>
      <c r="AC47" s="35">
        <v>0.68779220473801905</v>
      </c>
    </row>
    <row r="48" spans="2:29" x14ac:dyDescent="0.3">
      <c r="B48" s="46">
        <f t="shared" si="1"/>
        <v>17</v>
      </c>
      <c r="C48" s="5">
        <v>0.8</v>
      </c>
      <c r="D48">
        <v>0.19999999999999996</v>
      </c>
      <c r="E48">
        <v>3.0000000000000001E-3</v>
      </c>
      <c r="F48">
        <v>1</v>
      </c>
      <c r="G48">
        <v>1</v>
      </c>
      <c r="H48">
        <v>0.1</v>
      </c>
      <c r="I48">
        <v>0.5</v>
      </c>
      <c r="J48" s="31">
        <v>1137.3548871329001</v>
      </c>
      <c r="K48">
        <v>7.54</v>
      </c>
      <c r="L48" s="30">
        <v>33.000158842177399</v>
      </c>
      <c r="M48" s="30">
        <v>33.000158842177399</v>
      </c>
      <c r="N48" s="5">
        <v>30</v>
      </c>
      <c r="O48">
        <v>1.2E-2</v>
      </c>
      <c r="P48">
        <v>3</v>
      </c>
      <c r="Q48">
        <v>30</v>
      </c>
      <c r="R48" s="22">
        <v>1.2E-2</v>
      </c>
      <c r="S48">
        <v>1.5</v>
      </c>
      <c r="T48" s="38" t="s">
        <v>27</v>
      </c>
      <c r="U48" s="34" t="s">
        <v>27</v>
      </c>
      <c r="V48" s="30">
        <v>20.901477838066398</v>
      </c>
      <c r="W48" s="22">
        <f t="shared" si="0"/>
        <v>1.2E-2</v>
      </c>
      <c r="X48" s="38" t="s">
        <v>27</v>
      </c>
      <c r="Y48" s="38" t="s">
        <v>27</v>
      </c>
      <c r="Z48" s="38" t="s">
        <v>27</v>
      </c>
      <c r="AA48" s="38" t="s">
        <v>27</v>
      </c>
      <c r="AB48" s="30">
        <v>1.0156615624832299</v>
      </c>
      <c r="AC48" s="35">
        <v>0.68779220473801905</v>
      </c>
    </row>
    <row r="49" spans="2:29" x14ac:dyDescent="0.3">
      <c r="B49" s="46">
        <f t="shared" si="1"/>
        <v>18</v>
      </c>
      <c r="C49" s="5">
        <v>0.9</v>
      </c>
      <c r="D49">
        <v>9.9999999999999978E-2</v>
      </c>
      <c r="E49">
        <v>3.0000000000000001E-3</v>
      </c>
      <c r="F49">
        <v>1</v>
      </c>
      <c r="G49">
        <v>1</v>
      </c>
      <c r="H49">
        <v>0.1</v>
      </c>
      <c r="I49">
        <v>0.5</v>
      </c>
      <c r="J49" s="31">
        <v>1137.02266620048</v>
      </c>
      <c r="K49">
        <v>7.54</v>
      </c>
      <c r="L49" s="30">
        <v>33.004674864560897</v>
      </c>
      <c r="M49" s="30">
        <v>33.004674864560897</v>
      </c>
      <c r="N49" s="5">
        <v>30</v>
      </c>
      <c r="O49">
        <v>1.2E-2</v>
      </c>
      <c r="P49">
        <v>3</v>
      </c>
      <c r="Q49">
        <v>30</v>
      </c>
      <c r="R49" s="22">
        <v>1.2E-2</v>
      </c>
      <c r="S49">
        <v>1.5</v>
      </c>
      <c r="T49" s="38" t="s">
        <v>27</v>
      </c>
      <c r="U49" s="34" t="s">
        <v>27</v>
      </c>
      <c r="V49" s="30">
        <v>21</v>
      </c>
      <c r="W49" s="22">
        <f t="shared" si="0"/>
        <v>1.2E-2</v>
      </c>
      <c r="X49" s="38" t="s">
        <v>27</v>
      </c>
      <c r="Y49" s="38" t="s">
        <v>27</v>
      </c>
      <c r="Z49" s="38" t="s">
        <v>27</v>
      </c>
      <c r="AA49" s="38" t="s">
        <v>27</v>
      </c>
      <c r="AB49" s="30">
        <v>1.00450044641198</v>
      </c>
      <c r="AC49" s="35">
        <v>0.68023404864199599</v>
      </c>
    </row>
    <row r="50" spans="2:29" x14ac:dyDescent="0.3">
      <c r="B50" s="46">
        <f t="shared" si="1"/>
        <v>19</v>
      </c>
      <c r="C50" s="5">
        <v>0.1</v>
      </c>
      <c r="D50">
        <v>0.9</v>
      </c>
      <c r="E50">
        <v>3.0000000000000001E-3</v>
      </c>
      <c r="F50">
        <v>1</v>
      </c>
      <c r="G50">
        <v>1</v>
      </c>
      <c r="H50">
        <v>0.1</v>
      </c>
      <c r="I50">
        <v>0.7</v>
      </c>
      <c r="J50" s="31">
        <v>1128.66942086617</v>
      </c>
      <c r="K50">
        <v>7.54</v>
      </c>
      <c r="L50" s="30">
        <v>33.1188457416605</v>
      </c>
      <c r="M50" s="30">
        <v>33.1188457416605</v>
      </c>
      <c r="N50" s="5">
        <v>30</v>
      </c>
      <c r="O50">
        <v>1.2E-2</v>
      </c>
      <c r="P50">
        <v>3</v>
      </c>
      <c r="Q50">
        <v>30</v>
      </c>
      <c r="R50" s="22">
        <v>1.2E-2</v>
      </c>
      <c r="S50">
        <v>2.0999999999999996</v>
      </c>
      <c r="T50" s="38" t="s">
        <v>27</v>
      </c>
      <c r="U50" s="34" t="s">
        <v>27</v>
      </c>
      <c r="V50" s="30">
        <v>23.4926108096675</v>
      </c>
      <c r="W50" s="22">
        <f t="shared" si="0"/>
        <v>1.2E-2</v>
      </c>
      <c r="X50" s="38" t="s">
        <v>27</v>
      </c>
      <c r="Y50" s="38" t="s">
        <v>27</v>
      </c>
      <c r="Z50" s="38" t="s">
        <v>27</v>
      </c>
      <c r="AA50" s="38" t="s">
        <v>27</v>
      </c>
      <c r="AB50" s="30">
        <v>0.72658865623799995</v>
      </c>
      <c r="AC50" s="35">
        <v>0.49203596185104398</v>
      </c>
    </row>
    <row r="51" spans="2:29" x14ac:dyDescent="0.3">
      <c r="B51" s="46">
        <f t="shared" si="1"/>
        <v>20</v>
      </c>
      <c r="C51" s="5">
        <v>0.2</v>
      </c>
      <c r="D51">
        <v>0.8</v>
      </c>
      <c r="E51">
        <v>3.0000000000000001E-3</v>
      </c>
      <c r="F51">
        <v>1</v>
      </c>
      <c r="G51">
        <v>1</v>
      </c>
      <c r="H51">
        <v>0.1</v>
      </c>
      <c r="I51">
        <v>0.7</v>
      </c>
      <c r="J51" s="31">
        <v>1132.3220189349499</v>
      </c>
      <c r="K51">
        <v>7.54</v>
      </c>
      <c r="L51" s="30">
        <v>33.068774959043402</v>
      </c>
      <c r="M51" s="30">
        <v>33.068774959043402</v>
      </c>
      <c r="N51" s="5">
        <v>30</v>
      </c>
      <c r="O51">
        <v>1.2E-2</v>
      </c>
      <c r="P51">
        <v>3</v>
      </c>
      <c r="Q51">
        <v>30</v>
      </c>
      <c r="R51" s="22">
        <v>1.2E-2</v>
      </c>
      <c r="S51">
        <v>2.0999999999999996</v>
      </c>
      <c r="T51" s="38" t="s">
        <v>27</v>
      </c>
      <c r="U51" s="34" t="s">
        <v>27</v>
      </c>
      <c r="V51" s="30">
        <v>22.399014774622302</v>
      </c>
      <c r="W51" s="22">
        <f t="shared" si="0"/>
        <v>1.2E-2</v>
      </c>
      <c r="X51" s="38" t="s">
        <v>27</v>
      </c>
      <c r="Y51" s="38" t="s">
        <v>27</v>
      </c>
      <c r="Z51" s="38" t="s">
        <v>27</v>
      </c>
      <c r="AA51" s="38" t="s">
        <v>27</v>
      </c>
      <c r="AB51" s="30">
        <v>0.84824482141456203</v>
      </c>
      <c r="AC51" s="35">
        <v>0.57441986329768602</v>
      </c>
    </row>
    <row r="52" spans="2:29" x14ac:dyDescent="0.3">
      <c r="B52" s="46">
        <f t="shared" si="1"/>
        <v>21</v>
      </c>
      <c r="C52" s="5">
        <v>0.3</v>
      </c>
      <c r="D52">
        <v>0.7</v>
      </c>
      <c r="E52">
        <v>3.0000000000000001E-3</v>
      </c>
      <c r="F52">
        <v>1</v>
      </c>
      <c r="G52">
        <v>1</v>
      </c>
      <c r="H52">
        <v>0.1</v>
      </c>
      <c r="I52">
        <v>0.7</v>
      </c>
      <c r="J52" s="31">
        <v>1134.6518530006799</v>
      </c>
      <c r="K52">
        <v>7.54</v>
      </c>
      <c r="L52" s="30">
        <v>33.0369570236371</v>
      </c>
      <c r="M52" s="30">
        <v>33.0369570236371</v>
      </c>
      <c r="N52" s="5">
        <v>30</v>
      </c>
      <c r="O52">
        <v>1.2E-2</v>
      </c>
      <c r="P52">
        <v>3</v>
      </c>
      <c r="Q52">
        <v>30</v>
      </c>
      <c r="R52" s="22">
        <v>1.2E-2</v>
      </c>
      <c r="S52">
        <v>2.0999999999999996</v>
      </c>
      <c r="T52" s="38" t="s">
        <v>27</v>
      </c>
      <c r="U52" s="34" t="s">
        <v>27</v>
      </c>
      <c r="V52" s="30">
        <v>21.704433608157501</v>
      </c>
      <c r="W52" s="22">
        <f t="shared" si="0"/>
        <v>1.2E-2</v>
      </c>
      <c r="X52" s="38" t="s">
        <v>27</v>
      </c>
      <c r="Y52" s="38" t="s">
        <v>27</v>
      </c>
      <c r="Z52" s="38" t="s">
        <v>27</v>
      </c>
      <c r="AA52" s="38" t="s">
        <v>27</v>
      </c>
      <c r="AB52" s="30">
        <v>0.92637263391327196</v>
      </c>
      <c r="AC52" s="35">
        <v>0.627326955969841</v>
      </c>
    </row>
    <row r="53" spans="2:29" x14ac:dyDescent="0.3">
      <c r="B53" s="46">
        <f t="shared" si="1"/>
        <v>22</v>
      </c>
      <c r="C53" s="5">
        <v>0.4</v>
      </c>
      <c r="D53">
        <v>0.6</v>
      </c>
      <c r="E53">
        <v>3.0000000000000001E-3</v>
      </c>
      <c r="F53">
        <v>1</v>
      </c>
      <c r="G53">
        <v>1</v>
      </c>
      <c r="H53">
        <v>0.1</v>
      </c>
      <c r="I53">
        <v>0.7</v>
      </c>
      <c r="J53" s="31">
        <v>1136.22597563459</v>
      </c>
      <c r="K53">
        <v>7.54</v>
      </c>
      <c r="L53" s="30">
        <v>33.015512287537703</v>
      </c>
      <c r="M53" s="30">
        <v>33.015512287537703</v>
      </c>
      <c r="N53" s="5">
        <v>30</v>
      </c>
      <c r="O53">
        <v>1.2E-2</v>
      </c>
      <c r="P53">
        <v>3</v>
      </c>
      <c r="Q53">
        <v>30</v>
      </c>
      <c r="R53" s="22">
        <v>1.2E-2</v>
      </c>
      <c r="S53">
        <v>2.0999999999999996</v>
      </c>
      <c r="T53" s="38" t="s">
        <v>27</v>
      </c>
      <c r="U53" s="34" t="s">
        <v>27</v>
      </c>
      <c r="V53" s="30">
        <v>21.236453338973298</v>
      </c>
      <c r="W53" s="22">
        <f t="shared" si="0"/>
        <v>1.2E-2</v>
      </c>
      <c r="X53" s="38" t="s">
        <v>27</v>
      </c>
      <c r="Y53" s="38" t="s">
        <v>27</v>
      </c>
      <c r="Z53" s="38" t="s">
        <v>27</v>
      </c>
      <c r="AA53" s="38" t="s">
        <v>27</v>
      </c>
      <c r="AB53" s="30">
        <v>0.97771376784099595</v>
      </c>
      <c r="AC53" s="35">
        <v>0.66209447401154298</v>
      </c>
    </row>
    <row r="54" spans="2:29" x14ac:dyDescent="0.3">
      <c r="B54" s="46">
        <f t="shared" si="1"/>
        <v>23</v>
      </c>
      <c r="C54" s="5">
        <v>0.5</v>
      </c>
      <c r="D54">
        <v>0.5</v>
      </c>
      <c r="E54">
        <v>3.0000000000000001E-3</v>
      </c>
      <c r="F54">
        <v>1</v>
      </c>
      <c r="G54">
        <v>1</v>
      </c>
      <c r="H54">
        <v>0.1</v>
      </c>
      <c r="I54">
        <v>0.7</v>
      </c>
      <c r="J54" s="31">
        <v>1137.3715020478601</v>
      </c>
      <c r="K54">
        <v>7.54</v>
      </c>
      <c r="L54" s="30">
        <v>32.999933037826501</v>
      </c>
      <c r="M54" s="30">
        <v>32.999933037826501</v>
      </c>
      <c r="N54" s="5">
        <v>30</v>
      </c>
      <c r="O54">
        <v>1.2E-2</v>
      </c>
      <c r="P54">
        <v>3</v>
      </c>
      <c r="Q54">
        <v>30</v>
      </c>
      <c r="R54" s="22">
        <v>1.2E-2</v>
      </c>
      <c r="S54">
        <v>2.0999999999999996</v>
      </c>
      <c r="T54" s="38" t="s">
        <v>27</v>
      </c>
      <c r="U54" s="34" t="s">
        <v>27</v>
      </c>
      <c r="V54" s="30">
        <v>20.896551805136198</v>
      </c>
      <c r="W54" s="22">
        <f t="shared" si="0"/>
        <v>1.2E-2</v>
      </c>
      <c r="X54" s="38" t="s">
        <v>27</v>
      </c>
      <c r="Y54" s="38" t="s">
        <v>27</v>
      </c>
      <c r="Z54" s="38" t="s">
        <v>27</v>
      </c>
      <c r="AA54" s="38" t="s">
        <v>27</v>
      </c>
      <c r="AB54" s="30">
        <v>1.0156615624832299</v>
      </c>
      <c r="AC54" s="35">
        <v>0.68779220473801905</v>
      </c>
    </row>
    <row r="55" spans="2:29" x14ac:dyDescent="0.3">
      <c r="B55" s="46">
        <f t="shared" si="1"/>
        <v>24</v>
      </c>
      <c r="C55" s="5">
        <v>0.6</v>
      </c>
      <c r="D55">
        <v>0.4</v>
      </c>
      <c r="E55">
        <v>3.0000000000000001E-3</v>
      </c>
      <c r="F55">
        <v>1</v>
      </c>
      <c r="G55">
        <v>1</v>
      </c>
      <c r="H55">
        <v>0.1</v>
      </c>
      <c r="I55">
        <v>0.7</v>
      </c>
      <c r="J55" s="31">
        <v>1137.87013974305</v>
      </c>
      <c r="K55">
        <v>7.54</v>
      </c>
      <c r="L55" s="30">
        <v>32.993158508174503</v>
      </c>
      <c r="M55" s="30">
        <v>32.993158508174503</v>
      </c>
      <c r="N55" s="5">
        <v>30</v>
      </c>
      <c r="O55">
        <v>1.2E-2</v>
      </c>
      <c r="P55">
        <v>3</v>
      </c>
      <c r="Q55">
        <v>30</v>
      </c>
      <c r="R55" s="22">
        <v>1.2E-2</v>
      </c>
      <c r="S55">
        <v>2.0999999999999996</v>
      </c>
      <c r="T55" s="38" t="s">
        <v>27</v>
      </c>
      <c r="U55" s="34" t="s">
        <v>27</v>
      </c>
      <c r="V55" s="30">
        <v>20.748768562235899</v>
      </c>
      <c r="W55" s="22">
        <f t="shared" si="0"/>
        <v>1.2E-2</v>
      </c>
      <c r="X55" s="38" t="s">
        <v>27</v>
      </c>
      <c r="Y55" s="38" t="s">
        <v>27</v>
      </c>
      <c r="Z55" s="38" t="s">
        <v>27</v>
      </c>
      <c r="AA55" s="38" t="s">
        <v>27</v>
      </c>
      <c r="AB55" s="30">
        <v>1.0324032365900899</v>
      </c>
      <c r="AC55" s="35">
        <v>0.69912943888205203</v>
      </c>
    </row>
    <row r="56" spans="2:29" x14ac:dyDescent="0.3">
      <c r="B56" s="46">
        <f t="shared" si="1"/>
        <v>25</v>
      </c>
      <c r="C56" s="5">
        <v>0.7</v>
      </c>
      <c r="D56">
        <v>0.30000000000000004</v>
      </c>
      <c r="E56">
        <v>3.0000000000000001E-3</v>
      </c>
      <c r="F56">
        <v>1</v>
      </c>
      <c r="G56">
        <v>1</v>
      </c>
      <c r="H56">
        <v>0.1</v>
      </c>
      <c r="I56">
        <v>0.7</v>
      </c>
      <c r="J56" s="31">
        <v>1138.03643089811</v>
      </c>
      <c r="K56">
        <v>7.54</v>
      </c>
      <c r="L56" s="30">
        <v>32.990900204400802</v>
      </c>
      <c r="M56" s="30">
        <v>32.990900204400802</v>
      </c>
      <c r="N56" s="5">
        <v>30</v>
      </c>
      <c r="O56">
        <v>1.2E-2</v>
      </c>
      <c r="P56">
        <v>3</v>
      </c>
      <c r="Q56">
        <v>30</v>
      </c>
      <c r="R56" s="22">
        <v>1.2E-2</v>
      </c>
      <c r="S56">
        <v>2.0999999999999996</v>
      </c>
      <c r="T56" s="38" t="s">
        <v>27</v>
      </c>
      <c r="U56" s="34" t="s">
        <v>27</v>
      </c>
      <c r="V56" s="30">
        <v>20.699507481269201</v>
      </c>
      <c r="W56" s="22">
        <f t="shared" si="0"/>
        <v>1.2E-2</v>
      </c>
      <c r="X56" s="38" t="s">
        <v>27</v>
      </c>
      <c r="Y56" s="38" t="s">
        <v>27</v>
      </c>
      <c r="Z56" s="38" t="s">
        <v>27</v>
      </c>
      <c r="AA56" s="38" t="s">
        <v>27</v>
      </c>
      <c r="AB56" s="30">
        <v>1.03798379462571</v>
      </c>
      <c r="AC56" s="35">
        <v>0.70290851693006295</v>
      </c>
    </row>
    <row r="57" spans="2:29" x14ac:dyDescent="0.3">
      <c r="B57" s="46">
        <f t="shared" si="1"/>
        <v>26</v>
      </c>
      <c r="C57" s="5">
        <v>0.8</v>
      </c>
      <c r="D57">
        <v>0.19999999999999996</v>
      </c>
      <c r="E57">
        <v>3.0000000000000001E-3</v>
      </c>
      <c r="F57">
        <v>1</v>
      </c>
      <c r="G57">
        <v>1</v>
      </c>
      <c r="H57">
        <v>0.1</v>
      </c>
      <c r="I57">
        <v>0.7</v>
      </c>
      <c r="J57" s="31">
        <v>1138.3691311698301</v>
      </c>
      <c r="K57">
        <v>7.54</v>
      </c>
      <c r="L57" s="30">
        <v>32.986383405984299</v>
      </c>
      <c r="M57" s="30">
        <v>32.986383405984299</v>
      </c>
      <c r="N57" s="5">
        <v>30</v>
      </c>
      <c r="O57">
        <v>1.2E-2</v>
      </c>
      <c r="P57">
        <v>3</v>
      </c>
      <c r="Q57">
        <v>30</v>
      </c>
      <c r="R57" s="22">
        <v>1.2E-2</v>
      </c>
      <c r="S57">
        <v>2.0999999999999996</v>
      </c>
      <c r="T57" s="38" t="s">
        <v>27</v>
      </c>
      <c r="U57" s="34" t="s">
        <v>27</v>
      </c>
      <c r="V57" s="30">
        <v>20.600985319335699</v>
      </c>
      <c r="W57" s="22">
        <f t="shared" si="0"/>
        <v>1.2E-2</v>
      </c>
      <c r="X57" s="38" t="s">
        <v>27</v>
      </c>
      <c r="Y57" s="38" t="s">
        <v>27</v>
      </c>
      <c r="Z57" s="38" t="s">
        <v>27</v>
      </c>
      <c r="AA57" s="38" t="s">
        <v>27</v>
      </c>
      <c r="AB57" s="30">
        <v>1.0491449106969599</v>
      </c>
      <c r="AC57" s="35">
        <v>0.71046667302608502</v>
      </c>
    </row>
    <row r="58" spans="2:29" x14ac:dyDescent="0.3">
      <c r="B58" s="46">
        <f t="shared" si="1"/>
        <v>27</v>
      </c>
      <c r="C58" s="5">
        <v>0.9</v>
      </c>
      <c r="D58">
        <v>9.9999999999999978E-2</v>
      </c>
      <c r="E58">
        <v>3.0000000000000001E-3</v>
      </c>
      <c r="F58">
        <v>1</v>
      </c>
      <c r="G58">
        <v>1</v>
      </c>
      <c r="H58">
        <v>0.1</v>
      </c>
      <c r="I58">
        <v>0.7</v>
      </c>
      <c r="J58" s="31">
        <v>1137.8867668359701</v>
      </c>
      <c r="K58">
        <v>7.54</v>
      </c>
      <c r="L58" s="30">
        <v>32.992932684105803</v>
      </c>
      <c r="M58" s="30">
        <v>32.992932684105803</v>
      </c>
      <c r="N58" s="5">
        <v>30</v>
      </c>
      <c r="O58">
        <v>1.2E-2</v>
      </c>
      <c r="P58">
        <v>3</v>
      </c>
      <c r="Q58">
        <v>30</v>
      </c>
      <c r="R58" s="22">
        <v>1.2E-2</v>
      </c>
      <c r="S58">
        <v>2.0999999999999996</v>
      </c>
      <c r="T58" s="38" t="s">
        <v>27</v>
      </c>
      <c r="U58" s="34" t="s">
        <v>27</v>
      </c>
      <c r="V58" s="30">
        <v>20.743842529305699</v>
      </c>
      <c r="W58" s="22">
        <f t="shared" si="0"/>
        <v>1.2E-2</v>
      </c>
      <c r="X58" s="38" t="s">
        <v>27</v>
      </c>
      <c r="Y58" s="38" t="s">
        <v>27</v>
      </c>
      <c r="Z58" s="38" t="s">
        <v>27</v>
      </c>
      <c r="AA58" s="38" t="s">
        <v>27</v>
      </c>
      <c r="AB58" s="30">
        <v>1.03351934819722</v>
      </c>
      <c r="AC58" s="35">
        <v>0.69988525449165395</v>
      </c>
    </row>
    <row r="59" spans="2:29" x14ac:dyDescent="0.3">
      <c r="B59" s="46">
        <f t="shared" si="1"/>
        <v>28</v>
      </c>
      <c r="C59" s="5">
        <v>0.1</v>
      </c>
      <c r="D59">
        <v>0.9</v>
      </c>
      <c r="E59">
        <v>3.0000000000000001E-3</v>
      </c>
      <c r="F59">
        <v>1</v>
      </c>
      <c r="G59">
        <v>1</v>
      </c>
      <c r="H59">
        <v>0.1</v>
      </c>
      <c r="I59">
        <v>1</v>
      </c>
      <c r="J59" s="31">
        <v>1129.0797963867401</v>
      </c>
      <c r="K59">
        <v>7.54</v>
      </c>
      <c r="L59" s="30">
        <v>33.1132086999948</v>
      </c>
      <c r="M59" s="30">
        <v>33.1132086999948</v>
      </c>
      <c r="N59" s="5">
        <v>30</v>
      </c>
      <c r="O59">
        <v>1.2E-2</v>
      </c>
      <c r="P59">
        <v>3</v>
      </c>
      <c r="Q59">
        <v>30</v>
      </c>
      <c r="R59" s="22">
        <v>1.2E-2</v>
      </c>
      <c r="S59">
        <v>3</v>
      </c>
      <c r="T59" s="38" t="s">
        <v>27</v>
      </c>
      <c r="U59" s="34" t="s">
        <v>27</v>
      </c>
      <c r="V59" s="30">
        <v>23.369458107250601</v>
      </c>
      <c r="W59" s="22">
        <f t="shared" si="0"/>
        <v>1.2E-2</v>
      </c>
      <c r="X59" s="38" t="s">
        <v>27</v>
      </c>
      <c r="Y59" s="38" t="s">
        <v>27</v>
      </c>
      <c r="Z59" s="38" t="s">
        <v>27</v>
      </c>
      <c r="AA59" s="38" t="s">
        <v>27</v>
      </c>
      <c r="AB59" s="30">
        <v>0.73998199552349297</v>
      </c>
      <c r="AC59" s="35">
        <v>0.50110574916627104</v>
      </c>
    </row>
    <row r="60" spans="2:29" x14ac:dyDescent="0.3">
      <c r="B60" s="46">
        <f t="shared" si="1"/>
        <v>29</v>
      </c>
      <c r="C60" s="5">
        <v>0.2</v>
      </c>
      <c r="D60">
        <v>0.8</v>
      </c>
      <c r="E60">
        <v>3.0000000000000001E-3</v>
      </c>
      <c r="F60">
        <v>1</v>
      </c>
      <c r="G60">
        <v>1</v>
      </c>
      <c r="H60">
        <v>0.1</v>
      </c>
      <c r="I60">
        <v>1</v>
      </c>
      <c r="J60" s="31">
        <v>1132.8831140326399</v>
      </c>
      <c r="K60">
        <v>7.54</v>
      </c>
      <c r="L60" s="30">
        <v>33.061103707678498</v>
      </c>
      <c r="M60" s="30">
        <v>33.061103707678498</v>
      </c>
      <c r="N60" s="5">
        <v>30</v>
      </c>
      <c r="O60">
        <v>1.2E-2</v>
      </c>
      <c r="P60">
        <v>3</v>
      </c>
      <c r="Q60">
        <v>30</v>
      </c>
      <c r="R60" s="22">
        <v>1.2E-2</v>
      </c>
      <c r="S60">
        <v>3</v>
      </c>
      <c r="T60" s="38" t="s">
        <v>27</v>
      </c>
      <c r="U60" s="34" t="s">
        <v>27</v>
      </c>
      <c r="V60" s="30">
        <v>22.231527212084998</v>
      </c>
      <c r="W60" s="22">
        <f t="shared" si="0"/>
        <v>1.2E-2</v>
      </c>
      <c r="X60" s="38" t="s">
        <v>27</v>
      </c>
      <c r="Y60" s="38" t="s">
        <v>27</v>
      </c>
      <c r="Z60" s="38" t="s">
        <v>27</v>
      </c>
      <c r="AA60" s="38" t="s">
        <v>27</v>
      </c>
      <c r="AB60" s="30">
        <v>0.86721871873567702</v>
      </c>
      <c r="AC60" s="35">
        <v>0.58726872866092406</v>
      </c>
    </row>
    <row r="61" spans="2:29" x14ac:dyDescent="0.3">
      <c r="B61" s="46">
        <f t="shared" si="1"/>
        <v>30</v>
      </c>
      <c r="C61" s="5">
        <v>0.3</v>
      </c>
      <c r="D61">
        <v>0.7</v>
      </c>
      <c r="E61">
        <v>3.0000000000000001E-3</v>
      </c>
      <c r="F61">
        <v>1</v>
      </c>
      <c r="G61">
        <v>1</v>
      </c>
      <c r="H61">
        <v>0.1</v>
      </c>
      <c r="I61">
        <v>1</v>
      </c>
      <c r="J61" s="31">
        <v>1135.0988769656999</v>
      </c>
      <c r="K61">
        <v>7.54</v>
      </c>
      <c r="L61" s="30">
        <v>33.030862776746403</v>
      </c>
      <c r="M61" s="30">
        <v>33.030862776746403</v>
      </c>
      <c r="N61" s="5">
        <v>30</v>
      </c>
      <c r="O61">
        <v>1.2E-2</v>
      </c>
      <c r="P61">
        <v>3</v>
      </c>
      <c r="Q61">
        <v>30</v>
      </c>
      <c r="R61" s="22">
        <v>1.2E-2</v>
      </c>
      <c r="S61">
        <v>3</v>
      </c>
      <c r="T61" s="38" t="s">
        <v>27</v>
      </c>
      <c r="U61" s="34" t="s">
        <v>27</v>
      </c>
      <c r="V61" s="30">
        <v>21.571428464047901</v>
      </c>
      <c r="W61" s="22">
        <f t="shared" si="0"/>
        <v>1.2E-2</v>
      </c>
      <c r="X61" s="38" t="s">
        <v>27</v>
      </c>
      <c r="Y61" s="38" t="s">
        <v>27</v>
      </c>
      <c r="Z61" s="38" t="s">
        <v>27</v>
      </c>
      <c r="AA61" s="38" t="s">
        <v>27</v>
      </c>
      <c r="AB61" s="30">
        <v>0.94088208480588897</v>
      </c>
      <c r="AC61" s="35">
        <v>0.63715255889467004</v>
      </c>
    </row>
    <row r="62" spans="2:29" x14ac:dyDescent="0.3">
      <c r="B62" s="46">
        <f t="shared" si="1"/>
        <v>31</v>
      </c>
      <c r="C62" s="5">
        <v>0.4</v>
      </c>
      <c r="D62">
        <v>0.6</v>
      </c>
      <c r="E62">
        <v>3.0000000000000001E-3</v>
      </c>
      <c r="F62">
        <v>1</v>
      </c>
      <c r="G62">
        <v>1</v>
      </c>
      <c r="H62">
        <v>0.1</v>
      </c>
      <c r="I62">
        <v>1</v>
      </c>
      <c r="J62" s="31">
        <v>1136.7736035077601</v>
      </c>
      <c r="K62">
        <v>7.54</v>
      </c>
      <c r="L62" s="30">
        <v>33.008061714433097</v>
      </c>
      <c r="M62" s="30">
        <v>33.008061714433097</v>
      </c>
      <c r="N62" s="5">
        <v>30</v>
      </c>
      <c r="O62">
        <v>1.2E-2</v>
      </c>
      <c r="P62">
        <v>3</v>
      </c>
      <c r="Q62">
        <v>30</v>
      </c>
      <c r="R62" s="22">
        <v>1.2E-2</v>
      </c>
      <c r="S62">
        <v>3</v>
      </c>
      <c r="T62" s="38" t="s">
        <v>27</v>
      </c>
      <c r="U62" s="34" t="s">
        <v>27</v>
      </c>
      <c r="V62" s="30">
        <v>21.073891621450102</v>
      </c>
      <c r="W62" s="22">
        <f t="shared" si="0"/>
        <v>1.2E-2</v>
      </c>
      <c r="X62" s="38" t="s">
        <v>27</v>
      </c>
      <c r="Y62" s="38" t="s">
        <v>27</v>
      </c>
      <c r="Z62" s="38" t="s">
        <v>27</v>
      </c>
      <c r="AA62" s="38" t="s">
        <v>27</v>
      </c>
      <c r="AB62" s="30">
        <v>0.99668766516211105</v>
      </c>
      <c r="AC62" s="35">
        <v>0.67494333937478102</v>
      </c>
    </row>
    <row r="63" spans="2:29" x14ac:dyDescent="0.3">
      <c r="B63" s="46">
        <f t="shared" si="1"/>
        <v>32</v>
      </c>
      <c r="C63" s="5">
        <v>0.5</v>
      </c>
      <c r="D63">
        <v>0.5</v>
      </c>
      <c r="E63">
        <v>3.0000000000000001E-3</v>
      </c>
      <c r="F63">
        <v>1</v>
      </c>
      <c r="G63">
        <v>1</v>
      </c>
      <c r="H63">
        <v>0.1</v>
      </c>
      <c r="I63">
        <v>1</v>
      </c>
      <c r="J63" s="31">
        <v>1137.9366517416699</v>
      </c>
      <c r="K63">
        <v>7.54</v>
      </c>
      <c r="L63" s="30">
        <v>32.992255190853299</v>
      </c>
      <c r="M63" s="30">
        <v>32.992255190853299</v>
      </c>
      <c r="N63" s="5">
        <v>30</v>
      </c>
      <c r="O63">
        <v>1.2E-2</v>
      </c>
      <c r="P63">
        <v>3</v>
      </c>
      <c r="Q63">
        <v>30</v>
      </c>
      <c r="R63" s="22">
        <v>1.2E-2</v>
      </c>
      <c r="S63">
        <v>3</v>
      </c>
      <c r="T63" s="38" t="s">
        <v>27</v>
      </c>
      <c r="U63" s="34" t="s">
        <v>27</v>
      </c>
      <c r="V63" s="30">
        <v>20.729064054682802</v>
      </c>
      <c r="W63" s="22">
        <f t="shared" si="0"/>
        <v>1.2E-2</v>
      </c>
      <c r="X63" s="38" t="s">
        <v>27</v>
      </c>
      <c r="Y63" s="38" t="s">
        <v>27</v>
      </c>
      <c r="Z63" s="38" t="s">
        <v>27</v>
      </c>
      <c r="AA63" s="38" t="s">
        <v>27</v>
      </c>
      <c r="AB63" s="30">
        <v>1.0346354598043399</v>
      </c>
      <c r="AC63" s="35">
        <v>0.70064107010125598</v>
      </c>
    </row>
    <row r="64" spans="2:29" x14ac:dyDescent="0.3">
      <c r="B64" s="46">
        <f t="shared" si="1"/>
        <v>33</v>
      </c>
      <c r="C64" s="5">
        <v>0.6</v>
      </c>
      <c r="D64">
        <v>0.4</v>
      </c>
      <c r="E64">
        <v>3.0000000000000001E-3</v>
      </c>
      <c r="F64">
        <v>1</v>
      </c>
      <c r="G64">
        <v>1</v>
      </c>
      <c r="H64">
        <v>0.1</v>
      </c>
      <c r="I64">
        <v>1</v>
      </c>
      <c r="J64" s="31">
        <v>1138.4689716793901</v>
      </c>
      <c r="K64">
        <v>7.54</v>
      </c>
      <c r="L64" s="30">
        <v>32.985028320274203</v>
      </c>
      <c r="M64" s="30">
        <v>32.985028320274203</v>
      </c>
      <c r="N64" s="5">
        <v>30</v>
      </c>
      <c r="O64">
        <v>1.2E-2</v>
      </c>
      <c r="P64">
        <v>3</v>
      </c>
      <c r="Q64">
        <v>30</v>
      </c>
      <c r="R64" s="22">
        <v>1.2E-2</v>
      </c>
      <c r="S64">
        <v>3</v>
      </c>
      <c r="T64" s="38" t="s">
        <v>27</v>
      </c>
      <c r="U64" s="34" t="s">
        <v>27</v>
      </c>
      <c r="V64" s="30">
        <v>20.571428745922098</v>
      </c>
      <c r="W64" s="22">
        <f t="shared" si="0"/>
        <v>1.2E-2</v>
      </c>
      <c r="X64" s="38" t="s">
        <v>27</v>
      </c>
      <c r="Y64" s="38" t="s">
        <v>27</v>
      </c>
      <c r="Z64" s="38" t="s">
        <v>27</v>
      </c>
      <c r="AA64" s="38" t="s">
        <v>27</v>
      </c>
      <c r="AB64" s="30">
        <v>1.05249324551833</v>
      </c>
      <c r="AC64" s="35">
        <v>0.71273411985489199</v>
      </c>
    </row>
    <row r="65" spans="2:29" x14ac:dyDescent="0.3">
      <c r="B65" s="46">
        <f t="shared" si="1"/>
        <v>34</v>
      </c>
      <c r="C65" s="5">
        <v>0.7</v>
      </c>
      <c r="D65">
        <v>0.30000000000000004</v>
      </c>
      <c r="E65">
        <v>3.0000000000000001E-3</v>
      </c>
      <c r="F65">
        <v>1</v>
      </c>
      <c r="G65">
        <v>1</v>
      </c>
      <c r="H65">
        <v>0.1</v>
      </c>
      <c r="I65">
        <v>1</v>
      </c>
      <c r="J65" s="31">
        <v>1139.1182823111501</v>
      </c>
      <c r="K65">
        <v>7.54</v>
      </c>
      <c r="L65" s="30">
        <v>32.976219678848302</v>
      </c>
      <c r="M65" s="30">
        <v>32.976219678848302</v>
      </c>
      <c r="N65" s="5">
        <v>30</v>
      </c>
      <c r="O65">
        <v>1.2E-2</v>
      </c>
      <c r="P65">
        <v>3</v>
      </c>
      <c r="Q65">
        <v>30</v>
      </c>
      <c r="R65" s="22">
        <v>1.2E-2</v>
      </c>
      <c r="S65">
        <v>3</v>
      </c>
      <c r="T65" s="38" t="s">
        <v>27</v>
      </c>
      <c r="U65" s="34" t="s">
        <v>27</v>
      </c>
      <c r="V65" s="30">
        <v>20.379310454985301</v>
      </c>
      <c r="W65" s="22">
        <f t="shared" si="0"/>
        <v>1.2E-2</v>
      </c>
      <c r="X65" s="38" t="s">
        <v>27</v>
      </c>
      <c r="Y65" s="38" t="s">
        <v>27</v>
      </c>
      <c r="Z65" s="38" t="s">
        <v>27</v>
      </c>
      <c r="AA65" s="38" t="s">
        <v>27</v>
      </c>
      <c r="AB65" s="30">
        <v>1.0736993660537</v>
      </c>
      <c r="AC65" s="35">
        <v>0.72709461643733397</v>
      </c>
    </row>
    <row r="66" spans="2:29" x14ac:dyDescent="0.3">
      <c r="B66" s="46">
        <f t="shared" si="1"/>
        <v>35</v>
      </c>
      <c r="C66" s="5">
        <v>0.8</v>
      </c>
      <c r="D66">
        <v>0.19999999999999996</v>
      </c>
      <c r="E66">
        <v>3.0000000000000001E-3</v>
      </c>
      <c r="F66">
        <v>1</v>
      </c>
      <c r="G66">
        <v>1</v>
      </c>
      <c r="H66">
        <v>0.1</v>
      </c>
      <c r="I66">
        <v>1</v>
      </c>
      <c r="J66" s="31">
        <v>1139.1182823111501</v>
      </c>
      <c r="K66">
        <v>7.54</v>
      </c>
      <c r="L66" s="30">
        <v>32.976219678848302</v>
      </c>
      <c r="M66" s="30">
        <v>32.976219678848302</v>
      </c>
      <c r="N66" s="5">
        <v>30</v>
      </c>
      <c r="O66">
        <v>1.2E-2</v>
      </c>
      <c r="P66">
        <v>3</v>
      </c>
      <c r="Q66">
        <v>30</v>
      </c>
      <c r="R66" s="22">
        <v>1.2E-2</v>
      </c>
      <c r="S66">
        <v>3</v>
      </c>
      <c r="T66" s="38" t="s">
        <v>27</v>
      </c>
      <c r="U66" s="34" t="s">
        <v>27</v>
      </c>
      <c r="V66" s="30">
        <v>20.379310454985301</v>
      </c>
      <c r="W66" s="22">
        <f t="shared" si="0"/>
        <v>1.2E-2</v>
      </c>
      <c r="X66" s="38" t="s">
        <v>27</v>
      </c>
      <c r="Y66" s="38" t="s">
        <v>27</v>
      </c>
      <c r="Z66" s="38" t="s">
        <v>27</v>
      </c>
      <c r="AA66" s="38" t="s">
        <v>27</v>
      </c>
      <c r="AB66" s="30">
        <v>1.0736993660537</v>
      </c>
      <c r="AC66" s="35">
        <v>0.72709461643733397</v>
      </c>
    </row>
    <row r="67" spans="2:29" x14ac:dyDescent="0.3">
      <c r="B67" s="46">
        <f t="shared" si="1"/>
        <v>36</v>
      </c>
      <c r="C67" s="5">
        <v>0.9</v>
      </c>
      <c r="D67">
        <v>9.9999999999999978E-2</v>
      </c>
      <c r="E67">
        <v>3.0000000000000001E-3</v>
      </c>
      <c r="F67">
        <v>1</v>
      </c>
      <c r="G67">
        <v>1</v>
      </c>
      <c r="H67">
        <v>0.1</v>
      </c>
      <c r="I67">
        <v>1</v>
      </c>
      <c r="J67" s="31">
        <v>1138.4689716793901</v>
      </c>
      <c r="K67">
        <v>7.54</v>
      </c>
      <c r="L67" s="30">
        <v>32.985028320274203</v>
      </c>
      <c r="M67" s="30">
        <v>32.985028320274203</v>
      </c>
      <c r="N67" s="5">
        <v>30</v>
      </c>
      <c r="O67">
        <v>1.2E-2</v>
      </c>
      <c r="P67">
        <v>3</v>
      </c>
      <c r="Q67">
        <v>30</v>
      </c>
      <c r="R67" s="22">
        <v>1.2E-2</v>
      </c>
      <c r="S67">
        <v>3</v>
      </c>
      <c r="T67" s="38" t="s">
        <v>27</v>
      </c>
      <c r="U67" s="34" t="s">
        <v>27</v>
      </c>
      <c r="V67" s="30">
        <v>20.571428745922098</v>
      </c>
      <c r="W67" s="22">
        <f t="shared" si="0"/>
        <v>1.2E-2</v>
      </c>
      <c r="X67" s="38" t="s">
        <v>27</v>
      </c>
      <c r="Y67" s="38" t="s">
        <v>27</v>
      </c>
      <c r="Z67" s="38" t="s">
        <v>27</v>
      </c>
      <c r="AA67" s="38" t="s">
        <v>27</v>
      </c>
      <c r="AB67" s="30">
        <v>1.05249324551833</v>
      </c>
      <c r="AC67" s="35">
        <v>0.71273411985489199</v>
      </c>
    </row>
    <row r="68" spans="2:29" x14ac:dyDescent="0.3">
      <c r="B68" s="46">
        <f t="shared" si="1"/>
        <v>37</v>
      </c>
      <c r="C68" s="5">
        <v>0.1</v>
      </c>
      <c r="D68">
        <v>0.9</v>
      </c>
      <c r="E68">
        <v>3.0000000000000001E-3</v>
      </c>
      <c r="F68">
        <v>1</v>
      </c>
      <c r="G68">
        <v>1</v>
      </c>
      <c r="H68">
        <v>0.3</v>
      </c>
      <c r="I68">
        <v>0.3</v>
      </c>
      <c r="J68" s="31">
        <v>1143.1419049449901</v>
      </c>
      <c r="K68">
        <v>7.54</v>
      </c>
      <c r="L68" s="30">
        <v>32.921793724234497</v>
      </c>
      <c r="M68" s="30">
        <v>32.921793724234497</v>
      </c>
      <c r="N68" s="5">
        <v>30</v>
      </c>
      <c r="O68">
        <v>1.2E-2</v>
      </c>
      <c r="P68">
        <v>3</v>
      </c>
      <c r="Q68">
        <v>30</v>
      </c>
      <c r="R68" s="22">
        <v>1.2E-2</v>
      </c>
      <c r="S68">
        <v>0.89999999999999991</v>
      </c>
      <c r="T68" s="38" t="s">
        <v>27</v>
      </c>
      <c r="U68" s="34" t="s">
        <v>27</v>
      </c>
      <c r="V68" s="30">
        <v>19.192737412705899</v>
      </c>
      <c r="W68" s="22">
        <f t="shared" si="0"/>
        <v>1.2E-2</v>
      </c>
      <c r="X68" s="38" t="s">
        <v>27</v>
      </c>
      <c r="Y68" s="38" t="s">
        <v>27</v>
      </c>
      <c r="Z68" s="38" t="s">
        <v>27</v>
      </c>
      <c r="AA68" s="38" t="s">
        <v>27</v>
      </c>
      <c r="AB68" s="30">
        <v>1.2065166473015001</v>
      </c>
      <c r="AC68" s="35">
        <v>0.81703667397999802</v>
      </c>
    </row>
    <row r="69" spans="2:29" x14ac:dyDescent="0.3">
      <c r="B69" s="46">
        <f t="shared" si="1"/>
        <v>38</v>
      </c>
      <c r="C69" s="5">
        <v>0.2</v>
      </c>
      <c r="D69">
        <v>0.8</v>
      </c>
      <c r="E69">
        <v>3.0000000000000001E-3</v>
      </c>
      <c r="F69">
        <v>1</v>
      </c>
      <c r="G69">
        <v>1</v>
      </c>
      <c r="H69">
        <v>0.3</v>
      </c>
      <c r="I69">
        <v>0.3</v>
      </c>
      <c r="J69" s="31">
        <v>1143.54097698943</v>
      </c>
      <c r="K69">
        <v>7.54</v>
      </c>
      <c r="L69" s="30">
        <v>32.916410514764003</v>
      </c>
      <c r="M69" s="30">
        <v>32.916410514764003</v>
      </c>
      <c r="N69" s="5">
        <v>30</v>
      </c>
      <c r="O69">
        <v>1.2E-2</v>
      </c>
      <c r="P69">
        <v>3</v>
      </c>
      <c r="Q69">
        <v>30</v>
      </c>
      <c r="R69" s="22">
        <v>1.2E-2</v>
      </c>
      <c r="S69">
        <v>0.89999999999999991</v>
      </c>
      <c r="T69" s="38" t="s">
        <v>27</v>
      </c>
      <c r="U69" s="34" t="s">
        <v>27</v>
      </c>
      <c r="V69" s="30">
        <v>19.075418629306</v>
      </c>
      <c r="W69" s="22">
        <f t="shared" si="0"/>
        <v>1.2E-2</v>
      </c>
      <c r="X69" s="38" t="s">
        <v>27</v>
      </c>
      <c r="Y69" s="38" t="s">
        <v>27</v>
      </c>
      <c r="Z69" s="38" t="s">
        <v>27</v>
      </c>
      <c r="AA69" s="38" t="s">
        <v>27</v>
      </c>
      <c r="AB69" s="30">
        <v>1.2187938749798699</v>
      </c>
      <c r="AC69" s="35">
        <v>0.825350645685622</v>
      </c>
    </row>
    <row r="70" spans="2:29" x14ac:dyDescent="0.3">
      <c r="B70" s="46">
        <f t="shared" si="1"/>
        <v>39</v>
      </c>
      <c r="C70" s="5">
        <v>0.3</v>
      </c>
      <c r="D70">
        <v>0.7</v>
      </c>
      <c r="E70">
        <v>3.0000000000000001E-3</v>
      </c>
      <c r="F70">
        <v>1</v>
      </c>
      <c r="G70">
        <v>1</v>
      </c>
      <c r="H70">
        <v>0.3</v>
      </c>
      <c r="I70">
        <v>0.3</v>
      </c>
      <c r="J70" s="31">
        <v>1143.44593967418</v>
      </c>
      <c r="K70">
        <v>7.54</v>
      </c>
      <c r="L70" s="30">
        <v>32.917692260404998</v>
      </c>
      <c r="M70" s="30">
        <v>32.917692260404998</v>
      </c>
      <c r="N70" s="5">
        <v>30</v>
      </c>
      <c r="O70">
        <v>1.2E-2</v>
      </c>
      <c r="P70">
        <v>3</v>
      </c>
      <c r="Q70">
        <v>30</v>
      </c>
      <c r="R70" s="22">
        <v>1.2E-2</v>
      </c>
      <c r="S70">
        <v>0.89999999999999991</v>
      </c>
      <c r="T70" s="38" t="s">
        <v>27</v>
      </c>
      <c r="U70" s="34" t="s">
        <v>27</v>
      </c>
      <c r="V70" s="30">
        <v>19.103351591787298</v>
      </c>
      <c r="W70" s="22">
        <f t="shared" si="0"/>
        <v>1.2E-2</v>
      </c>
      <c r="X70" s="38" t="s">
        <v>27</v>
      </c>
      <c r="Y70" s="38" t="s">
        <v>27</v>
      </c>
      <c r="Z70" s="38" t="s">
        <v>27</v>
      </c>
      <c r="AA70" s="38" t="s">
        <v>27</v>
      </c>
      <c r="AB70" s="30">
        <v>1.2165616517656199</v>
      </c>
      <c r="AC70" s="35">
        <v>0.82383901446641805</v>
      </c>
    </row>
    <row r="71" spans="2:29" x14ac:dyDescent="0.3">
      <c r="B71" s="46">
        <f t="shared" si="1"/>
        <v>40</v>
      </c>
      <c r="C71" s="5">
        <v>0.4</v>
      </c>
      <c r="D71">
        <v>0.6</v>
      </c>
      <c r="E71">
        <v>3.0000000000000001E-3</v>
      </c>
      <c r="F71">
        <v>1</v>
      </c>
      <c r="G71">
        <v>1</v>
      </c>
      <c r="H71">
        <v>0.3</v>
      </c>
      <c r="I71">
        <v>0.3</v>
      </c>
      <c r="J71" s="31">
        <v>1143.17990237608</v>
      </c>
      <c r="K71">
        <v>7.54</v>
      </c>
      <c r="L71" s="30">
        <v>32.921281049484598</v>
      </c>
      <c r="M71" s="30">
        <v>32.921281049484598</v>
      </c>
      <c r="N71" s="5">
        <v>30</v>
      </c>
      <c r="O71">
        <v>1.2E-2</v>
      </c>
      <c r="P71">
        <v>3</v>
      </c>
      <c r="Q71">
        <v>30</v>
      </c>
      <c r="R71" s="22">
        <v>1.2E-2</v>
      </c>
      <c r="S71">
        <v>0.89999999999999991</v>
      </c>
      <c r="T71" s="38" t="s">
        <v>27</v>
      </c>
      <c r="U71" s="34" t="s">
        <v>27</v>
      </c>
      <c r="V71" s="30">
        <v>19.181564114053899</v>
      </c>
      <c r="W71" s="22">
        <f t="shared" si="0"/>
        <v>1.2E-2</v>
      </c>
      <c r="X71" s="38" t="s">
        <v>27</v>
      </c>
      <c r="Y71" s="38" t="s">
        <v>27</v>
      </c>
      <c r="Z71" s="38" t="s">
        <v>27</v>
      </c>
      <c r="AA71" s="38" t="s">
        <v>27</v>
      </c>
      <c r="AB71" s="30">
        <v>1.20763275890863</v>
      </c>
      <c r="AC71" s="35">
        <v>0.81779248958960005</v>
      </c>
    </row>
    <row r="72" spans="2:29" x14ac:dyDescent="0.3">
      <c r="B72" s="46">
        <f t="shared" si="1"/>
        <v>41</v>
      </c>
      <c r="C72" s="5">
        <v>0.5</v>
      </c>
      <c r="D72">
        <v>0.5</v>
      </c>
      <c r="E72">
        <v>3.0000000000000001E-3</v>
      </c>
      <c r="F72">
        <v>1</v>
      </c>
      <c r="G72">
        <v>1</v>
      </c>
      <c r="H72">
        <v>0.3</v>
      </c>
      <c r="I72">
        <v>0.3</v>
      </c>
      <c r="J72" s="31">
        <v>1142.66711420552</v>
      </c>
      <c r="K72">
        <v>7.54</v>
      </c>
      <c r="L72" s="30">
        <v>32.9282018165108</v>
      </c>
      <c r="M72" s="30">
        <v>32.9282018165108</v>
      </c>
      <c r="N72" s="5">
        <v>30</v>
      </c>
      <c r="O72">
        <v>1.2E-2</v>
      </c>
      <c r="P72">
        <v>3</v>
      </c>
      <c r="Q72">
        <v>30</v>
      </c>
      <c r="R72" s="22">
        <v>1.2E-2</v>
      </c>
      <c r="S72">
        <v>0.89999999999999991</v>
      </c>
      <c r="T72" s="38" t="s">
        <v>27</v>
      </c>
      <c r="U72" s="34" t="s">
        <v>27</v>
      </c>
      <c r="V72" s="30">
        <v>19.3324022251123</v>
      </c>
      <c r="W72" s="22">
        <f t="shared" si="0"/>
        <v>1.2E-2</v>
      </c>
      <c r="X72" s="38" t="s">
        <v>27</v>
      </c>
      <c r="Y72" s="38" t="s">
        <v>27</v>
      </c>
      <c r="Z72" s="38" t="s">
        <v>27</v>
      </c>
      <c r="AA72" s="38" t="s">
        <v>27</v>
      </c>
      <c r="AB72" s="30">
        <v>1.19089108480176</v>
      </c>
      <c r="AC72" s="35">
        <v>0.80645525544556695</v>
      </c>
    </row>
    <row r="73" spans="2:29" x14ac:dyDescent="0.3">
      <c r="B73" s="46">
        <f t="shared" si="1"/>
        <v>42</v>
      </c>
      <c r="C73" s="5">
        <v>0.6</v>
      </c>
      <c r="D73">
        <v>0.4</v>
      </c>
      <c r="E73">
        <v>3.0000000000000001E-3</v>
      </c>
      <c r="F73">
        <v>1</v>
      </c>
      <c r="G73">
        <v>1</v>
      </c>
      <c r="H73">
        <v>0.3</v>
      </c>
      <c r="I73">
        <v>0.3</v>
      </c>
      <c r="J73" s="31">
        <v>1141.8132943103401</v>
      </c>
      <c r="K73">
        <v>7.54</v>
      </c>
      <c r="L73" s="30">
        <v>32.939735090691599</v>
      </c>
      <c r="M73" s="30">
        <v>32.939735090691599</v>
      </c>
      <c r="N73" s="5">
        <v>30</v>
      </c>
      <c r="O73">
        <v>1.2E-2</v>
      </c>
      <c r="P73">
        <v>3</v>
      </c>
      <c r="Q73">
        <v>30</v>
      </c>
      <c r="R73" s="22">
        <v>1.2E-2</v>
      </c>
      <c r="S73">
        <v>0.89999999999999991</v>
      </c>
      <c r="T73" s="38" t="s">
        <v>27</v>
      </c>
      <c r="U73" s="34" t="s">
        <v>27</v>
      </c>
      <c r="V73" s="30">
        <v>19.583798887443798</v>
      </c>
      <c r="W73" s="22">
        <f t="shared" si="0"/>
        <v>1.2E-2</v>
      </c>
      <c r="X73" s="38" t="s">
        <v>27</v>
      </c>
      <c r="Y73" s="38" t="s">
        <v>27</v>
      </c>
      <c r="Z73" s="38" t="s">
        <v>27</v>
      </c>
      <c r="AA73" s="38" t="s">
        <v>27</v>
      </c>
      <c r="AB73" s="30">
        <v>1.1629882946236501</v>
      </c>
      <c r="AC73" s="35">
        <v>0.78755986520551202</v>
      </c>
    </row>
    <row r="74" spans="2:29" x14ac:dyDescent="0.3">
      <c r="B74" s="46">
        <f t="shared" si="1"/>
        <v>43</v>
      </c>
      <c r="C74" s="5">
        <v>0.7</v>
      </c>
      <c r="D74">
        <v>0.30000000000000004</v>
      </c>
      <c r="E74">
        <v>3.0000000000000001E-3</v>
      </c>
      <c r="F74">
        <v>1</v>
      </c>
      <c r="G74">
        <v>1</v>
      </c>
      <c r="H74">
        <v>0.3</v>
      </c>
      <c r="I74">
        <v>0.3</v>
      </c>
      <c r="J74" s="31">
        <v>1140.43040230463</v>
      </c>
      <c r="K74">
        <v>7.54</v>
      </c>
      <c r="L74" s="30">
        <v>32.958441088007298</v>
      </c>
      <c r="M74" s="30">
        <v>32.958441088007298</v>
      </c>
      <c r="N74" s="5">
        <v>30</v>
      </c>
      <c r="O74">
        <v>1.2E-2</v>
      </c>
      <c r="P74">
        <v>3</v>
      </c>
      <c r="Q74">
        <v>30</v>
      </c>
      <c r="R74" s="22">
        <v>1.2E-2</v>
      </c>
      <c r="S74">
        <v>0.89999999999999991</v>
      </c>
      <c r="T74" s="38" t="s">
        <v>27</v>
      </c>
      <c r="U74" s="34" t="s">
        <v>27</v>
      </c>
      <c r="V74" s="30">
        <v>19.991620026010899</v>
      </c>
      <c r="W74" s="22">
        <f t="shared" si="0"/>
        <v>1.2E-2</v>
      </c>
      <c r="X74" s="38" t="s">
        <v>27</v>
      </c>
      <c r="Y74" s="38" t="s">
        <v>27</v>
      </c>
      <c r="Z74" s="38" t="s">
        <v>27</v>
      </c>
      <c r="AA74" s="38" t="s">
        <v>27</v>
      </c>
      <c r="AB74" s="30">
        <v>1.11722771873155</v>
      </c>
      <c r="AC74" s="35">
        <v>0.75657142521182097</v>
      </c>
    </row>
    <row r="75" spans="2:29" x14ac:dyDescent="0.3">
      <c r="B75" s="46">
        <f t="shared" si="1"/>
        <v>44</v>
      </c>
      <c r="C75" s="5">
        <v>0.8</v>
      </c>
      <c r="D75">
        <v>0.19999999999999996</v>
      </c>
      <c r="E75">
        <v>3.0000000000000001E-3</v>
      </c>
      <c r="F75">
        <v>1</v>
      </c>
      <c r="G75">
        <v>1</v>
      </c>
      <c r="H75">
        <v>0.3</v>
      </c>
      <c r="I75">
        <v>0.3</v>
      </c>
      <c r="J75" s="31">
        <v>1138.55929705075</v>
      </c>
      <c r="K75">
        <v>7.54</v>
      </c>
      <c r="L75" s="30">
        <v>32.9838025246992</v>
      </c>
      <c r="M75" s="30">
        <v>32.9838025246992</v>
      </c>
      <c r="N75" s="5">
        <v>30</v>
      </c>
      <c r="O75">
        <v>1.2E-2</v>
      </c>
      <c r="P75">
        <v>3</v>
      </c>
      <c r="Q75">
        <v>30</v>
      </c>
      <c r="R75" s="22">
        <v>1.2E-2</v>
      </c>
      <c r="S75">
        <v>0.89999999999999991</v>
      </c>
      <c r="T75" s="38" t="s">
        <v>27</v>
      </c>
      <c r="U75" s="34" t="s">
        <v>27</v>
      </c>
      <c r="V75" s="30">
        <v>20.5446926263105</v>
      </c>
      <c r="W75" s="22">
        <f t="shared" si="0"/>
        <v>1.2E-2</v>
      </c>
      <c r="X75" s="38" t="s">
        <v>27</v>
      </c>
      <c r="Y75" s="38" t="s">
        <v>27</v>
      </c>
      <c r="Z75" s="38" t="s">
        <v>27</v>
      </c>
      <c r="AA75" s="38" t="s">
        <v>27</v>
      </c>
      <c r="AB75" s="30">
        <v>1.0558415803397101</v>
      </c>
      <c r="AC75" s="35">
        <v>0.71500156668369796</v>
      </c>
    </row>
    <row r="76" spans="2:29" x14ac:dyDescent="0.3">
      <c r="B76" s="46">
        <f t="shared" si="1"/>
        <v>45</v>
      </c>
      <c r="C76" s="5">
        <v>0.9</v>
      </c>
      <c r="D76">
        <v>9.9999999999999978E-2</v>
      </c>
      <c r="E76">
        <v>3.0000000000000001E-3</v>
      </c>
      <c r="F76">
        <v>1</v>
      </c>
      <c r="G76">
        <v>1</v>
      </c>
      <c r="H76">
        <v>0.3</v>
      </c>
      <c r="I76">
        <v>0.3</v>
      </c>
      <c r="J76" s="31">
        <v>1135.8277382945701</v>
      </c>
      <c r="K76">
        <v>7.54</v>
      </c>
      <c r="L76" s="30">
        <v>33.020933590362098</v>
      </c>
      <c r="M76" s="30">
        <v>33.020933590362098</v>
      </c>
      <c r="N76" s="5">
        <v>30</v>
      </c>
      <c r="O76">
        <v>1.2E-2</v>
      </c>
      <c r="P76">
        <v>3</v>
      </c>
      <c r="Q76">
        <v>30</v>
      </c>
      <c r="R76" s="22">
        <v>1.2E-2</v>
      </c>
      <c r="S76">
        <v>0.89999999999999991</v>
      </c>
      <c r="T76" s="38" t="s">
        <v>27</v>
      </c>
      <c r="U76" s="34" t="s">
        <v>27</v>
      </c>
      <c r="V76" s="30">
        <v>21.354748538267501</v>
      </c>
      <c r="W76" s="22">
        <f t="shared" si="0"/>
        <v>1.2E-2</v>
      </c>
      <c r="X76" s="38" t="s">
        <v>27</v>
      </c>
      <c r="Y76" s="38" t="s">
        <v>27</v>
      </c>
      <c r="Z76" s="38" t="s">
        <v>27</v>
      </c>
      <c r="AA76" s="38" t="s">
        <v>27</v>
      </c>
      <c r="AB76" s="30">
        <v>0.96543654016262703</v>
      </c>
      <c r="AC76" s="35">
        <v>0.653780502305919</v>
      </c>
    </row>
    <row r="77" spans="2:29" x14ac:dyDescent="0.3">
      <c r="B77" s="46">
        <f t="shared" si="1"/>
        <v>46</v>
      </c>
      <c r="C77" s="5">
        <v>0.1</v>
      </c>
      <c r="D77">
        <v>0.9</v>
      </c>
      <c r="E77">
        <v>3.0000000000000001E-3</v>
      </c>
      <c r="F77">
        <v>1</v>
      </c>
      <c r="G77">
        <v>1</v>
      </c>
      <c r="H77">
        <v>0.3</v>
      </c>
      <c r="I77">
        <v>0.5</v>
      </c>
      <c r="J77" s="31">
        <v>1143.27490392601</v>
      </c>
      <c r="K77">
        <v>7.54</v>
      </c>
      <c r="L77" s="30">
        <v>32.9199993612879</v>
      </c>
      <c r="M77" s="30">
        <v>32.9199993612879</v>
      </c>
      <c r="N77" s="5">
        <v>30</v>
      </c>
      <c r="O77">
        <v>1.2E-2</v>
      </c>
      <c r="P77">
        <v>3</v>
      </c>
      <c r="Q77">
        <v>30</v>
      </c>
      <c r="R77" s="22">
        <v>1.2E-2</v>
      </c>
      <c r="S77">
        <v>1.5</v>
      </c>
      <c r="T77" s="38" t="s">
        <v>27</v>
      </c>
      <c r="U77" s="34" t="s">
        <v>27</v>
      </c>
      <c r="V77" s="30">
        <v>19.153631151572601</v>
      </c>
      <c r="W77" s="22">
        <f t="shared" si="0"/>
        <v>1.2E-2</v>
      </c>
      <c r="X77" s="38" t="s">
        <v>27</v>
      </c>
      <c r="Y77" s="38" t="s">
        <v>27</v>
      </c>
      <c r="Z77" s="38" t="s">
        <v>27</v>
      </c>
      <c r="AA77" s="38" t="s">
        <v>27</v>
      </c>
      <c r="AB77" s="30">
        <v>1.2109810937300001</v>
      </c>
      <c r="AC77" s="35">
        <v>0.82005993641840702</v>
      </c>
    </row>
    <row r="78" spans="2:29" x14ac:dyDescent="0.3">
      <c r="B78" s="46">
        <f t="shared" si="1"/>
        <v>47</v>
      </c>
      <c r="C78" s="5">
        <v>0.2</v>
      </c>
      <c r="D78">
        <v>0.8</v>
      </c>
      <c r="E78">
        <v>3.0000000000000001E-3</v>
      </c>
      <c r="F78">
        <v>1</v>
      </c>
      <c r="G78">
        <v>1</v>
      </c>
      <c r="H78">
        <v>0.3</v>
      </c>
      <c r="I78">
        <v>0.5</v>
      </c>
      <c r="J78" s="31">
        <v>1143.8641979055201</v>
      </c>
      <c r="K78">
        <v>7.54</v>
      </c>
      <c r="L78" s="30">
        <v>32.912052446968602</v>
      </c>
      <c r="M78" s="30">
        <v>32.912052446968602</v>
      </c>
      <c r="N78" s="5">
        <v>30</v>
      </c>
      <c r="O78">
        <v>1.2E-2</v>
      </c>
      <c r="P78">
        <v>3</v>
      </c>
      <c r="Q78">
        <v>30</v>
      </c>
      <c r="R78" s="22">
        <v>1.2E-2</v>
      </c>
      <c r="S78">
        <v>1.5</v>
      </c>
      <c r="T78" s="38" t="s">
        <v>27</v>
      </c>
      <c r="U78" s="34" t="s">
        <v>27</v>
      </c>
      <c r="V78" s="30">
        <v>18.9804470115077</v>
      </c>
      <c r="W78" s="22">
        <f t="shared" si="0"/>
        <v>1.2E-2</v>
      </c>
      <c r="X78" s="38" t="s">
        <v>27</v>
      </c>
      <c r="Y78" s="38" t="s">
        <v>27</v>
      </c>
      <c r="Z78" s="38" t="s">
        <v>27</v>
      </c>
      <c r="AA78" s="38" t="s">
        <v>27</v>
      </c>
      <c r="AB78" s="30">
        <v>1.2299549910511201</v>
      </c>
      <c r="AC78" s="35">
        <v>0.83290880178164395</v>
      </c>
    </row>
    <row r="79" spans="2:29" x14ac:dyDescent="0.3">
      <c r="B79" s="46">
        <f t="shared" si="1"/>
        <v>48</v>
      </c>
      <c r="C79" s="5">
        <v>0.3</v>
      </c>
      <c r="D79">
        <v>0.7</v>
      </c>
      <c r="E79">
        <v>3.0000000000000001E-3</v>
      </c>
      <c r="F79">
        <v>1</v>
      </c>
      <c r="G79">
        <v>1</v>
      </c>
      <c r="H79">
        <v>0.3</v>
      </c>
      <c r="I79">
        <v>0.5</v>
      </c>
      <c r="J79" s="31">
        <v>1144.0353762857401</v>
      </c>
      <c r="K79">
        <v>7.54</v>
      </c>
      <c r="L79" s="30">
        <v>32.909745117092598</v>
      </c>
      <c r="M79" s="30">
        <v>32.909745117092598</v>
      </c>
      <c r="N79" s="5">
        <v>30</v>
      </c>
      <c r="O79">
        <v>1.2E-2</v>
      </c>
      <c r="P79">
        <v>3</v>
      </c>
      <c r="Q79">
        <v>30</v>
      </c>
      <c r="R79" s="22">
        <v>1.2E-2</v>
      </c>
      <c r="S79">
        <v>1.5</v>
      </c>
      <c r="T79" s="38" t="s">
        <v>27</v>
      </c>
      <c r="U79" s="34" t="s">
        <v>27</v>
      </c>
      <c r="V79" s="30">
        <v>18.930167451722401</v>
      </c>
      <c r="W79" s="22">
        <f t="shared" si="0"/>
        <v>1.2E-2</v>
      </c>
      <c r="X79" s="38" t="s">
        <v>27</v>
      </c>
      <c r="Y79" s="38" t="s">
        <v>27</v>
      </c>
      <c r="Z79" s="38" t="s">
        <v>27</v>
      </c>
      <c r="AA79" s="38" t="s">
        <v>27</v>
      </c>
      <c r="AB79" s="30">
        <v>1.2355355490867399</v>
      </c>
      <c r="AC79" s="35">
        <v>0.83668787982965598</v>
      </c>
    </row>
    <row r="80" spans="2:29" x14ac:dyDescent="0.3">
      <c r="B80" s="46">
        <f t="shared" si="1"/>
        <v>49</v>
      </c>
      <c r="C80" s="5">
        <v>0.4</v>
      </c>
      <c r="D80">
        <v>0.6</v>
      </c>
      <c r="E80">
        <v>3.0000000000000001E-3</v>
      </c>
      <c r="F80">
        <v>1</v>
      </c>
      <c r="G80">
        <v>1</v>
      </c>
      <c r="H80">
        <v>0.3</v>
      </c>
      <c r="I80">
        <v>0.5</v>
      </c>
      <c r="J80" s="31">
        <v>1144.0353762857401</v>
      </c>
      <c r="K80">
        <v>7.54</v>
      </c>
      <c r="L80" s="30">
        <v>32.909745117092598</v>
      </c>
      <c r="M80" s="30">
        <v>32.909745117092598</v>
      </c>
      <c r="N80" s="5">
        <v>30</v>
      </c>
      <c r="O80">
        <v>1.2E-2</v>
      </c>
      <c r="P80">
        <v>3</v>
      </c>
      <c r="Q80">
        <v>30</v>
      </c>
      <c r="R80" s="22">
        <v>1.2E-2</v>
      </c>
      <c r="S80">
        <v>1.5</v>
      </c>
      <c r="T80" s="38" t="s">
        <v>27</v>
      </c>
      <c r="U80" s="34" t="s">
        <v>27</v>
      </c>
      <c r="V80" s="30">
        <v>18.930167451722401</v>
      </c>
      <c r="W80" s="22">
        <f t="shared" si="0"/>
        <v>1.2E-2</v>
      </c>
      <c r="X80" s="38" t="s">
        <v>27</v>
      </c>
      <c r="Y80" s="38" t="s">
        <v>27</v>
      </c>
      <c r="Z80" s="38" t="s">
        <v>27</v>
      </c>
      <c r="AA80" s="38" t="s">
        <v>27</v>
      </c>
      <c r="AB80" s="30">
        <v>1.2355355490867399</v>
      </c>
      <c r="AC80" s="35">
        <v>0.83668787982965598</v>
      </c>
    </row>
    <row r="81" spans="2:29" x14ac:dyDescent="0.3">
      <c r="B81" s="46">
        <f t="shared" si="1"/>
        <v>50</v>
      </c>
      <c r="C81" s="5">
        <v>0.5</v>
      </c>
      <c r="D81">
        <v>0.5</v>
      </c>
      <c r="E81">
        <v>3.0000000000000001E-3</v>
      </c>
      <c r="F81">
        <v>1</v>
      </c>
      <c r="G81">
        <v>1</v>
      </c>
      <c r="H81">
        <v>0.3</v>
      </c>
      <c r="I81">
        <v>0.5</v>
      </c>
      <c r="J81" s="31">
        <v>1143.5219673440599</v>
      </c>
      <c r="K81">
        <v>7.54</v>
      </c>
      <c r="L81" s="30">
        <v>32.916666881179999</v>
      </c>
      <c r="M81" s="30">
        <v>32.916666881179999</v>
      </c>
      <c r="N81" s="5">
        <v>30</v>
      </c>
      <c r="O81">
        <v>1.2E-2</v>
      </c>
      <c r="P81">
        <v>3</v>
      </c>
      <c r="Q81">
        <v>30</v>
      </c>
      <c r="R81" s="22">
        <v>1.2E-2</v>
      </c>
      <c r="S81">
        <v>1.5</v>
      </c>
      <c r="T81" s="38" t="s">
        <v>27</v>
      </c>
      <c r="U81" s="34" t="s">
        <v>27</v>
      </c>
      <c r="V81" s="30">
        <v>19.081005562780799</v>
      </c>
      <c r="W81" s="22">
        <f t="shared" si="0"/>
        <v>1.2E-2</v>
      </c>
      <c r="X81" s="38" t="s">
        <v>27</v>
      </c>
      <c r="Y81" s="38" t="s">
        <v>27</v>
      </c>
      <c r="Z81" s="38" t="s">
        <v>27</v>
      </c>
      <c r="AA81" s="38" t="s">
        <v>27</v>
      </c>
      <c r="AB81" s="30">
        <v>1.2187938749798699</v>
      </c>
      <c r="AC81" s="35">
        <v>0.825350645685622</v>
      </c>
    </row>
    <row r="82" spans="2:29" x14ac:dyDescent="0.3">
      <c r="B82" s="46">
        <f t="shared" si="1"/>
        <v>51</v>
      </c>
      <c r="C82" s="5">
        <v>0.6</v>
      </c>
      <c r="D82">
        <v>0.4</v>
      </c>
      <c r="E82">
        <v>3.0000000000000001E-3</v>
      </c>
      <c r="F82">
        <v>1</v>
      </c>
      <c r="G82">
        <v>1</v>
      </c>
      <c r="H82">
        <v>0.3</v>
      </c>
      <c r="I82">
        <v>0.5</v>
      </c>
      <c r="J82" s="31">
        <v>1142.9139661520201</v>
      </c>
      <c r="K82">
        <v>7.54</v>
      </c>
      <c r="L82" s="30">
        <v>32.9248696646981</v>
      </c>
      <c r="M82" s="30">
        <v>32.9248696646981</v>
      </c>
      <c r="N82" s="5">
        <v>30</v>
      </c>
      <c r="O82">
        <v>1.2E-2</v>
      </c>
      <c r="P82">
        <v>3</v>
      </c>
      <c r="Q82">
        <v>30</v>
      </c>
      <c r="R82" s="22">
        <v>1.2E-2</v>
      </c>
      <c r="S82">
        <v>1.5</v>
      </c>
      <c r="T82" s="38" t="s">
        <v>27</v>
      </c>
      <c r="U82" s="34" t="s">
        <v>27</v>
      </c>
      <c r="V82" s="30">
        <v>19.259776352171698</v>
      </c>
      <c r="W82" s="22">
        <f t="shared" si="0"/>
        <v>1.2E-2</v>
      </c>
      <c r="X82" s="38" t="s">
        <v>27</v>
      </c>
      <c r="Y82" s="38" t="s">
        <v>27</v>
      </c>
      <c r="Z82" s="38" t="s">
        <v>27</v>
      </c>
      <c r="AA82" s="38" t="s">
        <v>27</v>
      </c>
      <c r="AB82" s="30">
        <v>1.19870386605163</v>
      </c>
      <c r="AC82" s="35">
        <v>0.81174596471278204</v>
      </c>
    </row>
    <row r="83" spans="2:29" x14ac:dyDescent="0.3">
      <c r="B83" s="46">
        <f t="shared" si="1"/>
        <v>52</v>
      </c>
      <c r="C83" s="5">
        <v>0.7</v>
      </c>
      <c r="D83">
        <v>0.30000000000000004</v>
      </c>
      <c r="E83">
        <v>3.0000000000000001E-3</v>
      </c>
      <c r="F83">
        <v>1</v>
      </c>
      <c r="G83">
        <v>1</v>
      </c>
      <c r="H83">
        <v>0.3</v>
      </c>
      <c r="I83">
        <v>0.5</v>
      </c>
      <c r="J83" s="31">
        <v>1141.9650096528501</v>
      </c>
      <c r="K83">
        <v>7.54</v>
      </c>
      <c r="L83" s="30">
        <v>32.937684844389302</v>
      </c>
      <c r="M83" s="30">
        <v>32.937684844389302</v>
      </c>
      <c r="N83" s="5">
        <v>30</v>
      </c>
      <c r="O83">
        <v>1.2E-2</v>
      </c>
      <c r="P83">
        <v>3</v>
      </c>
      <c r="Q83">
        <v>30</v>
      </c>
      <c r="R83" s="22">
        <v>1.2E-2</v>
      </c>
      <c r="S83">
        <v>1.5</v>
      </c>
      <c r="T83" s="38" t="s">
        <v>27</v>
      </c>
      <c r="U83" s="34" t="s">
        <v>27</v>
      </c>
      <c r="V83" s="30">
        <v>19.539105976984501</v>
      </c>
      <c r="W83" s="22">
        <f t="shared" si="0"/>
        <v>1.2E-2</v>
      </c>
      <c r="X83" s="38" t="s">
        <v>27</v>
      </c>
      <c r="Y83" s="38" t="s">
        <v>27</v>
      </c>
      <c r="Z83" s="38" t="s">
        <v>27</v>
      </c>
      <c r="AA83" s="38" t="s">
        <v>27</v>
      </c>
      <c r="AB83" s="30">
        <v>1.16745274105215</v>
      </c>
      <c r="AC83" s="35">
        <v>0.79058312764392003</v>
      </c>
    </row>
    <row r="84" spans="2:29" x14ac:dyDescent="0.3">
      <c r="B84" s="46">
        <f t="shared" si="1"/>
        <v>53</v>
      </c>
      <c r="C84" s="5">
        <v>0.8</v>
      </c>
      <c r="D84">
        <v>0.19999999999999996</v>
      </c>
      <c r="E84">
        <v>3.0000000000000001E-3</v>
      </c>
      <c r="F84">
        <v>1</v>
      </c>
      <c r="G84">
        <v>1</v>
      </c>
      <c r="H84">
        <v>0.3</v>
      </c>
      <c r="I84">
        <v>0.5</v>
      </c>
      <c r="J84" s="31">
        <v>1140.43040230463</v>
      </c>
      <c r="K84">
        <v>7.54</v>
      </c>
      <c r="L84" s="30">
        <v>32.958441088007298</v>
      </c>
      <c r="M84" s="30">
        <v>32.958441088007298</v>
      </c>
      <c r="N84" s="5">
        <v>30</v>
      </c>
      <c r="O84">
        <v>1.2E-2</v>
      </c>
      <c r="P84">
        <v>3</v>
      </c>
      <c r="Q84">
        <v>30</v>
      </c>
      <c r="R84" s="22">
        <v>1.2E-2</v>
      </c>
      <c r="S84">
        <v>1.5</v>
      </c>
      <c r="T84" s="38" t="s">
        <v>27</v>
      </c>
      <c r="U84" s="34" t="s">
        <v>27</v>
      </c>
      <c r="V84" s="30">
        <v>19.991620026010899</v>
      </c>
      <c r="W84" s="22">
        <f t="shared" si="0"/>
        <v>1.2E-2</v>
      </c>
      <c r="X84" s="38" t="s">
        <v>27</v>
      </c>
      <c r="Y84" s="38" t="s">
        <v>27</v>
      </c>
      <c r="Z84" s="38" t="s">
        <v>27</v>
      </c>
      <c r="AA84" s="38" t="s">
        <v>27</v>
      </c>
      <c r="AB84" s="30">
        <v>1.11722771873155</v>
      </c>
      <c r="AC84" s="35">
        <v>0.75657142521182097</v>
      </c>
    </row>
    <row r="85" spans="2:29" x14ac:dyDescent="0.3">
      <c r="B85" s="46">
        <f t="shared" si="1"/>
        <v>54</v>
      </c>
      <c r="C85" s="5">
        <v>0.9</v>
      </c>
      <c r="D85">
        <v>9.9999999999999978E-2</v>
      </c>
      <c r="E85">
        <v>3.0000000000000001E-3</v>
      </c>
      <c r="F85">
        <v>1</v>
      </c>
      <c r="G85">
        <v>1</v>
      </c>
      <c r="H85">
        <v>0.3</v>
      </c>
      <c r="I85">
        <v>0.5</v>
      </c>
      <c r="J85" s="31">
        <v>1137.8612691420799</v>
      </c>
      <c r="K85">
        <v>7.54</v>
      </c>
      <c r="L85" s="30">
        <v>32.993278987875499</v>
      </c>
      <c r="M85" s="30">
        <v>32.993278987875499</v>
      </c>
      <c r="N85" s="5">
        <v>30</v>
      </c>
      <c r="O85">
        <v>1.2E-2</v>
      </c>
      <c r="P85">
        <v>3</v>
      </c>
      <c r="Q85">
        <v>30</v>
      </c>
      <c r="R85" s="22">
        <v>1.2E-2</v>
      </c>
      <c r="S85">
        <v>1.5</v>
      </c>
      <c r="T85" s="38" t="s">
        <v>27</v>
      </c>
      <c r="U85" s="34" t="s">
        <v>27</v>
      </c>
      <c r="V85" s="30">
        <v>20.751396662331501</v>
      </c>
      <c r="W85" s="22">
        <f t="shared" si="0"/>
        <v>1.2E-2</v>
      </c>
      <c r="X85" s="38" t="s">
        <v>27</v>
      </c>
      <c r="Y85" s="38" t="s">
        <v>27</v>
      </c>
      <c r="Z85" s="38" t="s">
        <v>27</v>
      </c>
      <c r="AA85" s="38" t="s">
        <v>27</v>
      </c>
      <c r="AB85" s="30">
        <v>1.0324032365900899</v>
      </c>
      <c r="AC85" s="35">
        <v>0.69912943888205203</v>
      </c>
    </row>
    <row r="86" spans="2:29" x14ac:dyDescent="0.3">
      <c r="B86" s="46">
        <f t="shared" si="1"/>
        <v>55</v>
      </c>
      <c r="C86" s="5">
        <v>0.1</v>
      </c>
      <c r="D86">
        <v>0.9</v>
      </c>
      <c r="E86">
        <v>3.0000000000000001E-3</v>
      </c>
      <c r="F86">
        <v>1</v>
      </c>
      <c r="G86">
        <v>1</v>
      </c>
      <c r="H86">
        <v>0.3</v>
      </c>
      <c r="I86">
        <v>0.7</v>
      </c>
      <c r="J86" s="31">
        <v>1143.40792697201</v>
      </c>
      <c r="K86">
        <v>7.54</v>
      </c>
      <c r="L86" s="30">
        <v>32.918204971170397</v>
      </c>
      <c r="M86" s="30">
        <v>32.918204971170397</v>
      </c>
      <c r="N86" s="5">
        <v>30</v>
      </c>
      <c r="O86">
        <v>1.2E-2</v>
      </c>
      <c r="P86">
        <v>3</v>
      </c>
      <c r="Q86">
        <v>30</v>
      </c>
      <c r="R86" s="22">
        <v>1.2E-2</v>
      </c>
      <c r="S86">
        <v>2.0999999999999996</v>
      </c>
      <c r="T86" s="38" t="s">
        <v>27</v>
      </c>
      <c r="U86" s="34" t="s">
        <v>27</v>
      </c>
      <c r="V86" s="30">
        <v>19.114525174588099</v>
      </c>
      <c r="W86" s="22">
        <f t="shared" si="0"/>
        <v>1.2E-2</v>
      </c>
      <c r="X86" s="38" t="s">
        <v>27</v>
      </c>
      <c r="Y86" s="38" t="s">
        <v>27</v>
      </c>
      <c r="Z86" s="38" t="s">
        <v>27</v>
      </c>
      <c r="AA86" s="38" t="s">
        <v>27</v>
      </c>
      <c r="AB86" s="30">
        <v>1.2154455401585</v>
      </c>
      <c r="AC86" s="35">
        <v>0.82308319885681602</v>
      </c>
    </row>
    <row r="87" spans="2:29" x14ac:dyDescent="0.3">
      <c r="B87" s="46">
        <f t="shared" si="1"/>
        <v>56</v>
      </c>
      <c r="C87" s="5">
        <v>0.2</v>
      </c>
      <c r="D87">
        <v>0.8</v>
      </c>
      <c r="E87">
        <v>3.0000000000000001E-3</v>
      </c>
      <c r="F87">
        <v>1</v>
      </c>
      <c r="G87">
        <v>1</v>
      </c>
      <c r="H87">
        <v>0.3</v>
      </c>
      <c r="I87">
        <v>0.7</v>
      </c>
      <c r="J87" s="31">
        <v>1143.99733284994</v>
      </c>
      <c r="K87">
        <v>7.54</v>
      </c>
      <c r="L87" s="30">
        <v>32.910257865709099</v>
      </c>
      <c r="M87" s="30">
        <v>32.910257865709099</v>
      </c>
      <c r="N87" s="5">
        <v>30</v>
      </c>
      <c r="O87">
        <v>1.2E-2</v>
      </c>
      <c r="P87">
        <v>3</v>
      </c>
      <c r="Q87">
        <v>30</v>
      </c>
      <c r="R87" s="22">
        <v>1.2E-2</v>
      </c>
      <c r="S87">
        <v>2.0999999999999996</v>
      </c>
      <c r="T87" s="38" t="s">
        <v>27</v>
      </c>
      <c r="U87" s="34" t="s">
        <v>27</v>
      </c>
      <c r="V87" s="30">
        <v>18.941340750374401</v>
      </c>
      <c r="W87" s="22">
        <f t="shared" si="0"/>
        <v>1.2E-2</v>
      </c>
      <c r="X87" s="38" t="s">
        <v>27</v>
      </c>
      <c r="Y87" s="38" t="s">
        <v>27</v>
      </c>
      <c r="Z87" s="38" t="s">
        <v>27</v>
      </c>
      <c r="AA87" s="38" t="s">
        <v>27</v>
      </c>
      <c r="AB87" s="30">
        <v>1.23441943747961</v>
      </c>
      <c r="AC87" s="35">
        <v>0.83593206422005295</v>
      </c>
    </row>
    <row r="88" spans="2:29" x14ac:dyDescent="0.3">
      <c r="B88" s="46">
        <f t="shared" si="1"/>
        <v>57</v>
      </c>
      <c r="C88" s="5">
        <v>0.3</v>
      </c>
      <c r="D88">
        <v>0.7</v>
      </c>
      <c r="E88">
        <v>3.0000000000000001E-3</v>
      </c>
      <c r="F88">
        <v>1</v>
      </c>
      <c r="G88">
        <v>1</v>
      </c>
      <c r="H88">
        <v>0.3</v>
      </c>
      <c r="I88">
        <v>0.7</v>
      </c>
      <c r="J88" s="31">
        <v>1144.2636769778201</v>
      </c>
      <c r="K88">
        <v>7.54</v>
      </c>
      <c r="L88" s="30">
        <v>32.906668595552503</v>
      </c>
      <c r="M88" s="30">
        <v>32.906668595552503</v>
      </c>
      <c r="N88" s="5">
        <v>30</v>
      </c>
      <c r="O88">
        <v>1.2E-2</v>
      </c>
      <c r="P88">
        <v>3</v>
      </c>
      <c r="Q88">
        <v>30</v>
      </c>
      <c r="R88" s="22">
        <v>1.2E-2</v>
      </c>
      <c r="S88">
        <v>2.0999999999999996</v>
      </c>
      <c r="T88" s="38" t="s">
        <v>27</v>
      </c>
      <c r="U88" s="34" t="s">
        <v>27</v>
      </c>
      <c r="V88" s="30">
        <v>18.863128512256601</v>
      </c>
      <c r="W88" s="22">
        <f t="shared" si="0"/>
        <v>1.2E-2</v>
      </c>
      <c r="X88" s="38" t="s">
        <v>27</v>
      </c>
      <c r="Y88" s="38" t="s">
        <v>27</v>
      </c>
      <c r="Z88" s="38" t="s">
        <v>27</v>
      </c>
      <c r="AA88" s="38" t="s">
        <v>27</v>
      </c>
      <c r="AB88" s="30">
        <v>1.24334833033661</v>
      </c>
      <c r="AC88" s="35">
        <v>0.84197858909687096</v>
      </c>
    </row>
    <row r="89" spans="2:29" x14ac:dyDescent="0.3">
      <c r="B89" s="46">
        <f t="shared" si="1"/>
        <v>58</v>
      </c>
      <c r="C89" s="5">
        <v>0.4</v>
      </c>
      <c r="D89">
        <v>0.6</v>
      </c>
      <c r="E89">
        <v>3.0000000000000001E-3</v>
      </c>
      <c r="F89">
        <v>1</v>
      </c>
      <c r="G89">
        <v>1</v>
      </c>
      <c r="H89">
        <v>0.3</v>
      </c>
      <c r="I89">
        <v>0.7</v>
      </c>
      <c r="J89" s="31">
        <v>1144.37785544443</v>
      </c>
      <c r="K89">
        <v>7.54</v>
      </c>
      <c r="L89" s="30">
        <v>32.905130283927498</v>
      </c>
      <c r="M89" s="30">
        <v>32.905130283927498</v>
      </c>
      <c r="N89" s="5">
        <v>30</v>
      </c>
      <c r="O89">
        <v>1.2E-2</v>
      </c>
      <c r="P89">
        <v>3</v>
      </c>
      <c r="Q89">
        <v>30</v>
      </c>
      <c r="R89" s="22">
        <v>1.2E-2</v>
      </c>
      <c r="S89">
        <v>2.0999999999999996</v>
      </c>
      <c r="T89" s="38" t="s">
        <v>27</v>
      </c>
      <c r="U89" s="34" t="s">
        <v>27</v>
      </c>
      <c r="V89" s="30">
        <v>18.829608900449301</v>
      </c>
      <c r="W89" s="22">
        <f t="shared" si="0"/>
        <v>1.2E-2</v>
      </c>
      <c r="X89" s="38" t="s">
        <v>27</v>
      </c>
      <c r="Y89" s="38" t="s">
        <v>27</v>
      </c>
      <c r="Z89" s="38" t="s">
        <v>27</v>
      </c>
      <c r="AA89" s="38" t="s">
        <v>27</v>
      </c>
      <c r="AB89" s="30">
        <v>1.2466966651579801</v>
      </c>
      <c r="AC89" s="35">
        <v>0.84424603592567804</v>
      </c>
    </row>
    <row r="90" spans="2:29" x14ac:dyDescent="0.3">
      <c r="B90" s="46">
        <f t="shared" si="1"/>
        <v>59</v>
      </c>
      <c r="C90" s="5">
        <v>0.5</v>
      </c>
      <c r="D90">
        <v>0.5</v>
      </c>
      <c r="E90">
        <v>3.0000000000000001E-3</v>
      </c>
      <c r="F90">
        <v>1</v>
      </c>
      <c r="G90">
        <v>1</v>
      </c>
      <c r="H90">
        <v>0.3</v>
      </c>
      <c r="I90">
        <v>0.7</v>
      </c>
      <c r="J90" s="31">
        <v>1143.99733284994</v>
      </c>
      <c r="K90">
        <v>7.54</v>
      </c>
      <c r="L90" s="30">
        <v>32.910257865709099</v>
      </c>
      <c r="M90" s="30">
        <v>32.910257865709099</v>
      </c>
      <c r="N90" s="5">
        <v>30</v>
      </c>
      <c r="O90">
        <v>1.2E-2</v>
      </c>
      <c r="P90">
        <v>3</v>
      </c>
      <c r="Q90">
        <v>30</v>
      </c>
      <c r="R90" s="22">
        <v>1.2E-2</v>
      </c>
      <c r="S90">
        <v>2.0999999999999996</v>
      </c>
      <c r="T90" s="38" t="s">
        <v>27</v>
      </c>
      <c r="U90" s="34" t="s">
        <v>27</v>
      </c>
      <c r="V90" s="30">
        <v>18.941340750374401</v>
      </c>
      <c r="W90" s="22">
        <f t="shared" si="0"/>
        <v>1.2E-2</v>
      </c>
      <c r="X90" s="38" t="s">
        <v>27</v>
      </c>
      <c r="Y90" s="38" t="s">
        <v>27</v>
      </c>
      <c r="Z90" s="38" t="s">
        <v>27</v>
      </c>
      <c r="AA90" s="38" t="s">
        <v>27</v>
      </c>
      <c r="AB90" s="30">
        <v>1.23441943747961</v>
      </c>
      <c r="AC90" s="35">
        <v>0.83593206422005295</v>
      </c>
    </row>
    <row r="91" spans="2:29" x14ac:dyDescent="0.3">
      <c r="B91" s="46">
        <f t="shared" si="1"/>
        <v>60</v>
      </c>
      <c r="C91" s="5">
        <v>0.6</v>
      </c>
      <c r="D91">
        <v>0.4</v>
      </c>
      <c r="E91">
        <v>3.0000000000000001E-3</v>
      </c>
      <c r="F91">
        <v>1</v>
      </c>
      <c r="G91">
        <v>1</v>
      </c>
      <c r="H91">
        <v>0.3</v>
      </c>
      <c r="I91">
        <v>0.7</v>
      </c>
      <c r="J91" s="31">
        <v>1143.3319105993601</v>
      </c>
      <c r="K91">
        <v>7.54</v>
      </c>
      <c r="L91" s="30">
        <v>32.9192303437381</v>
      </c>
      <c r="M91" s="30">
        <v>32.9192303437381</v>
      </c>
      <c r="N91" s="5">
        <v>30</v>
      </c>
      <c r="O91">
        <v>1.2E-2</v>
      </c>
      <c r="P91">
        <v>3</v>
      </c>
      <c r="Q91">
        <v>30</v>
      </c>
      <c r="R91" s="22">
        <v>1.2E-2</v>
      </c>
      <c r="S91">
        <v>2.0999999999999996</v>
      </c>
      <c r="T91" s="38" t="s">
        <v>27</v>
      </c>
      <c r="U91" s="34" t="s">
        <v>27</v>
      </c>
      <c r="V91" s="30">
        <v>19.136871487743299</v>
      </c>
      <c r="W91" s="22">
        <f t="shared" si="0"/>
        <v>1.2E-2</v>
      </c>
      <c r="X91" s="38" t="s">
        <v>27</v>
      </c>
      <c r="Y91" s="38" t="s">
        <v>27</v>
      </c>
      <c r="Z91" s="38" t="s">
        <v>27</v>
      </c>
      <c r="AA91" s="38" t="s">
        <v>27</v>
      </c>
      <c r="AB91" s="30">
        <v>1.21209720533712</v>
      </c>
      <c r="AC91" s="35">
        <v>0.82081575202800905</v>
      </c>
    </row>
    <row r="92" spans="2:29" x14ac:dyDescent="0.3">
      <c r="B92" s="46">
        <f t="shared" si="1"/>
        <v>61</v>
      </c>
      <c r="C92" s="5">
        <v>0.7</v>
      </c>
      <c r="D92">
        <v>0.30000000000000004</v>
      </c>
      <c r="E92">
        <v>3.0000000000000001E-3</v>
      </c>
      <c r="F92">
        <v>1</v>
      </c>
      <c r="G92">
        <v>1</v>
      </c>
      <c r="H92">
        <v>0.3</v>
      </c>
      <c r="I92">
        <v>0.7</v>
      </c>
      <c r="J92" s="31">
        <v>1142.49626878043</v>
      </c>
      <c r="K92">
        <v>7.54</v>
      </c>
      <c r="L92" s="30">
        <v>32.930508588570603</v>
      </c>
      <c r="M92" s="30">
        <v>32.930508588570603</v>
      </c>
      <c r="N92" s="5">
        <v>30</v>
      </c>
      <c r="O92">
        <v>1.2E-2</v>
      </c>
      <c r="P92">
        <v>3</v>
      </c>
      <c r="Q92">
        <v>30</v>
      </c>
      <c r="R92" s="22">
        <v>1.2E-2</v>
      </c>
      <c r="S92">
        <v>2.0999999999999996</v>
      </c>
      <c r="T92" s="38" t="s">
        <v>27</v>
      </c>
      <c r="U92" s="34" t="s">
        <v>27</v>
      </c>
      <c r="V92" s="30">
        <v>19.382681216600002</v>
      </c>
      <c r="W92" s="22">
        <f t="shared" si="0"/>
        <v>1.2E-2</v>
      </c>
      <c r="X92" s="38" t="s">
        <v>27</v>
      </c>
      <c r="Y92" s="38" t="s">
        <v>27</v>
      </c>
      <c r="Z92" s="38" t="s">
        <v>27</v>
      </c>
      <c r="AA92" s="38" t="s">
        <v>27</v>
      </c>
      <c r="AB92" s="30">
        <v>1.1853105267661399</v>
      </c>
      <c r="AC92" s="35">
        <v>0.80267617739755603</v>
      </c>
    </row>
    <row r="93" spans="2:29" x14ac:dyDescent="0.3">
      <c r="B93" s="46">
        <f t="shared" si="1"/>
        <v>62</v>
      </c>
      <c r="C93" s="5">
        <v>0.8</v>
      </c>
      <c r="D93">
        <v>0.19999999999999996</v>
      </c>
      <c r="E93">
        <v>3.0000000000000001E-3</v>
      </c>
      <c r="F93">
        <v>1</v>
      </c>
      <c r="G93">
        <v>1</v>
      </c>
      <c r="H93">
        <v>0.3</v>
      </c>
      <c r="I93">
        <v>0.7</v>
      </c>
      <c r="J93" s="31">
        <v>1141.1120380278201</v>
      </c>
      <c r="K93">
        <v>7.54</v>
      </c>
      <c r="L93" s="30">
        <v>32.949216753314403</v>
      </c>
      <c r="M93" s="30">
        <v>32.949216753314403</v>
      </c>
      <c r="N93" s="5">
        <v>30</v>
      </c>
      <c r="O93">
        <v>1.2E-2</v>
      </c>
      <c r="P93">
        <v>3</v>
      </c>
      <c r="Q93">
        <v>30</v>
      </c>
      <c r="R93" s="22">
        <v>1.2E-2</v>
      </c>
      <c r="S93">
        <v>2.0999999999999996</v>
      </c>
      <c r="T93" s="38" t="s">
        <v>27</v>
      </c>
      <c r="U93" s="34" t="s">
        <v>27</v>
      </c>
      <c r="V93" s="30">
        <v>19.790502639315999</v>
      </c>
      <c r="W93" s="22">
        <f t="shared" si="0"/>
        <v>1.2E-2</v>
      </c>
      <c r="X93" s="38" t="s">
        <v>27</v>
      </c>
      <c r="Y93" s="38" t="s">
        <v>27</v>
      </c>
      <c r="Z93" s="38" t="s">
        <v>27</v>
      </c>
      <c r="AA93" s="38" t="s">
        <v>27</v>
      </c>
      <c r="AB93" s="30">
        <v>1.1395499508740401</v>
      </c>
      <c r="AC93" s="35">
        <v>0.77168773740386498</v>
      </c>
    </row>
    <row r="94" spans="2:29" x14ac:dyDescent="0.3">
      <c r="B94" s="46">
        <f t="shared" si="1"/>
        <v>63</v>
      </c>
      <c r="C94" s="5">
        <v>0.9</v>
      </c>
      <c r="D94">
        <v>9.9999999999999978E-2</v>
      </c>
      <c r="E94">
        <v>3.0000000000000001E-3</v>
      </c>
      <c r="F94">
        <v>1</v>
      </c>
      <c r="G94">
        <v>1</v>
      </c>
      <c r="H94">
        <v>0.3</v>
      </c>
      <c r="I94">
        <v>0.7</v>
      </c>
      <c r="J94" s="31">
        <v>1139.0502170933701</v>
      </c>
      <c r="K94">
        <v>7.54</v>
      </c>
      <c r="L94" s="30">
        <v>32.977142725667903</v>
      </c>
      <c r="M94" s="30">
        <v>32.977142725667903</v>
      </c>
      <c r="N94" s="5">
        <v>30</v>
      </c>
      <c r="O94">
        <v>1.2E-2</v>
      </c>
      <c r="P94">
        <v>3</v>
      </c>
      <c r="Q94">
        <v>30</v>
      </c>
      <c r="R94" s="22">
        <v>1.2E-2</v>
      </c>
      <c r="S94">
        <v>2.0999999999999996</v>
      </c>
      <c r="T94" s="38" t="s">
        <v>27</v>
      </c>
      <c r="U94" s="34" t="s">
        <v>27</v>
      </c>
      <c r="V94" s="30">
        <v>20.399441306652498</v>
      </c>
      <c r="W94" s="22">
        <f t="shared" si="0"/>
        <v>1.2E-2</v>
      </c>
      <c r="X94" s="38" t="s">
        <v>27</v>
      </c>
      <c r="Y94" s="38" t="s">
        <v>27</v>
      </c>
      <c r="Z94" s="38" t="s">
        <v>27</v>
      </c>
      <c r="AA94" s="38" t="s">
        <v>27</v>
      </c>
      <c r="AB94" s="30">
        <v>1.07146714283945</v>
      </c>
      <c r="AC94" s="35">
        <v>0.72558298521813003</v>
      </c>
    </row>
    <row r="95" spans="2:29" x14ac:dyDescent="0.3">
      <c r="B95" s="46">
        <f t="shared" si="1"/>
        <v>64</v>
      </c>
      <c r="C95" s="5">
        <v>0.1</v>
      </c>
      <c r="D95">
        <v>0.9</v>
      </c>
      <c r="E95">
        <v>3.0000000000000001E-3</v>
      </c>
      <c r="F95">
        <v>1</v>
      </c>
      <c r="G95">
        <v>1</v>
      </c>
      <c r="H95">
        <v>0.3</v>
      </c>
      <c r="I95">
        <v>1</v>
      </c>
      <c r="J95" s="31">
        <v>1143.55998521225</v>
      </c>
      <c r="K95">
        <v>7.54</v>
      </c>
      <c r="L95" s="30">
        <v>32.916154173604703</v>
      </c>
      <c r="M95" s="30">
        <v>32.916154173604703</v>
      </c>
      <c r="N95" s="5">
        <v>30</v>
      </c>
      <c r="O95">
        <v>1.2E-2</v>
      </c>
      <c r="P95">
        <v>3</v>
      </c>
      <c r="Q95">
        <v>30</v>
      </c>
      <c r="R95" s="22">
        <v>1.2E-2</v>
      </c>
      <c r="S95">
        <v>3</v>
      </c>
      <c r="T95" s="38" t="s">
        <v>27</v>
      </c>
      <c r="U95" s="34" t="s">
        <v>27</v>
      </c>
      <c r="V95" s="30">
        <v>19.069832264128799</v>
      </c>
      <c r="W95" s="22">
        <f t="shared" si="0"/>
        <v>1.2E-2</v>
      </c>
      <c r="X95" s="38" t="s">
        <v>27</v>
      </c>
      <c r="Y95" s="38" t="s">
        <v>27</v>
      </c>
      <c r="Z95" s="38" t="s">
        <v>27</v>
      </c>
      <c r="AA95" s="38" t="s">
        <v>27</v>
      </c>
      <c r="AB95" s="30">
        <v>1.219909986587</v>
      </c>
      <c r="AC95" s="35">
        <v>0.82610646129522503</v>
      </c>
    </row>
    <row r="96" spans="2:29" x14ac:dyDescent="0.3">
      <c r="B96" s="46">
        <f t="shared" si="1"/>
        <v>65</v>
      </c>
      <c r="C96" s="5">
        <v>0.2</v>
      </c>
      <c r="D96">
        <v>0.8</v>
      </c>
      <c r="E96">
        <v>3.0000000000000001E-3</v>
      </c>
      <c r="F96">
        <v>1</v>
      </c>
      <c r="G96">
        <v>1</v>
      </c>
      <c r="H96">
        <v>0.3</v>
      </c>
      <c r="I96">
        <v>1</v>
      </c>
      <c r="J96" s="31">
        <v>1144.2636769778201</v>
      </c>
      <c r="K96">
        <v>7.54</v>
      </c>
      <c r="L96" s="30">
        <v>32.906668595552503</v>
      </c>
      <c r="M96" s="30">
        <v>32.906668595552503</v>
      </c>
      <c r="N96" s="5">
        <v>30</v>
      </c>
      <c r="O96">
        <v>1.2E-2</v>
      </c>
      <c r="P96">
        <v>3</v>
      </c>
      <c r="Q96">
        <v>30</v>
      </c>
      <c r="R96" s="22">
        <v>1.2E-2</v>
      </c>
      <c r="S96">
        <v>3</v>
      </c>
      <c r="T96" s="38" t="s">
        <v>27</v>
      </c>
      <c r="U96" s="34" t="s">
        <v>27</v>
      </c>
      <c r="V96" s="30">
        <v>18.863128512256601</v>
      </c>
      <c r="W96" s="22">
        <f t="shared" si="0"/>
        <v>1.2E-2</v>
      </c>
      <c r="X96" s="38" t="s">
        <v>27</v>
      </c>
      <c r="Y96" s="38" t="s">
        <v>27</v>
      </c>
      <c r="Z96" s="38" t="s">
        <v>27</v>
      </c>
      <c r="AA96" s="38" t="s">
        <v>27</v>
      </c>
      <c r="AB96" s="30">
        <v>1.24334833033661</v>
      </c>
      <c r="AC96" s="35">
        <v>0.84197858909687096</v>
      </c>
    </row>
    <row r="97" spans="2:29" x14ac:dyDescent="0.3">
      <c r="B97" s="46">
        <f t="shared" si="1"/>
        <v>66</v>
      </c>
      <c r="C97" s="5">
        <v>0.3</v>
      </c>
      <c r="D97">
        <v>0.7</v>
      </c>
      <c r="E97">
        <v>3.0000000000000001E-3</v>
      </c>
      <c r="F97">
        <v>1</v>
      </c>
      <c r="G97">
        <v>1</v>
      </c>
      <c r="H97">
        <v>0.3</v>
      </c>
      <c r="I97">
        <v>1</v>
      </c>
      <c r="J97" s="31">
        <v>1144.56819352361</v>
      </c>
      <c r="K97">
        <v>7.54</v>
      </c>
      <c r="L97" s="30">
        <v>32.9025663698785</v>
      </c>
      <c r="M97" s="30">
        <v>32.9025663698785</v>
      </c>
      <c r="N97" s="5">
        <v>30</v>
      </c>
      <c r="O97">
        <v>1.2E-2</v>
      </c>
      <c r="P97">
        <v>3</v>
      </c>
      <c r="Q97">
        <v>30</v>
      </c>
      <c r="R97" s="22">
        <v>1.2E-2</v>
      </c>
      <c r="S97">
        <v>3</v>
      </c>
      <c r="T97" s="38" t="s">
        <v>27</v>
      </c>
      <c r="U97" s="34" t="s">
        <v>27</v>
      </c>
      <c r="V97" s="30">
        <v>18.773742975486702</v>
      </c>
      <c r="W97" s="22">
        <f t="shared" si="0"/>
        <v>1.2E-2</v>
      </c>
      <c r="X97" s="38" t="s">
        <v>27</v>
      </c>
      <c r="Y97" s="38" t="s">
        <v>27</v>
      </c>
      <c r="Z97" s="38" t="s">
        <v>27</v>
      </c>
      <c r="AA97" s="38" t="s">
        <v>27</v>
      </c>
      <c r="AB97" s="30">
        <v>1.25339333480073</v>
      </c>
      <c r="AC97" s="35">
        <v>0.84878092958329099</v>
      </c>
    </row>
    <row r="98" spans="2:29" x14ac:dyDescent="0.3">
      <c r="B98" s="46">
        <f t="shared" si="1"/>
        <v>67</v>
      </c>
      <c r="C98" s="5">
        <v>0.4</v>
      </c>
      <c r="D98">
        <v>0.6</v>
      </c>
      <c r="E98">
        <v>3.0000000000000001E-3</v>
      </c>
      <c r="F98">
        <v>1</v>
      </c>
      <c r="G98">
        <v>1</v>
      </c>
      <c r="H98">
        <v>0.3</v>
      </c>
      <c r="I98">
        <v>1</v>
      </c>
      <c r="J98" s="31">
        <v>1144.6824221142999</v>
      </c>
      <c r="K98">
        <v>7.54</v>
      </c>
      <c r="L98" s="30">
        <v>32.901027966384</v>
      </c>
      <c r="M98" s="30">
        <v>32.901027966384</v>
      </c>
      <c r="N98" s="5">
        <v>30</v>
      </c>
      <c r="O98">
        <v>1.2E-2</v>
      </c>
      <c r="P98">
        <v>3</v>
      </c>
      <c r="Q98">
        <v>30</v>
      </c>
      <c r="R98" s="22">
        <v>1.2E-2</v>
      </c>
      <c r="S98">
        <v>3</v>
      </c>
      <c r="T98" s="38" t="s">
        <v>27</v>
      </c>
      <c r="U98" s="34" t="s">
        <v>27</v>
      </c>
      <c r="V98" s="30">
        <v>18.740223079530601</v>
      </c>
      <c r="W98" s="22">
        <f t="shared" ref="W98:W139" si="2">O98</f>
        <v>1.2E-2</v>
      </c>
      <c r="X98" s="38" t="s">
        <v>27</v>
      </c>
      <c r="Y98" s="38" t="s">
        <v>27</v>
      </c>
      <c r="Z98" s="38" t="s">
        <v>27</v>
      </c>
      <c r="AA98" s="38" t="s">
        <v>27</v>
      </c>
      <c r="AB98" s="30">
        <v>1.2567416696221001</v>
      </c>
      <c r="AC98" s="35">
        <v>0.85104837641209796</v>
      </c>
    </row>
    <row r="99" spans="2:29" x14ac:dyDescent="0.3">
      <c r="B99" s="46">
        <f t="shared" ref="B99:B139" si="3">B98+1</f>
        <v>68</v>
      </c>
      <c r="C99" s="5">
        <v>0.5</v>
      </c>
      <c r="D99">
        <v>0.5</v>
      </c>
      <c r="E99">
        <v>3.0000000000000001E-3</v>
      </c>
      <c r="F99">
        <v>1</v>
      </c>
      <c r="G99">
        <v>1</v>
      </c>
      <c r="H99">
        <v>0.3</v>
      </c>
      <c r="I99">
        <v>1</v>
      </c>
      <c r="J99" s="31">
        <v>1144.3968881098999</v>
      </c>
      <c r="K99">
        <v>7.54</v>
      </c>
      <c r="L99" s="30">
        <v>32.9048738805689</v>
      </c>
      <c r="M99" s="30">
        <v>32.9048738805689</v>
      </c>
      <c r="N99" s="5">
        <v>30</v>
      </c>
      <c r="O99">
        <v>1.2E-2</v>
      </c>
      <c r="P99">
        <v>3</v>
      </c>
      <c r="Q99">
        <v>30</v>
      </c>
      <c r="R99" s="22">
        <v>1.2E-2</v>
      </c>
      <c r="S99">
        <v>3</v>
      </c>
      <c r="T99" s="38" t="s">
        <v>27</v>
      </c>
      <c r="U99" s="34" t="s">
        <v>27</v>
      </c>
      <c r="V99" s="30">
        <v>18.824021966974499</v>
      </c>
      <c r="W99" s="22">
        <f t="shared" si="2"/>
        <v>1.2E-2</v>
      </c>
      <c r="X99" s="38" t="s">
        <v>27</v>
      </c>
      <c r="Y99" s="38" t="s">
        <v>27</v>
      </c>
      <c r="Z99" s="38" t="s">
        <v>27</v>
      </c>
      <c r="AA99" s="38" t="s">
        <v>27</v>
      </c>
      <c r="AB99" s="30">
        <v>1.2478127767651099</v>
      </c>
      <c r="AC99" s="35">
        <v>0.84500185153527996</v>
      </c>
    </row>
    <row r="100" spans="2:29" x14ac:dyDescent="0.3">
      <c r="B100" s="46">
        <f t="shared" si="3"/>
        <v>69</v>
      </c>
      <c r="C100" s="5">
        <v>0.6</v>
      </c>
      <c r="D100">
        <v>0.4</v>
      </c>
      <c r="E100">
        <v>3.0000000000000001E-3</v>
      </c>
      <c r="F100">
        <v>1</v>
      </c>
      <c r="G100">
        <v>1</v>
      </c>
      <c r="H100">
        <v>0.3</v>
      </c>
      <c r="I100">
        <v>1</v>
      </c>
      <c r="J100" s="31">
        <v>1143.90223417999</v>
      </c>
      <c r="K100">
        <v>7.54</v>
      </c>
      <c r="L100" s="30">
        <v>32.911539709844703</v>
      </c>
      <c r="M100" s="30">
        <v>32.911539709844703</v>
      </c>
      <c r="N100" s="5">
        <v>30</v>
      </c>
      <c r="O100">
        <v>1.2E-2</v>
      </c>
      <c r="P100">
        <v>3</v>
      </c>
      <c r="Q100">
        <v>30</v>
      </c>
      <c r="R100" s="22">
        <v>1.2E-2</v>
      </c>
      <c r="S100">
        <v>3</v>
      </c>
      <c r="T100" s="38" t="s">
        <v>27</v>
      </c>
      <c r="U100" s="34" t="s">
        <v>27</v>
      </c>
      <c r="V100" s="30">
        <v>18.969273712855699</v>
      </c>
      <c r="W100" s="22">
        <f t="shared" si="2"/>
        <v>1.2E-2</v>
      </c>
      <c r="X100" s="38" t="s">
        <v>27</v>
      </c>
      <c r="Y100" s="38" t="s">
        <v>27</v>
      </c>
      <c r="Z100" s="38" t="s">
        <v>27</v>
      </c>
      <c r="AA100" s="38" t="s">
        <v>27</v>
      </c>
      <c r="AB100" s="30">
        <v>1.2310711026582399</v>
      </c>
      <c r="AC100" s="35">
        <v>0.83366461739124698</v>
      </c>
    </row>
    <row r="101" spans="2:29" x14ac:dyDescent="0.3">
      <c r="B101" s="46">
        <f t="shared" si="3"/>
        <v>70</v>
      </c>
      <c r="C101" s="5">
        <v>0.7</v>
      </c>
      <c r="D101">
        <v>0.30000000000000004</v>
      </c>
      <c r="E101">
        <v>3.0000000000000001E-3</v>
      </c>
      <c r="F101">
        <v>1</v>
      </c>
      <c r="G101">
        <v>1</v>
      </c>
      <c r="H101">
        <v>0.3</v>
      </c>
      <c r="I101">
        <v>1</v>
      </c>
      <c r="J101" s="31">
        <v>1143.0469212707901</v>
      </c>
      <c r="K101">
        <v>7.54</v>
      </c>
      <c r="L101" s="30">
        <v>32.923075383712103</v>
      </c>
      <c r="M101" s="30">
        <v>32.923075383712103</v>
      </c>
      <c r="N101" s="5">
        <v>30</v>
      </c>
      <c r="O101">
        <v>1.2E-2</v>
      </c>
      <c r="P101">
        <v>3</v>
      </c>
      <c r="Q101">
        <v>30</v>
      </c>
      <c r="R101" s="22">
        <v>1.2E-2</v>
      </c>
      <c r="S101">
        <v>3</v>
      </c>
      <c r="T101" s="38" t="s">
        <v>27</v>
      </c>
      <c r="U101" s="34" t="s">
        <v>27</v>
      </c>
      <c r="V101" s="30">
        <v>19.220670375187201</v>
      </c>
      <c r="W101" s="22">
        <f t="shared" si="2"/>
        <v>1.2E-2</v>
      </c>
      <c r="X101" s="38" t="s">
        <v>27</v>
      </c>
      <c r="Y101" s="38" t="s">
        <v>27</v>
      </c>
      <c r="Z101" s="38" t="s">
        <v>27</v>
      </c>
      <c r="AA101" s="38" t="s">
        <v>27</v>
      </c>
      <c r="AB101" s="30">
        <v>1.20316831248013</v>
      </c>
      <c r="AC101" s="35">
        <v>0.81476922715119104</v>
      </c>
    </row>
    <row r="102" spans="2:29" x14ac:dyDescent="0.3">
      <c r="B102" s="46">
        <f t="shared" si="3"/>
        <v>71</v>
      </c>
      <c r="C102" s="5">
        <v>0.8</v>
      </c>
      <c r="D102">
        <v>0.19999999999999996</v>
      </c>
      <c r="E102">
        <v>3.0000000000000001E-3</v>
      </c>
      <c r="F102">
        <v>1</v>
      </c>
      <c r="G102">
        <v>1</v>
      </c>
      <c r="H102">
        <v>0.3</v>
      </c>
      <c r="I102">
        <v>1</v>
      </c>
      <c r="J102" s="31">
        <v>1141.8322570656201</v>
      </c>
      <c r="K102">
        <v>7.54</v>
      </c>
      <c r="L102" s="30">
        <v>32.939478811144298</v>
      </c>
      <c r="M102" s="30">
        <v>32.939478811144298</v>
      </c>
      <c r="N102" s="5">
        <v>30</v>
      </c>
      <c r="O102">
        <v>1.2E-2</v>
      </c>
      <c r="P102">
        <v>3</v>
      </c>
      <c r="Q102">
        <v>30</v>
      </c>
      <c r="R102" s="22">
        <v>1.2E-2</v>
      </c>
      <c r="S102">
        <v>3</v>
      </c>
      <c r="T102" s="38" t="s">
        <v>27</v>
      </c>
      <c r="U102" s="34" t="s">
        <v>27</v>
      </c>
      <c r="V102" s="30">
        <v>19.5782122381178</v>
      </c>
      <c r="W102" s="22">
        <f t="shared" si="2"/>
        <v>1.2E-2</v>
      </c>
      <c r="X102" s="38" t="s">
        <v>27</v>
      </c>
      <c r="Y102" s="38" t="s">
        <v>27</v>
      </c>
      <c r="Z102" s="38" t="s">
        <v>27</v>
      </c>
      <c r="AA102" s="38" t="s">
        <v>27</v>
      </c>
      <c r="AB102" s="30">
        <v>1.1629882946236501</v>
      </c>
      <c r="AC102" s="35">
        <v>0.78755986520551202</v>
      </c>
    </row>
    <row r="103" spans="2:29" x14ac:dyDescent="0.3">
      <c r="B103" s="46">
        <f t="shared" si="3"/>
        <v>72</v>
      </c>
      <c r="C103" s="5">
        <v>0.9</v>
      </c>
      <c r="D103">
        <v>9.9999999999999978E-2</v>
      </c>
      <c r="E103">
        <v>3.0000000000000001E-3</v>
      </c>
      <c r="F103">
        <v>1</v>
      </c>
      <c r="G103">
        <v>1</v>
      </c>
      <c r="H103">
        <v>0.3</v>
      </c>
      <c r="I103">
        <v>1</v>
      </c>
      <c r="J103" s="31">
        <v>1139.7872396929499</v>
      </c>
      <c r="K103">
        <v>7.54</v>
      </c>
      <c r="L103" s="30">
        <v>32.967151986108</v>
      </c>
      <c r="M103" s="30">
        <v>32.967151986108</v>
      </c>
      <c r="N103" s="5">
        <v>30</v>
      </c>
      <c r="O103">
        <v>1.2E-2</v>
      </c>
      <c r="P103">
        <v>3</v>
      </c>
      <c r="Q103">
        <v>30</v>
      </c>
      <c r="R103" s="22">
        <v>1.2E-2</v>
      </c>
      <c r="S103">
        <v>3</v>
      </c>
      <c r="T103" s="38" t="s">
        <v>27</v>
      </c>
      <c r="U103" s="34" t="s">
        <v>27</v>
      </c>
      <c r="V103" s="30">
        <v>20.181564256128301</v>
      </c>
      <c r="W103" s="22">
        <f t="shared" si="2"/>
        <v>1.2E-2</v>
      </c>
      <c r="X103" s="38" t="s">
        <v>27</v>
      </c>
      <c r="Y103" s="38" t="s">
        <v>27</v>
      </c>
      <c r="Z103" s="38" t="s">
        <v>27</v>
      </c>
      <c r="AA103" s="38" t="s">
        <v>27</v>
      </c>
      <c r="AB103" s="30">
        <v>1.0960215981961801</v>
      </c>
      <c r="AC103" s="35">
        <v>0.74221092862937799</v>
      </c>
    </row>
    <row r="104" spans="2:29" x14ac:dyDescent="0.3">
      <c r="B104" s="46">
        <f t="shared" si="3"/>
        <v>73</v>
      </c>
      <c r="C104" s="5">
        <v>0.1</v>
      </c>
      <c r="D104">
        <v>0.9</v>
      </c>
      <c r="E104">
        <v>3.0000000000000001E-3</v>
      </c>
      <c r="F104">
        <v>1</v>
      </c>
      <c r="G104">
        <v>1</v>
      </c>
      <c r="H104">
        <v>1</v>
      </c>
      <c r="I104">
        <v>0.3</v>
      </c>
      <c r="J104" s="31">
        <v>1147.3281826213999</v>
      </c>
      <c r="K104">
        <v>7.54</v>
      </c>
      <c r="L104" s="30">
        <v>32.865456593324197</v>
      </c>
      <c r="M104" s="30">
        <v>32.865456593324197</v>
      </c>
      <c r="N104" s="5">
        <v>30</v>
      </c>
      <c r="O104">
        <v>1.2E-2</v>
      </c>
      <c r="P104">
        <v>3</v>
      </c>
      <c r="Q104">
        <v>30</v>
      </c>
      <c r="R104" s="22">
        <v>1.2E-2</v>
      </c>
      <c r="S104">
        <v>0.89999999999999991</v>
      </c>
      <c r="T104" s="38" t="s">
        <v>27</v>
      </c>
      <c r="U104" s="34" t="s">
        <v>27</v>
      </c>
      <c r="V104" s="30">
        <v>17.965346815118298</v>
      </c>
      <c r="W104" s="22">
        <f t="shared" si="2"/>
        <v>1.2E-2</v>
      </c>
      <c r="X104" s="38" t="s">
        <v>27</v>
      </c>
      <c r="Y104" s="38" t="s">
        <v>27</v>
      </c>
      <c r="Z104" s="38" t="s">
        <v>27</v>
      </c>
      <c r="AA104" s="38" t="s">
        <v>27</v>
      </c>
      <c r="AB104" s="30">
        <v>1.3426822633706801</v>
      </c>
      <c r="AC104" s="35">
        <v>0.90924617835146904</v>
      </c>
    </row>
    <row r="105" spans="2:29" x14ac:dyDescent="0.3">
      <c r="B105" s="46">
        <f t="shared" si="3"/>
        <v>74</v>
      </c>
      <c r="C105" s="5">
        <v>0.2</v>
      </c>
      <c r="D105">
        <v>0.8</v>
      </c>
      <c r="E105">
        <v>3.0000000000000001E-3</v>
      </c>
      <c r="F105">
        <v>1</v>
      </c>
      <c r="G105">
        <v>1</v>
      </c>
      <c r="H105">
        <v>1</v>
      </c>
      <c r="I105">
        <v>0.3</v>
      </c>
      <c r="J105" s="31">
        <v>1147.1757864057499</v>
      </c>
      <c r="K105">
        <v>7.54</v>
      </c>
      <c r="L105" s="30">
        <v>32.867502336348501</v>
      </c>
      <c r="M105" s="30">
        <v>32.867502336348501</v>
      </c>
      <c r="N105" s="5">
        <v>30</v>
      </c>
      <c r="O105">
        <v>1.2E-2</v>
      </c>
      <c r="P105">
        <v>3</v>
      </c>
      <c r="Q105">
        <v>30</v>
      </c>
      <c r="R105" s="22">
        <v>1.2E-2</v>
      </c>
      <c r="S105">
        <v>0.89999999999999991</v>
      </c>
      <c r="T105" s="38" t="s">
        <v>27</v>
      </c>
      <c r="U105" s="34" t="s">
        <v>27</v>
      </c>
      <c r="V105" s="30">
        <v>18.009901341614999</v>
      </c>
      <c r="W105" s="22">
        <f t="shared" si="2"/>
        <v>1.2E-2</v>
      </c>
      <c r="X105" s="38" t="s">
        <v>27</v>
      </c>
      <c r="Y105" s="38" t="s">
        <v>27</v>
      </c>
      <c r="Z105" s="38" t="s">
        <v>27</v>
      </c>
      <c r="AA105" s="38" t="s">
        <v>27</v>
      </c>
      <c r="AB105" s="30">
        <v>1.3382178169421799</v>
      </c>
      <c r="AC105" s="35">
        <v>0.90622291591306003</v>
      </c>
    </row>
    <row r="106" spans="2:29" x14ac:dyDescent="0.3">
      <c r="B106" s="46">
        <f t="shared" si="3"/>
        <v>75</v>
      </c>
      <c r="C106" s="5">
        <v>0.3</v>
      </c>
      <c r="D106">
        <v>0.7</v>
      </c>
      <c r="E106">
        <v>3.0000000000000001E-3</v>
      </c>
      <c r="F106">
        <v>1</v>
      </c>
      <c r="G106">
        <v>1</v>
      </c>
      <c r="H106">
        <v>1</v>
      </c>
      <c r="I106">
        <v>0.3</v>
      </c>
      <c r="J106" s="31">
        <v>1146.8710934734299</v>
      </c>
      <c r="K106">
        <v>7.54</v>
      </c>
      <c r="L106" s="30">
        <v>32.871593648148497</v>
      </c>
      <c r="M106" s="30">
        <v>32.871593648148497</v>
      </c>
      <c r="N106" s="5">
        <v>30</v>
      </c>
      <c r="O106">
        <v>1.2E-2</v>
      </c>
      <c r="P106">
        <v>3</v>
      </c>
      <c r="Q106">
        <v>30</v>
      </c>
      <c r="R106" s="22">
        <v>1.2E-2</v>
      </c>
      <c r="S106">
        <v>0.89999999999999991</v>
      </c>
      <c r="T106" s="38" t="s">
        <v>27</v>
      </c>
      <c r="U106" s="34" t="s">
        <v>27</v>
      </c>
      <c r="V106" s="30">
        <v>18.099010016915599</v>
      </c>
      <c r="W106" s="22">
        <f t="shared" si="2"/>
        <v>1.2E-2</v>
      </c>
      <c r="X106" s="38" t="s">
        <v>27</v>
      </c>
      <c r="Y106" s="38" t="s">
        <v>27</v>
      </c>
      <c r="Z106" s="38" t="s">
        <v>27</v>
      </c>
      <c r="AA106" s="38" t="s">
        <v>27</v>
      </c>
      <c r="AB106" s="30">
        <v>1.3281728124780601</v>
      </c>
      <c r="AC106" s="35">
        <v>0.899420575426639</v>
      </c>
    </row>
    <row r="107" spans="2:29" x14ac:dyDescent="0.3">
      <c r="B107" s="46">
        <f t="shared" si="3"/>
        <v>76</v>
      </c>
      <c r="C107" s="5">
        <v>0.4</v>
      </c>
      <c r="D107">
        <v>0.6</v>
      </c>
      <c r="E107">
        <v>3.0000000000000001E-3</v>
      </c>
      <c r="F107">
        <v>1</v>
      </c>
      <c r="G107">
        <v>1</v>
      </c>
      <c r="H107">
        <v>1</v>
      </c>
      <c r="I107">
        <v>0.3</v>
      </c>
      <c r="J107" s="31">
        <v>1146.0592160472199</v>
      </c>
      <c r="K107">
        <v>7.54</v>
      </c>
      <c r="L107" s="30">
        <v>32.882502825062602</v>
      </c>
      <c r="M107" s="30">
        <v>32.882502825062602</v>
      </c>
      <c r="N107" s="5">
        <v>30</v>
      </c>
      <c r="O107">
        <v>1.2E-2</v>
      </c>
      <c r="P107">
        <v>3</v>
      </c>
      <c r="Q107">
        <v>30</v>
      </c>
      <c r="R107" s="22">
        <v>1.2E-2</v>
      </c>
      <c r="S107">
        <v>0.89999999999999991</v>
      </c>
      <c r="T107" s="38" t="s">
        <v>27</v>
      </c>
      <c r="U107" s="34" t="s">
        <v>27</v>
      </c>
      <c r="V107" s="30">
        <v>18.3366339064359</v>
      </c>
      <c r="W107" s="22">
        <f t="shared" si="2"/>
        <v>1.2E-2</v>
      </c>
      <c r="X107" s="38" t="s">
        <v>27</v>
      </c>
      <c r="Y107" s="38" t="s">
        <v>27</v>
      </c>
      <c r="Z107" s="38" t="s">
        <v>27</v>
      </c>
      <c r="AA107" s="38" t="s">
        <v>27</v>
      </c>
      <c r="AB107" s="30">
        <v>1.30138613390708</v>
      </c>
      <c r="AC107" s="35">
        <v>0.88128100079618599</v>
      </c>
    </row>
    <row r="108" spans="2:29" x14ac:dyDescent="0.3">
      <c r="B108" s="46">
        <f t="shared" si="3"/>
        <v>77</v>
      </c>
      <c r="C108" s="5">
        <v>0.5</v>
      </c>
      <c r="D108">
        <v>0.5</v>
      </c>
      <c r="E108">
        <v>3.0000000000000001E-3</v>
      </c>
      <c r="F108">
        <v>1</v>
      </c>
      <c r="G108">
        <v>1</v>
      </c>
      <c r="H108">
        <v>1</v>
      </c>
      <c r="I108">
        <v>0.3</v>
      </c>
      <c r="J108" s="31">
        <v>1145.1722896127701</v>
      </c>
      <c r="K108">
        <v>7.54</v>
      </c>
      <c r="L108" s="30">
        <v>32.894433027271504</v>
      </c>
      <c r="M108" s="30">
        <v>32.894433027271504</v>
      </c>
      <c r="N108" s="5">
        <v>30</v>
      </c>
      <c r="O108">
        <v>1.2E-2</v>
      </c>
      <c r="P108">
        <v>3</v>
      </c>
      <c r="Q108">
        <v>30</v>
      </c>
      <c r="R108" s="22">
        <v>1.2E-2</v>
      </c>
      <c r="S108">
        <v>0.89999999999999991</v>
      </c>
      <c r="T108" s="38" t="s">
        <v>27</v>
      </c>
      <c r="U108" s="34" t="s">
        <v>27</v>
      </c>
      <c r="V108" s="30">
        <v>18.596534870358202</v>
      </c>
      <c r="W108" s="22">
        <f t="shared" si="2"/>
        <v>1.2E-2</v>
      </c>
      <c r="X108" s="38" t="s">
        <v>27</v>
      </c>
      <c r="Y108" s="38" t="s">
        <v>27</v>
      </c>
      <c r="Z108" s="38" t="s">
        <v>27</v>
      </c>
      <c r="AA108" s="38" t="s">
        <v>27</v>
      </c>
      <c r="AB108" s="30">
        <v>1.27236723212184</v>
      </c>
      <c r="AC108" s="35">
        <v>0.86162979494652903</v>
      </c>
    </row>
    <row r="109" spans="2:29" x14ac:dyDescent="0.3">
      <c r="B109" s="46">
        <f t="shared" si="3"/>
        <v>78</v>
      </c>
      <c r="C109" s="5">
        <v>0.6</v>
      </c>
      <c r="D109">
        <v>0.4</v>
      </c>
      <c r="E109">
        <v>3.0000000000000001E-3</v>
      </c>
      <c r="F109">
        <v>1</v>
      </c>
      <c r="G109">
        <v>1</v>
      </c>
      <c r="H109">
        <v>1</v>
      </c>
      <c r="I109">
        <v>0.3</v>
      </c>
      <c r="J109" s="31">
        <v>1143.83134201708</v>
      </c>
      <c r="K109">
        <v>7.54</v>
      </c>
      <c r="L109" s="30">
        <v>32.9124953709373</v>
      </c>
      <c r="M109" s="30">
        <v>32.9124953709373</v>
      </c>
      <c r="N109" s="5">
        <v>30</v>
      </c>
      <c r="O109">
        <v>1.2E-2</v>
      </c>
      <c r="P109">
        <v>3</v>
      </c>
      <c r="Q109">
        <v>30</v>
      </c>
      <c r="R109" s="22">
        <v>1.2E-2</v>
      </c>
      <c r="S109">
        <v>0.89999999999999991</v>
      </c>
      <c r="T109" s="38" t="s">
        <v>27</v>
      </c>
      <c r="U109" s="34" t="s">
        <v>27</v>
      </c>
      <c r="V109" s="30">
        <v>18.990099036077702</v>
      </c>
      <c r="W109" s="22">
        <f t="shared" si="2"/>
        <v>1.2E-2</v>
      </c>
      <c r="X109" s="38" t="s">
        <v>27</v>
      </c>
      <c r="Y109" s="38" t="s">
        <v>27</v>
      </c>
      <c r="Z109" s="38" t="s">
        <v>27</v>
      </c>
      <c r="AA109" s="38" t="s">
        <v>27</v>
      </c>
      <c r="AB109" s="30">
        <v>1.22883887944399</v>
      </c>
      <c r="AC109" s="35">
        <v>0.83215298617204203</v>
      </c>
    </row>
    <row r="110" spans="2:29" x14ac:dyDescent="0.3">
      <c r="B110" s="46">
        <f t="shared" si="3"/>
        <v>79</v>
      </c>
      <c r="C110" s="5">
        <v>0.7</v>
      </c>
      <c r="D110">
        <v>0.30000000000000004</v>
      </c>
      <c r="E110">
        <v>3.0000000000000001E-3</v>
      </c>
      <c r="F110">
        <v>1</v>
      </c>
      <c r="G110">
        <v>1</v>
      </c>
      <c r="H110">
        <v>1</v>
      </c>
      <c r="I110">
        <v>0.3</v>
      </c>
      <c r="J110" s="31">
        <v>1142.0893816335999</v>
      </c>
      <c r="K110">
        <v>7.54</v>
      </c>
      <c r="L110" s="30">
        <v>32.936004399484801</v>
      </c>
      <c r="M110" s="30">
        <v>32.936004399484801</v>
      </c>
      <c r="N110" s="5">
        <v>30</v>
      </c>
      <c r="O110">
        <v>1.2E-2</v>
      </c>
      <c r="P110">
        <v>3</v>
      </c>
      <c r="Q110">
        <v>30</v>
      </c>
      <c r="R110" s="22">
        <v>1.2E-2</v>
      </c>
      <c r="S110">
        <v>0.89999999999999991</v>
      </c>
      <c r="T110" s="38" t="s">
        <v>27</v>
      </c>
      <c r="U110" s="34" t="s">
        <v>27</v>
      </c>
      <c r="V110" s="30">
        <v>19.502475146557298</v>
      </c>
      <c r="W110" s="22">
        <f t="shared" si="2"/>
        <v>1.2E-2</v>
      </c>
      <c r="X110" s="38" t="s">
        <v>27</v>
      </c>
      <c r="Y110" s="38" t="s">
        <v>27</v>
      </c>
      <c r="Z110" s="38" t="s">
        <v>27</v>
      </c>
      <c r="AA110" s="38" t="s">
        <v>27</v>
      </c>
      <c r="AB110" s="30">
        <v>1.17191718748065</v>
      </c>
      <c r="AC110" s="35">
        <v>0.79360639008232903</v>
      </c>
    </row>
    <row r="111" spans="2:29" x14ac:dyDescent="0.3">
      <c r="B111" s="46">
        <f t="shared" si="3"/>
        <v>80</v>
      </c>
      <c r="C111" s="5">
        <v>0.8</v>
      </c>
      <c r="D111">
        <v>0.19999999999999996</v>
      </c>
      <c r="E111">
        <v>3.0000000000000001E-3</v>
      </c>
      <c r="F111">
        <v>1</v>
      </c>
      <c r="G111">
        <v>1</v>
      </c>
      <c r="H111">
        <v>1</v>
      </c>
      <c r="I111">
        <v>0.3</v>
      </c>
      <c r="J111" s="31">
        <v>1139.72317123585</v>
      </c>
      <c r="K111">
        <v>7.54</v>
      </c>
      <c r="L111" s="30">
        <v>32.968020103296801</v>
      </c>
      <c r="M111" s="30">
        <v>32.968020103296801</v>
      </c>
      <c r="N111" s="5">
        <v>30</v>
      </c>
      <c r="O111">
        <v>1.2E-2</v>
      </c>
      <c r="P111">
        <v>3</v>
      </c>
      <c r="Q111">
        <v>30</v>
      </c>
      <c r="R111" s="22">
        <v>1.2E-2</v>
      </c>
      <c r="S111">
        <v>0.89999999999999991</v>
      </c>
      <c r="T111" s="38" t="s">
        <v>27</v>
      </c>
      <c r="U111" s="34" t="s">
        <v>27</v>
      </c>
      <c r="V111" s="30">
        <v>20.2004949915422</v>
      </c>
      <c r="W111" s="22">
        <f t="shared" si="2"/>
        <v>1.2E-2</v>
      </c>
      <c r="X111" s="38" t="s">
        <v>27</v>
      </c>
      <c r="Y111" s="38" t="s">
        <v>27</v>
      </c>
      <c r="Z111" s="38" t="s">
        <v>27</v>
      </c>
      <c r="AA111" s="38" t="s">
        <v>27</v>
      </c>
      <c r="AB111" s="30">
        <v>1.0937893749819401</v>
      </c>
      <c r="AC111" s="35">
        <v>0.74069929741017404</v>
      </c>
    </row>
    <row r="112" spans="2:29" x14ac:dyDescent="0.3">
      <c r="B112" s="46">
        <f t="shared" si="3"/>
        <v>81</v>
      </c>
      <c r="C112" s="5">
        <v>0.9</v>
      </c>
      <c r="D112">
        <v>9.9999999999999978E-2</v>
      </c>
      <c r="E112">
        <v>3.0000000000000001E-3</v>
      </c>
      <c r="F112">
        <v>1</v>
      </c>
      <c r="G112">
        <v>1</v>
      </c>
      <c r="H112">
        <v>1</v>
      </c>
      <c r="I112">
        <v>0.3</v>
      </c>
      <c r="J112" s="31">
        <v>1136.18869539551</v>
      </c>
      <c r="K112">
        <v>7.54</v>
      </c>
      <c r="L112" s="30">
        <v>33.016019677730199</v>
      </c>
      <c r="M112" s="30">
        <v>33.016019677730199</v>
      </c>
      <c r="N112" s="5">
        <v>30</v>
      </c>
      <c r="O112">
        <v>1.2E-2</v>
      </c>
      <c r="P112">
        <v>3</v>
      </c>
      <c r="Q112">
        <v>30</v>
      </c>
      <c r="R112" s="22">
        <v>1.2E-2</v>
      </c>
      <c r="S112">
        <v>0.89999999999999991</v>
      </c>
      <c r="T112" s="38" t="s">
        <v>27</v>
      </c>
      <c r="U112" s="34" t="s">
        <v>27</v>
      </c>
      <c r="V112" s="30">
        <v>21.247524475749799</v>
      </c>
      <c r="W112" s="22">
        <f t="shared" si="2"/>
        <v>1.2E-2</v>
      </c>
      <c r="X112" s="38" t="s">
        <v>27</v>
      </c>
      <c r="Y112" s="38" t="s">
        <v>27</v>
      </c>
      <c r="Z112" s="38" t="s">
        <v>27</v>
      </c>
      <c r="AA112" s="38" t="s">
        <v>27</v>
      </c>
      <c r="AB112" s="30">
        <v>0.97659765623387096</v>
      </c>
      <c r="AC112" s="35">
        <v>0.66133865840194095</v>
      </c>
    </row>
    <row r="113" spans="2:29" x14ac:dyDescent="0.3">
      <c r="B113" s="46">
        <f t="shared" si="3"/>
        <v>82</v>
      </c>
      <c r="C113" s="5">
        <v>0.1</v>
      </c>
      <c r="D113">
        <v>0.9</v>
      </c>
      <c r="E113">
        <v>3.0000000000000001E-3</v>
      </c>
      <c r="F113">
        <v>1</v>
      </c>
      <c r="G113">
        <v>1</v>
      </c>
      <c r="H113">
        <v>1</v>
      </c>
      <c r="I113">
        <v>0.5</v>
      </c>
      <c r="J113" s="31">
        <v>1147.4806128781499</v>
      </c>
      <c r="K113">
        <v>7.54</v>
      </c>
      <c r="L113" s="30">
        <v>32.863410780648998</v>
      </c>
      <c r="M113" s="30">
        <v>32.863410780648998</v>
      </c>
      <c r="N113" s="5">
        <v>30</v>
      </c>
      <c r="O113">
        <v>1.2E-2</v>
      </c>
      <c r="P113">
        <v>3</v>
      </c>
      <c r="Q113">
        <v>30</v>
      </c>
      <c r="R113" s="22">
        <v>1.2E-2</v>
      </c>
      <c r="S113">
        <v>1.5</v>
      </c>
      <c r="T113" s="38" t="s">
        <v>27</v>
      </c>
      <c r="U113" s="34" t="s">
        <v>27</v>
      </c>
      <c r="V113" s="30">
        <v>17.920791910928902</v>
      </c>
      <c r="W113" s="22">
        <f t="shared" si="2"/>
        <v>1.2E-2</v>
      </c>
      <c r="X113" s="38" t="s">
        <v>27</v>
      </c>
      <c r="Y113" s="38" t="s">
        <v>27</v>
      </c>
      <c r="Z113" s="38" t="s">
        <v>27</v>
      </c>
      <c r="AA113" s="38" t="s">
        <v>27</v>
      </c>
      <c r="AB113" s="30">
        <v>1.3482628214062999</v>
      </c>
      <c r="AC113" s="35">
        <v>0.91302525639947896</v>
      </c>
    </row>
    <row r="114" spans="2:29" x14ac:dyDescent="0.3">
      <c r="B114" s="46">
        <f t="shared" si="3"/>
        <v>83</v>
      </c>
      <c r="C114" s="5">
        <v>0.2</v>
      </c>
      <c r="D114">
        <v>0.8</v>
      </c>
      <c r="E114">
        <v>3.0000000000000001E-3</v>
      </c>
      <c r="F114">
        <v>1</v>
      </c>
      <c r="G114">
        <v>1</v>
      </c>
      <c r="H114">
        <v>1</v>
      </c>
      <c r="I114">
        <v>0.5</v>
      </c>
      <c r="J114" s="31">
        <v>1147.3535866817299</v>
      </c>
      <c r="K114">
        <v>7.54</v>
      </c>
      <c r="L114" s="30">
        <v>32.865115610835403</v>
      </c>
      <c r="M114" s="30">
        <v>32.865115610835403</v>
      </c>
      <c r="N114" s="5">
        <v>30</v>
      </c>
      <c r="O114">
        <v>1.2E-2</v>
      </c>
      <c r="P114">
        <v>3</v>
      </c>
      <c r="Q114">
        <v>30</v>
      </c>
      <c r="R114" s="22">
        <v>1.2E-2</v>
      </c>
      <c r="S114">
        <v>1.5</v>
      </c>
      <c r="T114" s="38" t="s">
        <v>27</v>
      </c>
      <c r="U114" s="34" t="s">
        <v>27</v>
      </c>
      <c r="V114" s="30">
        <v>17.957920620060701</v>
      </c>
      <c r="W114" s="22">
        <f t="shared" si="2"/>
        <v>1.2E-2</v>
      </c>
      <c r="X114" s="38" t="s">
        <v>27</v>
      </c>
      <c r="Y114" s="38" t="s">
        <v>27</v>
      </c>
      <c r="Z114" s="38" t="s">
        <v>27</v>
      </c>
      <c r="AA114" s="38" t="s">
        <v>27</v>
      </c>
      <c r="AB114" s="30">
        <v>1.34379837497781</v>
      </c>
      <c r="AC114" s="35">
        <v>0.91000199396107095</v>
      </c>
    </row>
    <row r="115" spans="2:29" x14ac:dyDescent="0.3">
      <c r="B115" s="46">
        <f t="shared" si="3"/>
        <v>84</v>
      </c>
      <c r="C115" s="5">
        <v>0.3</v>
      </c>
      <c r="D115">
        <v>0.7</v>
      </c>
      <c r="E115">
        <v>3.0000000000000001E-3</v>
      </c>
      <c r="F115">
        <v>1</v>
      </c>
      <c r="G115">
        <v>1</v>
      </c>
      <c r="H115">
        <v>1</v>
      </c>
      <c r="I115">
        <v>0.5</v>
      </c>
      <c r="J115" s="31">
        <v>1146.9980332749799</v>
      </c>
      <c r="K115">
        <v>7.54</v>
      </c>
      <c r="L115" s="30">
        <v>32.869888955986298</v>
      </c>
      <c r="M115" s="30">
        <v>32.869888955986298</v>
      </c>
      <c r="N115" s="5">
        <v>30</v>
      </c>
      <c r="O115">
        <v>1.2E-2</v>
      </c>
      <c r="P115">
        <v>3</v>
      </c>
      <c r="Q115">
        <v>30</v>
      </c>
      <c r="R115" s="22">
        <v>1.2E-2</v>
      </c>
      <c r="S115">
        <v>1.5</v>
      </c>
      <c r="T115" s="38" t="s">
        <v>27</v>
      </c>
      <c r="U115" s="34" t="s">
        <v>27</v>
      </c>
      <c r="V115" s="30">
        <v>18.0618813077838</v>
      </c>
      <c r="W115" s="22">
        <f t="shared" si="2"/>
        <v>1.2E-2</v>
      </c>
      <c r="X115" s="38" t="s">
        <v>27</v>
      </c>
      <c r="Y115" s="38" t="s">
        <v>27</v>
      </c>
      <c r="Z115" s="38" t="s">
        <v>27</v>
      </c>
      <c r="AA115" s="38" t="s">
        <v>27</v>
      </c>
      <c r="AB115" s="30">
        <v>1.33263725890656</v>
      </c>
      <c r="AC115" s="35">
        <v>0.902443837865049</v>
      </c>
    </row>
    <row r="116" spans="2:29" x14ac:dyDescent="0.3">
      <c r="B116" s="46">
        <f t="shared" si="3"/>
        <v>85</v>
      </c>
      <c r="C116" s="5">
        <v>0.4</v>
      </c>
      <c r="D116">
        <v>0.6</v>
      </c>
      <c r="E116">
        <v>3.0000000000000001E-3</v>
      </c>
      <c r="F116">
        <v>1</v>
      </c>
      <c r="G116">
        <v>1</v>
      </c>
      <c r="H116">
        <v>1</v>
      </c>
      <c r="I116">
        <v>0.5</v>
      </c>
      <c r="J116" s="31">
        <v>1146.5665301286999</v>
      </c>
      <c r="K116">
        <v>7.54</v>
      </c>
      <c r="L116" s="30">
        <v>32.875684768108698</v>
      </c>
      <c r="M116" s="30">
        <v>32.875684768108698</v>
      </c>
      <c r="N116" s="5">
        <v>30</v>
      </c>
      <c r="O116">
        <v>1.2E-2</v>
      </c>
      <c r="P116">
        <v>3</v>
      </c>
      <c r="Q116">
        <v>30</v>
      </c>
      <c r="R116" s="22">
        <v>1.2E-2</v>
      </c>
      <c r="S116">
        <v>1.5</v>
      </c>
      <c r="T116" s="38" t="s">
        <v>27</v>
      </c>
      <c r="U116" s="34" t="s">
        <v>27</v>
      </c>
      <c r="V116" s="30">
        <v>18.1881190699089</v>
      </c>
      <c r="W116" s="22">
        <f t="shared" si="2"/>
        <v>1.2E-2</v>
      </c>
      <c r="X116" s="38" t="s">
        <v>27</v>
      </c>
      <c r="Y116" s="38" t="s">
        <v>27</v>
      </c>
      <c r="Z116" s="38" t="s">
        <v>27</v>
      </c>
      <c r="AA116" s="38" t="s">
        <v>27</v>
      </c>
      <c r="AB116" s="30">
        <v>1.31812780801394</v>
      </c>
      <c r="AC116" s="35">
        <v>0.89261823494021997</v>
      </c>
    </row>
    <row r="117" spans="2:29" x14ac:dyDescent="0.3">
      <c r="B117" s="46">
        <f t="shared" si="3"/>
        <v>86</v>
      </c>
      <c r="C117" s="5">
        <v>0.5</v>
      </c>
      <c r="D117">
        <v>0.5</v>
      </c>
      <c r="E117">
        <v>3.0000000000000001E-3</v>
      </c>
      <c r="F117">
        <v>1</v>
      </c>
      <c r="G117">
        <v>1</v>
      </c>
      <c r="H117">
        <v>1</v>
      </c>
      <c r="I117">
        <v>0.5</v>
      </c>
      <c r="J117" s="31">
        <v>1146.08457467523</v>
      </c>
      <c r="K117">
        <v>7.54</v>
      </c>
      <c r="L117" s="30">
        <v>32.882161915204001</v>
      </c>
      <c r="M117" s="30">
        <v>32.882161915204001</v>
      </c>
      <c r="N117" s="5">
        <v>30</v>
      </c>
      <c r="O117">
        <v>1.2E-2</v>
      </c>
      <c r="P117">
        <v>3</v>
      </c>
      <c r="Q117">
        <v>30</v>
      </c>
      <c r="R117" s="22">
        <v>1.2E-2</v>
      </c>
      <c r="S117">
        <v>1.5</v>
      </c>
      <c r="T117" s="38" t="s">
        <v>27</v>
      </c>
      <c r="U117" s="34" t="s">
        <v>27</v>
      </c>
      <c r="V117" s="30">
        <v>18.329207711378199</v>
      </c>
      <c r="W117" s="22">
        <f t="shared" si="2"/>
        <v>1.2E-2</v>
      </c>
      <c r="X117" s="38" t="s">
        <v>27</v>
      </c>
      <c r="Y117" s="38" t="s">
        <v>27</v>
      </c>
      <c r="Z117" s="38" t="s">
        <v>27</v>
      </c>
      <c r="AA117" s="38" t="s">
        <v>27</v>
      </c>
      <c r="AB117" s="30">
        <v>1.3025022455141999</v>
      </c>
      <c r="AC117" s="35">
        <v>0.88203681640578901</v>
      </c>
    </row>
    <row r="118" spans="2:29" x14ac:dyDescent="0.3">
      <c r="B118" s="46">
        <f t="shared" si="3"/>
        <v>87</v>
      </c>
      <c r="C118" s="5">
        <v>0.6</v>
      </c>
      <c r="D118">
        <v>0.4</v>
      </c>
      <c r="E118">
        <v>3.0000000000000001E-3</v>
      </c>
      <c r="F118">
        <v>1</v>
      </c>
      <c r="G118">
        <v>1</v>
      </c>
      <c r="H118">
        <v>1</v>
      </c>
      <c r="I118">
        <v>0.5</v>
      </c>
      <c r="J118" s="31">
        <v>1144.81783141197</v>
      </c>
      <c r="K118">
        <v>7.54</v>
      </c>
      <c r="L118" s="30">
        <v>32.899204589506297</v>
      </c>
      <c r="M118" s="30">
        <v>32.899204589506297</v>
      </c>
      <c r="N118" s="5">
        <v>30</v>
      </c>
      <c r="O118">
        <v>1.2E-2</v>
      </c>
      <c r="P118">
        <v>3</v>
      </c>
      <c r="Q118">
        <v>30</v>
      </c>
      <c r="R118" s="22">
        <v>1.2E-2</v>
      </c>
      <c r="S118">
        <v>1.5</v>
      </c>
      <c r="T118" s="38" t="s">
        <v>27</v>
      </c>
      <c r="U118" s="34" t="s">
        <v>27</v>
      </c>
      <c r="V118" s="30">
        <v>18.7004948026958</v>
      </c>
      <c r="W118" s="22">
        <f t="shared" si="2"/>
        <v>1.2E-2</v>
      </c>
      <c r="X118" s="38" t="s">
        <v>27</v>
      </c>
      <c r="Y118" s="38" t="s">
        <v>27</v>
      </c>
      <c r="Z118" s="38" t="s">
        <v>27</v>
      </c>
      <c r="AA118" s="38" t="s">
        <v>27</v>
      </c>
      <c r="AB118" s="30">
        <v>1.2612061160506001</v>
      </c>
      <c r="AC118" s="35">
        <v>0.85407163885050696</v>
      </c>
    </row>
    <row r="119" spans="2:29" x14ac:dyDescent="0.3">
      <c r="B119" s="46">
        <f t="shared" si="3"/>
        <v>88</v>
      </c>
      <c r="C119" s="5">
        <v>0.7</v>
      </c>
      <c r="D119">
        <v>0.30000000000000004</v>
      </c>
      <c r="E119">
        <v>3.0000000000000001E-3</v>
      </c>
      <c r="F119">
        <v>1</v>
      </c>
      <c r="G119">
        <v>1</v>
      </c>
      <c r="H119">
        <v>1</v>
      </c>
      <c r="I119">
        <v>0.5</v>
      </c>
      <c r="J119" s="31">
        <v>1143.2754686139499</v>
      </c>
      <c r="K119">
        <v>7.54</v>
      </c>
      <c r="L119" s="30">
        <v>32.919991743404097</v>
      </c>
      <c r="M119" s="30">
        <v>32.919991743404097</v>
      </c>
      <c r="N119" s="5">
        <v>30</v>
      </c>
      <c r="O119">
        <v>1.2E-2</v>
      </c>
      <c r="P119">
        <v>3</v>
      </c>
      <c r="Q119">
        <v>30</v>
      </c>
      <c r="R119" s="22">
        <v>1.2E-2</v>
      </c>
      <c r="S119">
        <v>1.5</v>
      </c>
      <c r="T119" s="38" t="s">
        <v>27</v>
      </c>
      <c r="U119" s="34" t="s">
        <v>27</v>
      </c>
      <c r="V119" s="30">
        <v>19.153465129641699</v>
      </c>
      <c r="W119" s="22">
        <f t="shared" si="2"/>
        <v>1.2E-2</v>
      </c>
      <c r="X119" s="38" t="s">
        <v>27</v>
      </c>
      <c r="Y119" s="38" t="s">
        <v>27</v>
      </c>
      <c r="Z119" s="38" t="s">
        <v>27</v>
      </c>
      <c r="AA119" s="38" t="s">
        <v>27</v>
      </c>
      <c r="AB119" s="30">
        <v>1.2109810937300001</v>
      </c>
      <c r="AC119" s="35">
        <v>0.82005993641840702</v>
      </c>
    </row>
    <row r="120" spans="2:29" x14ac:dyDescent="0.3">
      <c r="B120" s="46">
        <f t="shared" si="3"/>
        <v>89</v>
      </c>
      <c r="C120" s="5">
        <v>0.8</v>
      </c>
      <c r="D120">
        <v>0.19999999999999996</v>
      </c>
      <c r="E120">
        <v>3.0000000000000001E-3</v>
      </c>
      <c r="F120">
        <v>1</v>
      </c>
      <c r="G120">
        <v>1</v>
      </c>
      <c r="H120">
        <v>1</v>
      </c>
      <c r="I120">
        <v>0.5</v>
      </c>
      <c r="J120" s="31">
        <v>1141.4341032898401</v>
      </c>
      <c r="K120">
        <v>7.54</v>
      </c>
      <c r="L120" s="30">
        <v>32.9448610890596</v>
      </c>
      <c r="M120" s="30">
        <v>32.9448610890596</v>
      </c>
      <c r="N120" s="5">
        <v>30</v>
      </c>
      <c r="O120">
        <v>1.2E-2</v>
      </c>
      <c r="P120">
        <v>3</v>
      </c>
      <c r="Q120">
        <v>30</v>
      </c>
      <c r="R120" s="22">
        <v>1.2E-2</v>
      </c>
      <c r="S120">
        <v>1.5</v>
      </c>
      <c r="T120" s="38" t="s">
        <v>27</v>
      </c>
      <c r="U120" s="34" t="s">
        <v>27</v>
      </c>
      <c r="V120" s="30">
        <v>19.695544509581001</v>
      </c>
      <c r="W120" s="22">
        <f t="shared" si="2"/>
        <v>1.2E-2</v>
      </c>
      <c r="X120" s="38" t="s">
        <v>27</v>
      </c>
      <c r="Y120" s="38" t="s">
        <v>27</v>
      </c>
      <c r="Z120" s="38" t="s">
        <v>27</v>
      </c>
      <c r="AA120" s="38" t="s">
        <v>27</v>
      </c>
      <c r="AB120" s="30">
        <v>1.1495949553381599</v>
      </c>
      <c r="AC120" s="35">
        <v>0.77849007789028501</v>
      </c>
    </row>
    <row r="121" spans="2:29" x14ac:dyDescent="0.3">
      <c r="B121" s="46">
        <f t="shared" si="3"/>
        <v>90</v>
      </c>
      <c r="C121" s="5">
        <v>0.9</v>
      </c>
      <c r="D121">
        <v>9.9999999999999978E-2</v>
      </c>
      <c r="E121">
        <v>3.0000000000000001E-3</v>
      </c>
      <c r="F121">
        <v>1</v>
      </c>
      <c r="G121">
        <v>1</v>
      </c>
      <c r="H121">
        <v>1</v>
      </c>
      <c r="I121">
        <v>0.5</v>
      </c>
      <c r="J121" s="31">
        <v>1138.01638450838</v>
      </c>
      <c r="K121">
        <v>7.54</v>
      </c>
      <c r="L121" s="30">
        <v>32.991172417873301</v>
      </c>
      <c r="M121" s="30">
        <v>32.991172417873301</v>
      </c>
      <c r="N121" s="5">
        <v>30</v>
      </c>
      <c r="O121">
        <v>1.2E-2</v>
      </c>
      <c r="P121">
        <v>3</v>
      </c>
      <c r="Q121">
        <v>30</v>
      </c>
      <c r="R121" s="22">
        <v>1.2E-2</v>
      </c>
      <c r="S121">
        <v>1.5</v>
      </c>
      <c r="T121" s="38" t="s">
        <v>27</v>
      </c>
      <c r="U121" s="34" t="s">
        <v>27</v>
      </c>
      <c r="V121" s="30">
        <v>20.7054452846569</v>
      </c>
      <c r="W121" s="22">
        <f t="shared" si="2"/>
        <v>1.2E-2</v>
      </c>
      <c r="X121" s="38" t="s">
        <v>27</v>
      </c>
      <c r="Y121" s="38" t="s">
        <v>27</v>
      </c>
      <c r="Z121" s="38" t="s">
        <v>27</v>
      </c>
      <c r="AA121" s="38" t="s">
        <v>27</v>
      </c>
      <c r="AB121" s="30">
        <v>1.0368676830185899</v>
      </c>
      <c r="AC121" s="35">
        <v>0.70215270132046104</v>
      </c>
    </row>
    <row r="122" spans="2:29" x14ac:dyDescent="0.3">
      <c r="B122" s="46">
        <f t="shared" si="3"/>
        <v>91</v>
      </c>
      <c r="C122" s="5">
        <v>0.1</v>
      </c>
      <c r="D122">
        <v>0.9</v>
      </c>
      <c r="E122">
        <v>3.0000000000000001E-3</v>
      </c>
      <c r="F122">
        <v>1</v>
      </c>
      <c r="G122">
        <v>1</v>
      </c>
      <c r="H122">
        <v>1</v>
      </c>
      <c r="I122">
        <v>0.7</v>
      </c>
      <c r="J122" s="31">
        <v>1147.6330733088</v>
      </c>
      <c r="K122">
        <v>7.54</v>
      </c>
      <c r="L122" s="30">
        <v>32.861364950346498</v>
      </c>
      <c r="M122" s="30">
        <v>32.861364950346498</v>
      </c>
      <c r="N122" s="5">
        <v>30</v>
      </c>
      <c r="O122">
        <v>1.2E-2</v>
      </c>
      <c r="P122">
        <v>3</v>
      </c>
      <c r="Q122">
        <v>30</v>
      </c>
      <c r="R122" s="22">
        <v>1.2E-2</v>
      </c>
      <c r="S122">
        <v>2.0999999999999996</v>
      </c>
      <c r="T122" s="38" t="s">
        <v>27</v>
      </c>
      <c r="U122" s="34" t="s">
        <v>27</v>
      </c>
      <c r="V122" s="30">
        <v>17.876237762125001</v>
      </c>
      <c r="W122" s="22">
        <f t="shared" si="2"/>
        <v>1.2E-2</v>
      </c>
      <c r="X122" s="38" t="s">
        <v>27</v>
      </c>
      <c r="Y122" s="38" t="s">
        <v>27</v>
      </c>
      <c r="Z122" s="38" t="s">
        <v>27</v>
      </c>
      <c r="AA122" s="38" t="s">
        <v>27</v>
      </c>
      <c r="AB122" s="30">
        <v>1.3527272678347999</v>
      </c>
      <c r="AC122" s="35">
        <v>0.91604851883788896</v>
      </c>
    </row>
    <row r="123" spans="2:29" x14ac:dyDescent="0.3">
      <c r="B123" s="46">
        <f t="shared" si="3"/>
        <v>92</v>
      </c>
      <c r="C123" s="5">
        <v>0.2</v>
      </c>
      <c r="D123">
        <v>0.8</v>
      </c>
      <c r="E123">
        <v>3.0000000000000001E-3</v>
      </c>
      <c r="F123">
        <v>1</v>
      </c>
      <c r="G123">
        <v>1</v>
      </c>
      <c r="H123">
        <v>1</v>
      </c>
      <c r="I123">
        <v>0.7</v>
      </c>
      <c r="J123" s="31">
        <v>1147.5568377057</v>
      </c>
      <c r="K123">
        <v>7.54</v>
      </c>
      <c r="L123" s="30">
        <v>32.862387889379796</v>
      </c>
      <c r="M123" s="30">
        <v>32.862387889379796</v>
      </c>
      <c r="N123" s="5">
        <v>30</v>
      </c>
      <c r="O123">
        <v>1.2E-2</v>
      </c>
      <c r="P123">
        <v>3</v>
      </c>
      <c r="Q123">
        <v>30</v>
      </c>
      <c r="R123" s="22">
        <v>1.2E-2</v>
      </c>
      <c r="S123">
        <v>2.0999999999999996</v>
      </c>
      <c r="T123" s="38" t="s">
        <v>27</v>
      </c>
      <c r="U123" s="34" t="s">
        <v>27</v>
      </c>
      <c r="V123" s="30">
        <v>17.898515214219699</v>
      </c>
      <c r="W123" s="22">
        <f t="shared" si="2"/>
        <v>1.2E-2</v>
      </c>
      <c r="X123" s="38" t="s">
        <v>27</v>
      </c>
      <c r="Y123" s="38" t="s">
        <v>27</v>
      </c>
      <c r="Z123" s="38" t="s">
        <v>27</v>
      </c>
      <c r="AA123" s="38" t="s">
        <v>27</v>
      </c>
      <c r="AB123" s="30">
        <v>1.3504950446205499</v>
      </c>
      <c r="AC123" s="35">
        <v>0.91453688761868401</v>
      </c>
    </row>
    <row r="124" spans="2:29" x14ac:dyDescent="0.3">
      <c r="B124" s="46">
        <f t="shared" si="3"/>
        <v>93</v>
      </c>
      <c r="C124" s="5">
        <v>0.3</v>
      </c>
      <c r="D124">
        <v>0.7</v>
      </c>
      <c r="E124">
        <v>3.0000000000000001E-3</v>
      </c>
      <c r="F124">
        <v>1</v>
      </c>
      <c r="G124">
        <v>1</v>
      </c>
      <c r="H124">
        <v>1</v>
      </c>
      <c r="I124">
        <v>0.7</v>
      </c>
      <c r="J124" s="31">
        <v>1147.3789890676901</v>
      </c>
      <c r="K124">
        <v>7.54</v>
      </c>
      <c r="L124" s="30">
        <v>32.864774661578103</v>
      </c>
      <c r="M124" s="30">
        <v>32.864774661578103</v>
      </c>
      <c r="N124" s="5">
        <v>30</v>
      </c>
      <c r="O124">
        <v>1.2E-2</v>
      </c>
      <c r="P124">
        <v>3</v>
      </c>
      <c r="Q124">
        <v>30</v>
      </c>
      <c r="R124" s="22">
        <v>1.2E-2</v>
      </c>
      <c r="S124">
        <v>2.0999999999999996</v>
      </c>
      <c r="T124" s="38" t="s">
        <v>27</v>
      </c>
      <c r="U124" s="34" t="s">
        <v>27</v>
      </c>
      <c r="V124" s="30">
        <v>17.950495180388501</v>
      </c>
      <c r="W124" s="22">
        <f t="shared" si="2"/>
        <v>1.2E-2</v>
      </c>
      <c r="X124" s="38" t="s">
        <v>27</v>
      </c>
      <c r="Y124" s="38" t="s">
        <v>27</v>
      </c>
      <c r="Z124" s="38" t="s">
        <v>27</v>
      </c>
      <c r="AA124" s="38" t="s">
        <v>27</v>
      </c>
      <c r="AB124" s="30">
        <v>1.3449144865849301</v>
      </c>
      <c r="AC124" s="35">
        <v>0.91075780957067298</v>
      </c>
    </row>
    <row r="125" spans="2:29" x14ac:dyDescent="0.3">
      <c r="B125" s="46">
        <f t="shared" si="3"/>
        <v>94</v>
      </c>
      <c r="C125" s="5">
        <v>0.4</v>
      </c>
      <c r="D125">
        <v>0.6</v>
      </c>
      <c r="E125">
        <v>3.0000000000000001E-3</v>
      </c>
      <c r="F125">
        <v>1</v>
      </c>
      <c r="G125">
        <v>1</v>
      </c>
      <c r="H125">
        <v>1</v>
      </c>
      <c r="I125">
        <v>0.7</v>
      </c>
      <c r="J125" s="31">
        <v>1146.74417639391</v>
      </c>
      <c r="K125">
        <v>7.54</v>
      </c>
      <c r="L125" s="30">
        <v>32.873298303994503</v>
      </c>
      <c r="M125" s="30">
        <v>32.873298303994503</v>
      </c>
      <c r="N125" s="5">
        <v>30</v>
      </c>
      <c r="O125">
        <v>1.2E-2</v>
      </c>
      <c r="P125">
        <v>3</v>
      </c>
      <c r="Q125">
        <v>30</v>
      </c>
      <c r="R125" s="22">
        <v>1.2E-2</v>
      </c>
      <c r="S125">
        <v>2.0999999999999996</v>
      </c>
      <c r="T125" s="38" t="s">
        <v>27</v>
      </c>
      <c r="U125" s="34" t="s">
        <v>27</v>
      </c>
      <c r="V125" s="30">
        <v>18.136138726047299</v>
      </c>
      <c r="W125" s="22">
        <f t="shared" si="2"/>
        <v>1.2E-2</v>
      </c>
      <c r="X125" s="38" t="s">
        <v>27</v>
      </c>
      <c r="Y125" s="38" t="s">
        <v>27</v>
      </c>
      <c r="Z125" s="38" t="s">
        <v>27</v>
      </c>
      <c r="AA125" s="38" t="s">
        <v>27</v>
      </c>
      <c r="AB125" s="30">
        <v>1.3237083660495701</v>
      </c>
      <c r="AC125" s="35">
        <v>0.896397312988231</v>
      </c>
    </row>
    <row r="126" spans="2:29" x14ac:dyDescent="0.3">
      <c r="B126" s="46">
        <f t="shared" si="3"/>
        <v>95</v>
      </c>
      <c r="C126" s="5">
        <v>0.5</v>
      </c>
      <c r="D126">
        <v>0.5</v>
      </c>
      <c r="E126">
        <v>3.0000000000000001E-3</v>
      </c>
      <c r="F126">
        <v>1</v>
      </c>
      <c r="G126">
        <v>1</v>
      </c>
      <c r="H126">
        <v>1</v>
      </c>
      <c r="I126">
        <v>0.7</v>
      </c>
      <c r="J126" s="31">
        <v>1145.7550026254701</v>
      </c>
      <c r="K126">
        <v>7.54</v>
      </c>
      <c r="L126" s="30">
        <v>32.886593370036898</v>
      </c>
      <c r="M126" s="30">
        <v>32.886593370036898</v>
      </c>
      <c r="N126" s="5">
        <v>30</v>
      </c>
      <c r="O126">
        <v>1.2E-2</v>
      </c>
      <c r="P126">
        <v>3</v>
      </c>
      <c r="Q126">
        <v>30</v>
      </c>
      <c r="R126" s="22">
        <v>1.2E-2</v>
      </c>
      <c r="S126">
        <v>2.0999999999999996</v>
      </c>
      <c r="T126" s="38" t="s">
        <v>27</v>
      </c>
      <c r="U126" s="34" t="s">
        <v>27</v>
      </c>
      <c r="V126" s="30">
        <v>18.425742581736401</v>
      </c>
      <c r="W126" s="22">
        <f t="shared" si="2"/>
        <v>1.2E-2</v>
      </c>
      <c r="X126" s="38" t="s">
        <v>27</v>
      </c>
      <c r="Y126" s="38" t="s">
        <v>27</v>
      </c>
      <c r="Z126" s="38" t="s">
        <v>27</v>
      </c>
      <c r="AA126" s="38" t="s">
        <v>27</v>
      </c>
      <c r="AB126" s="30">
        <v>1.29134112944296</v>
      </c>
      <c r="AC126" s="35">
        <v>0.87447866030976595</v>
      </c>
    </row>
    <row r="127" spans="2:29" x14ac:dyDescent="0.3">
      <c r="B127" s="46">
        <f t="shared" si="3"/>
        <v>96</v>
      </c>
      <c r="C127" s="5">
        <v>0.6</v>
      </c>
      <c r="D127">
        <v>0.4</v>
      </c>
      <c r="E127">
        <v>3.0000000000000001E-3</v>
      </c>
      <c r="F127">
        <v>1</v>
      </c>
      <c r="G127">
        <v>1</v>
      </c>
      <c r="H127">
        <v>1</v>
      </c>
      <c r="I127">
        <v>0.7</v>
      </c>
      <c r="J127" s="31">
        <v>1145.1469649150399</v>
      </c>
      <c r="K127">
        <v>7.54</v>
      </c>
      <c r="L127" s="30">
        <v>32.894773867531299</v>
      </c>
      <c r="M127" s="30">
        <v>32.894773867531299</v>
      </c>
      <c r="N127" s="5">
        <v>30</v>
      </c>
      <c r="O127">
        <v>1.2E-2</v>
      </c>
      <c r="P127">
        <v>3</v>
      </c>
      <c r="Q127">
        <v>30</v>
      </c>
      <c r="R127" s="22">
        <v>1.2E-2</v>
      </c>
      <c r="S127">
        <v>2.0999999999999996</v>
      </c>
      <c r="T127" s="38" t="s">
        <v>27</v>
      </c>
      <c r="U127" s="34" t="s">
        <v>27</v>
      </c>
      <c r="V127" s="30">
        <v>18.603960687723099</v>
      </c>
      <c r="W127" s="22">
        <f t="shared" si="2"/>
        <v>1.2E-2</v>
      </c>
      <c r="X127" s="38" t="s">
        <v>27</v>
      </c>
      <c r="Y127" s="38" t="s">
        <v>27</v>
      </c>
      <c r="Z127" s="38" t="s">
        <v>27</v>
      </c>
      <c r="AA127" s="38" t="s">
        <v>27</v>
      </c>
      <c r="AB127" s="30">
        <v>1.27236723212184</v>
      </c>
      <c r="AC127" s="35">
        <v>0.86162979494652903</v>
      </c>
    </row>
    <row r="128" spans="2:29" x14ac:dyDescent="0.3">
      <c r="B128" s="46">
        <f t="shared" si="3"/>
        <v>97</v>
      </c>
      <c r="C128" s="5">
        <v>0.7</v>
      </c>
      <c r="D128">
        <v>0.30000000000000004</v>
      </c>
      <c r="E128">
        <v>3.0000000000000001E-3</v>
      </c>
      <c r="F128">
        <v>1</v>
      </c>
      <c r="G128">
        <v>1</v>
      </c>
      <c r="H128">
        <v>1</v>
      </c>
      <c r="I128">
        <v>0.7</v>
      </c>
      <c r="J128" s="31">
        <v>1143.7807894233999</v>
      </c>
      <c r="K128">
        <v>7.54</v>
      </c>
      <c r="L128" s="30">
        <v>32.913176896223298</v>
      </c>
      <c r="M128" s="30">
        <v>32.913176896223298</v>
      </c>
      <c r="N128" s="5">
        <v>30</v>
      </c>
      <c r="O128">
        <v>1.2E-2</v>
      </c>
      <c r="P128">
        <v>3</v>
      </c>
      <c r="Q128">
        <v>30</v>
      </c>
      <c r="R128" s="22">
        <v>1.2E-2</v>
      </c>
      <c r="S128">
        <v>2.0999999999999996</v>
      </c>
      <c r="T128" s="38" t="s">
        <v>27</v>
      </c>
      <c r="U128" s="34" t="s">
        <v>27</v>
      </c>
      <c r="V128" s="30">
        <v>19.004950670807499</v>
      </c>
      <c r="W128" s="22">
        <f t="shared" si="2"/>
        <v>1.2E-2</v>
      </c>
      <c r="X128" s="38" t="s">
        <v>27</v>
      </c>
      <c r="Y128" s="38" t="s">
        <v>27</v>
      </c>
      <c r="Z128" s="38" t="s">
        <v>27</v>
      </c>
      <c r="AA128" s="38" t="s">
        <v>27</v>
      </c>
      <c r="AB128" s="30">
        <v>1.2277227678368701</v>
      </c>
      <c r="AC128" s="35">
        <v>0.83139717056244</v>
      </c>
    </row>
    <row r="129" spans="2:29" x14ac:dyDescent="0.3">
      <c r="B129" s="46">
        <f t="shared" si="3"/>
        <v>98</v>
      </c>
      <c r="C129" s="5">
        <v>0.8</v>
      </c>
      <c r="D129">
        <v>0.19999999999999996</v>
      </c>
      <c r="E129">
        <v>3.0000000000000001E-3</v>
      </c>
      <c r="F129">
        <v>1</v>
      </c>
      <c r="G129">
        <v>1</v>
      </c>
      <c r="H129">
        <v>1</v>
      </c>
      <c r="I129">
        <v>0.7</v>
      </c>
      <c r="J129" s="31">
        <v>1141.9129002474101</v>
      </c>
      <c r="K129">
        <v>7.54</v>
      </c>
      <c r="L129" s="30">
        <v>32.938388995165703</v>
      </c>
      <c r="M129" s="30">
        <v>32.938388995165703</v>
      </c>
      <c r="N129" s="5">
        <v>30</v>
      </c>
      <c r="O129">
        <v>1.2E-2</v>
      </c>
      <c r="P129">
        <v>3</v>
      </c>
      <c r="Q129">
        <v>30</v>
      </c>
      <c r="R129" s="22">
        <v>1.2E-2</v>
      </c>
      <c r="S129">
        <v>2.0999999999999996</v>
      </c>
      <c r="T129" s="38" t="s">
        <v>27</v>
      </c>
      <c r="U129" s="34" t="s">
        <v>27</v>
      </c>
      <c r="V129" s="30">
        <v>19.554455490418899</v>
      </c>
      <c r="W129" s="22">
        <f t="shared" si="2"/>
        <v>1.2E-2</v>
      </c>
      <c r="X129" s="38" t="s">
        <v>27</v>
      </c>
      <c r="Y129" s="38" t="s">
        <v>27</v>
      </c>
      <c r="Z129" s="38" t="s">
        <v>27</v>
      </c>
      <c r="AA129" s="38" t="s">
        <v>27</v>
      </c>
      <c r="AB129" s="30">
        <v>1.1663366294450199</v>
      </c>
      <c r="AC129" s="35">
        <v>0.789827312034318</v>
      </c>
    </row>
    <row r="130" spans="2:29" x14ac:dyDescent="0.3">
      <c r="B130" s="46">
        <f t="shared" si="3"/>
        <v>99</v>
      </c>
      <c r="C130" s="5">
        <v>0.9</v>
      </c>
      <c r="D130">
        <v>9.9999999999999978E-2</v>
      </c>
      <c r="E130">
        <v>3.0000000000000001E-3</v>
      </c>
      <c r="F130">
        <v>1</v>
      </c>
      <c r="G130">
        <v>1</v>
      </c>
      <c r="H130">
        <v>1</v>
      </c>
      <c r="I130">
        <v>0.7</v>
      </c>
      <c r="J130" s="31">
        <v>1139.3965535293401</v>
      </c>
      <c r="K130">
        <v>7.54</v>
      </c>
      <c r="L130" s="30">
        <v>32.972446801256297</v>
      </c>
      <c r="M130" s="30">
        <v>32.972446801256297</v>
      </c>
      <c r="N130" s="5">
        <v>30</v>
      </c>
      <c r="O130">
        <v>1.2E-2</v>
      </c>
      <c r="P130">
        <v>3</v>
      </c>
      <c r="Q130">
        <v>30</v>
      </c>
      <c r="R130" s="22">
        <v>1.2E-2</v>
      </c>
      <c r="S130">
        <v>2.0999999999999996</v>
      </c>
      <c r="T130" s="38" t="s">
        <v>27</v>
      </c>
      <c r="U130" s="34" t="s">
        <v>27</v>
      </c>
      <c r="V130" s="30">
        <v>20.297029673053999</v>
      </c>
      <c r="W130" s="22">
        <f t="shared" si="2"/>
        <v>1.2E-2</v>
      </c>
      <c r="X130" s="38" t="s">
        <v>27</v>
      </c>
      <c r="Y130" s="38" t="s">
        <v>27</v>
      </c>
      <c r="Z130" s="38" t="s">
        <v>27</v>
      </c>
      <c r="AA130" s="38" t="s">
        <v>27</v>
      </c>
      <c r="AB130" s="30">
        <v>1.0826282589106899</v>
      </c>
      <c r="AC130" s="35">
        <v>0.73314114131415198</v>
      </c>
    </row>
    <row r="131" spans="2:29" x14ac:dyDescent="0.3">
      <c r="B131" s="46">
        <f t="shared" si="3"/>
        <v>100</v>
      </c>
      <c r="C131" s="5">
        <v>0.1</v>
      </c>
      <c r="D131">
        <v>0.9</v>
      </c>
      <c r="E131">
        <v>3.0000000000000001E-3</v>
      </c>
      <c r="F131">
        <v>1</v>
      </c>
      <c r="G131">
        <v>1</v>
      </c>
      <c r="H131">
        <v>1</v>
      </c>
      <c r="I131">
        <v>1</v>
      </c>
      <c r="J131" s="31">
        <v>1147.8109856574699</v>
      </c>
      <c r="K131">
        <v>7.54</v>
      </c>
      <c r="L131" s="30">
        <v>32.858978076423703</v>
      </c>
      <c r="M131" s="30">
        <v>32.858978076423703</v>
      </c>
      <c r="N131" s="5">
        <v>30</v>
      </c>
      <c r="O131">
        <v>1.2E-2</v>
      </c>
      <c r="P131">
        <v>3</v>
      </c>
      <c r="Q131">
        <v>30</v>
      </c>
      <c r="R131" s="22">
        <v>1.2E-2</v>
      </c>
      <c r="S131">
        <v>3</v>
      </c>
      <c r="T131" s="38" t="s">
        <v>27</v>
      </c>
      <c r="U131" s="34" t="s">
        <v>27</v>
      </c>
      <c r="V131" s="30">
        <v>17.8242577959562</v>
      </c>
      <c r="W131" s="22">
        <f t="shared" si="2"/>
        <v>1.2E-2</v>
      </c>
      <c r="X131" s="38" t="s">
        <v>27</v>
      </c>
      <c r="Y131" s="38" t="s">
        <v>27</v>
      </c>
      <c r="Z131" s="38" t="s">
        <v>27</v>
      </c>
      <c r="AA131" s="38" t="s">
        <v>27</v>
      </c>
      <c r="AB131" s="30">
        <v>1.3594239374775501</v>
      </c>
      <c r="AC131" s="35">
        <v>0.92058341249550202</v>
      </c>
    </row>
    <row r="132" spans="2:29" x14ac:dyDescent="0.3">
      <c r="B132" s="46">
        <f t="shared" si="3"/>
        <v>101</v>
      </c>
      <c r="C132" s="5">
        <v>0.2</v>
      </c>
      <c r="D132">
        <v>0.8</v>
      </c>
      <c r="E132">
        <v>3.0000000000000001E-3</v>
      </c>
      <c r="F132">
        <v>1</v>
      </c>
      <c r="G132">
        <v>1</v>
      </c>
      <c r="H132">
        <v>1</v>
      </c>
      <c r="I132">
        <v>1</v>
      </c>
      <c r="J132" s="31">
        <v>1147.8364057184499</v>
      </c>
      <c r="K132">
        <v>7.54</v>
      </c>
      <c r="L132" s="30">
        <v>32.858637083665997</v>
      </c>
      <c r="M132" s="30">
        <v>32.858637083665997</v>
      </c>
      <c r="N132" s="5">
        <v>30</v>
      </c>
      <c r="O132">
        <v>1.2E-2</v>
      </c>
      <c r="P132">
        <v>3</v>
      </c>
      <c r="Q132">
        <v>30</v>
      </c>
      <c r="R132" s="22">
        <v>1.2E-2</v>
      </c>
      <c r="S132">
        <v>3</v>
      </c>
      <c r="T132" s="38" t="s">
        <v>27</v>
      </c>
      <c r="U132" s="34" t="s">
        <v>27</v>
      </c>
      <c r="V132" s="30">
        <v>17.816831978591299</v>
      </c>
      <c r="W132" s="22">
        <f t="shared" si="2"/>
        <v>1.2E-2</v>
      </c>
      <c r="X132" s="38" t="s">
        <v>27</v>
      </c>
      <c r="Y132" s="38" t="s">
        <v>27</v>
      </c>
      <c r="Z132" s="38" t="s">
        <v>27</v>
      </c>
      <c r="AA132" s="38" t="s">
        <v>27</v>
      </c>
      <c r="AB132" s="30">
        <v>1.3594239374775501</v>
      </c>
      <c r="AC132" s="35">
        <v>0.92058341249550202</v>
      </c>
    </row>
    <row r="133" spans="2:29" x14ac:dyDescent="0.3">
      <c r="B133" s="46">
        <f t="shared" si="3"/>
        <v>102</v>
      </c>
      <c r="C133" s="5">
        <v>0.3</v>
      </c>
      <c r="D133">
        <v>0.7</v>
      </c>
      <c r="E133">
        <v>3.0000000000000001E-3</v>
      </c>
      <c r="F133">
        <v>1</v>
      </c>
      <c r="G133">
        <v>1</v>
      </c>
      <c r="H133">
        <v>1</v>
      </c>
      <c r="I133">
        <v>1</v>
      </c>
      <c r="J133" s="31">
        <v>1147.6076618234399</v>
      </c>
      <c r="K133">
        <v>7.54</v>
      </c>
      <c r="L133" s="30">
        <v>32.861705914134497</v>
      </c>
      <c r="M133" s="30">
        <v>32.861705914134497</v>
      </c>
      <c r="N133" s="5">
        <v>30</v>
      </c>
      <c r="O133">
        <v>1.2E-2</v>
      </c>
      <c r="P133">
        <v>3</v>
      </c>
      <c r="Q133">
        <v>30</v>
      </c>
      <c r="R133" s="22">
        <v>1.2E-2</v>
      </c>
      <c r="S133">
        <v>3</v>
      </c>
      <c r="T133" s="38" t="s">
        <v>27</v>
      </c>
      <c r="U133" s="34" t="s">
        <v>27</v>
      </c>
      <c r="V133" s="30">
        <v>17.883663201797201</v>
      </c>
      <c r="W133" s="22">
        <f t="shared" si="2"/>
        <v>1.2E-2</v>
      </c>
      <c r="X133" s="38" t="s">
        <v>27</v>
      </c>
      <c r="Y133" s="38" t="s">
        <v>27</v>
      </c>
      <c r="Z133" s="38" t="s">
        <v>27</v>
      </c>
      <c r="AA133" s="38" t="s">
        <v>27</v>
      </c>
      <c r="AB133" s="30">
        <v>1.3527272678347999</v>
      </c>
      <c r="AC133" s="35">
        <v>0.91604851883788896</v>
      </c>
    </row>
    <row r="134" spans="2:29" x14ac:dyDescent="0.3">
      <c r="B134" s="46">
        <f t="shared" si="3"/>
        <v>103</v>
      </c>
      <c r="C134" s="5">
        <v>0.4</v>
      </c>
      <c r="D134">
        <v>0.6</v>
      </c>
      <c r="E134">
        <v>3.0000000000000001E-3</v>
      </c>
      <c r="F134">
        <v>1</v>
      </c>
      <c r="G134">
        <v>1</v>
      </c>
      <c r="H134">
        <v>1</v>
      </c>
      <c r="I134">
        <v>1</v>
      </c>
      <c r="J134" s="31">
        <v>1147.1249958041401</v>
      </c>
      <c r="K134">
        <v>7.54</v>
      </c>
      <c r="L134" s="30">
        <v>32.868184227505502</v>
      </c>
      <c r="M134" s="30">
        <v>32.868184227505502</v>
      </c>
      <c r="N134" s="5">
        <v>30</v>
      </c>
      <c r="O134">
        <v>1.2E-2</v>
      </c>
      <c r="P134">
        <v>3</v>
      </c>
      <c r="Q134">
        <v>30</v>
      </c>
      <c r="R134" s="22">
        <v>1.2E-2</v>
      </c>
      <c r="S134">
        <v>3</v>
      </c>
      <c r="T134" s="38" t="s">
        <v>27</v>
      </c>
      <c r="U134" s="34" t="s">
        <v>27</v>
      </c>
      <c r="V134" s="30">
        <v>18.024752598652</v>
      </c>
      <c r="W134" s="22">
        <f t="shared" si="2"/>
        <v>1.2E-2</v>
      </c>
      <c r="X134" s="38" t="s">
        <v>27</v>
      </c>
      <c r="Y134" s="38" t="s">
        <v>27</v>
      </c>
      <c r="Z134" s="38" t="s">
        <v>27</v>
      </c>
      <c r="AA134" s="38" t="s">
        <v>27</v>
      </c>
      <c r="AB134" s="30">
        <v>1.33710170533506</v>
      </c>
      <c r="AC134" s="35">
        <v>0.90546710030345701</v>
      </c>
    </row>
    <row r="135" spans="2:29" x14ac:dyDescent="0.3">
      <c r="B135" s="46">
        <f t="shared" si="3"/>
        <v>104</v>
      </c>
      <c r="C135" s="5">
        <v>0.5</v>
      </c>
      <c r="D135">
        <v>0.5</v>
      </c>
      <c r="E135">
        <v>3.0000000000000001E-3</v>
      </c>
      <c r="F135">
        <v>1</v>
      </c>
      <c r="G135">
        <v>1</v>
      </c>
      <c r="H135">
        <v>1</v>
      </c>
      <c r="I135">
        <v>1</v>
      </c>
      <c r="J135" s="31">
        <v>1146.3889283726501</v>
      </c>
      <c r="K135">
        <v>7.54</v>
      </c>
      <c r="L135" s="30">
        <v>32.878071161054599</v>
      </c>
      <c r="M135" s="30">
        <v>32.878071161054599</v>
      </c>
      <c r="N135" s="5">
        <v>30</v>
      </c>
      <c r="O135">
        <v>1.2E-2</v>
      </c>
      <c r="P135">
        <v>3</v>
      </c>
      <c r="Q135">
        <v>30</v>
      </c>
      <c r="R135" s="22">
        <v>1.2E-2</v>
      </c>
      <c r="S135">
        <v>3</v>
      </c>
      <c r="T135" s="38" t="s">
        <v>27</v>
      </c>
      <c r="U135" s="34" t="s">
        <v>27</v>
      </c>
      <c r="V135" s="30">
        <v>18.240099413770398</v>
      </c>
      <c r="W135" s="22">
        <f t="shared" si="2"/>
        <v>1.2E-2</v>
      </c>
      <c r="X135" s="38" t="s">
        <v>27</v>
      </c>
      <c r="Y135" s="38" t="s">
        <v>27</v>
      </c>
      <c r="Z135" s="38" t="s">
        <v>27</v>
      </c>
      <c r="AA135" s="38" t="s">
        <v>27</v>
      </c>
      <c r="AB135" s="30">
        <v>1.31254724997832</v>
      </c>
      <c r="AC135" s="35">
        <v>0.88883915689220905</v>
      </c>
    </row>
    <row r="136" spans="2:29" x14ac:dyDescent="0.3">
      <c r="B136" s="46">
        <f t="shared" si="3"/>
        <v>105</v>
      </c>
      <c r="C136" s="5">
        <v>0.6</v>
      </c>
      <c r="D136">
        <v>0.4</v>
      </c>
      <c r="E136">
        <v>3.0000000000000001E-3</v>
      </c>
      <c r="F136">
        <v>1</v>
      </c>
      <c r="G136">
        <v>1</v>
      </c>
      <c r="H136">
        <v>1</v>
      </c>
      <c r="I136">
        <v>1</v>
      </c>
      <c r="J136" s="31">
        <v>1145.52692665568</v>
      </c>
      <c r="K136">
        <v>7.54</v>
      </c>
      <c r="L136" s="30">
        <v>32.889661163245599</v>
      </c>
      <c r="M136" s="30">
        <v>32.889661163245599</v>
      </c>
      <c r="N136" s="5">
        <v>30</v>
      </c>
      <c r="O136">
        <v>1.2E-2</v>
      </c>
      <c r="P136">
        <v>3</v>
      </c>
      <c r="Q136">
        <v>30</v>
      </c>
      <c r="R136" s="22">
        <v>1.2E-2</v>
      </c>
      <c r="S136">
        <v>3</v>
      </c>
      <c r="T136" s="38" t="s">
        <v>27</v>
      </c>
      <c r="U136" s="34" t="s">
        <v>27</v>
      </c>
      <c r="V136" s="30">
        <v>18.4925745603278</v>
      </c>
      <c r="W136" s="22">
        <f t="shared" si="2"/>
        <v>1.2E-2</v>
      </c>
      <c r="X136" s="38" t="s">
        <v>27</v>
      </c>
      <c r="Y136" s="38" t="s">
        <v>27</v>
      </c>
      <c r="Z136" s="38" t="s">
        <v>27</v>
      </c>
      <c r="AA136" s="38" t="s">
        <v>27</v>
      </c>
      <c r="AB136" s="30">
        <v>1.28464445980021</v>
      </c>
      <c r="AC136" s="35">
        <v>0.86994376665215301</v>
      </c>
    </row>
    <row r="137" spans="2:29" x14ac:dyDescent="0.3">
      <c r="B137" s="46">
        <f t="shared" si="3"/>
        <v>106</v>
      </c>
      <c r="C137" s="5">
        <v>0.7</v>
      </c>
      <c r="D137">
        <v>0.30000000000000004</v>
      </c>
      <c r="E137">
        <v>3.0000000000000001E-3</v>
      </c>
      <c r="F137">
        <v>1</v>
      </c>
      <c r="G137">
        <v>1</v>
      </c>
      <c r="H137">
        <v>1</v>
      </c>
      <c r="I137">
        <v>1</v>
      </c>
      <c r="J137" s="31">
        <v>1144.3623573807399</v>
      </c>
      <c r="K137">
        <v>7.54</v>
      </c>
      <c r="L137" s="30">
        <v>32.905339074494499</v>
      </c>
      <c r="M137" s="30">
        <v>32.905339074494499</v>
      </c>
      <c r="N137" s="5">
        <v>30</v>
      </c>
      <c r="O137">
        <v>1.2E-2</v>
      </c>
      <c r="P137">
        <v>3</v>
      </c>
      <c r="Q137">
        <v>30</v>
      </c>
      <c r="R137" s="22">
        <v>1.2E-2</v>
      </c>
      <c r="S137">
        <v>3</v>
      </c>
      <c r="T137" s="38" t="s">
        <v>27</v>
      </c>
      <c r="U137" s="34" t="s">
        <v>27</v>
      </c>
      <c r="V137" s="30">
        <v>18.834158382185699</v>
      </c>
      <c r="W137" s="22">
        <f t="shared" si="2"/>
        <v>1.2E-2</v>
      </c>
      <c r="X137" s="38" t="s">
        <v>27</v>
      </c>
      <c r="Y137" s="38" t="s">
        <v>27</v>
      </c>
      <c r="Z137" s="38" t="s">
        <v>27</v>
      </c>
      <c r="AA137" s="38" t="s">
        <v>27</v>
      </c>
      <c r="AB137" s="30">
        <v>1.2466966651579801</v>
      </c>
      <c r="AC137" s="35">
        <v>0.84424603592567804</v>
      </c>
    </row>
    <row r="138" spans="2:29" x14ac:dyDescent="0.3">
      <c r="B138" s="46">
        <f t="shared" si="3"/>
        <v>107</v>
      </c>
      <c r="C138" s="5">
        <v>0.8</v>
      </c>
      <c r="D138">
        <v>0.19999999999999996</v>
      </c>
      <c r="E138">
        <v>3.0000000000000001E-3</v>
      </c>
      <c r="F138">
        <v>1</v>
      </c>
      <c r="G138">
        <v>1</v>
      </c>
      <c r="H138">
        <v>1</v>
      </c>
      <c r="I138">
        <v>1</v>
      </c>
      <c r="J138" s="31">
        <v>1142.64432364459</v>
      </c>
      <c r="K138">
        <v>7.54</v>
      </c>
      <c r="L138" s="30">
        <v>32.928509508541602</v>
      </c>
      <c r="M138" s="30">
        <v>32.928509508541602</v>
      </c>
      <c r="N138" s="5">
        <v>30</v>
      </c>
      <c r="O138">
        <v>1.2E-2</v>
      </c>
      <c r="P138">
        <v>3</v>
      </c>
      <c r="Q138">
        <v>30</v>
      </c>
      <c r="R138" s="22">
        <v>1.2E-2</v>
      </c>
      <c r="S138">
        <v>3</v>
      </c>
      <c r="T138" s="38" t="s">
        <v>27</v>
      </c>
      <c r="U138" s="34" t="s">
        <v>27</v>
      </c>
      <c r="V138" s="30">
        <v>19.339108675300501</v>
      </c>
      <c r="W138" s="22">
        <f t="shared" si="2"/>
        <v>1.2E-2</v>
      </c>
      <c r="X138" s="38" t="s">
        <v>27</v>
      </c>
      <c r="Y138" s="38" t="s">
        <v>27</v>
      </c>
      <c r="Z138" s="38" t="s">
        <v>27</v>
      </c>
      <c r="AA138" s="38" t="s">
        <v>27</v>
      </c>
      <c r="AB138" s="30">
        <v>1.1897749731946401</v>
      </c>
      <c r="AC138" s="35">
        <v>0.80569943983596504</v>
      </c>
    </row>
    <row r="139" spans="2:29" ht="15" thickBot="1" x14ac:dyDescent="0.35">
      <c r="B139" s="47">
        <f t="shared" si="3"/>
        <v>108</v>
      </c>
      <c r="C139" s="7">
        <v>0.9</v>
      </c>
      <c r="D139" s="8">
        <v>9.9999999999999978E-2</v>
      </c>
      <c r="E139" s="8">
        <v>3.0000000000000001E-3</v>
      </c>
      <c r="F139" s="8">
        <v>1</v>
      </c>
      <c r="G139">
        <v>1</v>
      </c>
      <c r="H139" s="8">
        <v>1</v>
      </c>
      <c r="I139" s="8">
        <v>1</v>
      </c>
      <c r="J139" s="39">
        <v>1140.1505149852901</v>
      </c>
      <c r="K139" s="8">
        <v>7.54</v>
      </c>
      <c r="L139" s="8">
        <v>32.96</v>
      </c>
      <c r="M139" s="42">
        <v>32.9622309794279</v>
      </c>
      <c r="N139" s="7">
        <v>30</v>
      </c>
      <c r="O139" s="8">
        <v>1.2E-2</v>
      </c>
      <c r="P139" s="8">
        <v>3</v>
      </c>
      <c r="Q139" s="8">
        <v>30</v>
      </c>
      <c r="R139" s="23">
        <v>1.2E-2</v>
      </c>
      <c r="S139">
        <v>3</v>
      </c>
      <c r="T139" s="40" t="s">
        <v>27</v>
      </c>
      <c r="U139" s="41" t="s">
        <v>27</v>
      </c>
      <c r="V139" s="42">
        <v>20.0742574182635</v>
      </c>
      <c r="W139" s="23">
        <f t="shared" si="2"/>
        <v>1.2E-2</v>
      </c>
      <c r="X139" s="40" t="s">
        <v>27</v>
      </c>
      <c r="Y139" s="40" t="s">
        <v>27</v>
      </c>
      <c r="Z139" s="40" t="s">
        <v>27</v>
      </c>
      <c r="AA139" s="40" t="s">
        <v>27</v>
      </c>
      <c r="AB139" s="42">
        <v>1.1082988258745501</v>
      </c>
      <c r="AC139" s="36">
        <v>0.75052490033500296</v>
      </c>
    </row>
  </sheetData>
  <mergeCells count="3">
    <mergeCell ref="E11:F11"/>
    <mergeCell ref="G11:H11"/>
    <mergeCell ref="C7: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Pacak2022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2025-08-12T09:43:20Z</dcterms:modified>
</cp:coreProperties>
</file>