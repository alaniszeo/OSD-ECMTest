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AZ\alaniszeo_git\OSD-ECMTest\DEC\"/>
    </mc:Choice>
  </mc:AlternateContent>
  <xr:revisionPtr revIDLastSave="0" documentId="13_ncr:1_{A130BE07-7769-4007-B7BE-68FED826DC69}" xr6:coauthVersionLast="47" xr6:coauthVersionMax="47" xr10:uidLastSave="{00000000-0000-0000-0000-000000000000}"/>
  <bookViews>
    <workbookView xWindow="-108" yWindow="-108" windowWidth="30936" windowHeight="16776" xr2:uid="{1306219A-737B-4B5D-BCFD-98C34D3C77CC}"/>
  </bookViews>
  <sheets>
    <sheet name="Characteristics" sheetId="23" r:id="rId1"/>
    <sheet name="Data" sheetId="2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7" i="24" l="1"/>
  <c r="A18" i="24" s="1"/>
  <c r="A19" i="24" s="1"/>
  <c r="A20" i="24" s="1"/>
  <c r="A21" i="24" s="1"/>
  <c r="A22" i="24" s="1"/>
  <c r="A23" i="24" s="1"/>
  <c r="A24" i="24" s="1"/>
  <c r="A25" i="24" s="1"/>
  <c r="A26" i="24" s="1"/>
  <c r="A27" i="24" s="1"/>
  <c r="A28" i="24" s="1"/>
  <c r="A29" i="24" s="1"/>
</calcChain>
</file>

<file path=xl/sharedStrings.xml><?xml version="1.0" encoding="utf-8"?>
<sst xmlns="http://schemas.openxmlformats.org/spreadsheetml/2006/main" count="181" uniqueCount="64">
  <si>
    <t>epsilon_wb</t>
  </si>
  <si>
    <t>-</t>
  </si>
  <si>
    <t>L</t>
  </si>
  <si>
    <t>m</t>
  </si>
  <si>
    <t>W</t>
  </si>
  <si>
    <t>NA</t>
  </si>
  <si>
    <t>h_ch</t>
  </si>
  <si>
    <t>Channel height</t>
  </si>
  <si>
    <t>Water injection type</t>
  </si>
  <si>
    <t>Number of channels</t>
  </si>
  <si>
    <t>wf</t>
  </si>
  <si>
    <t>Wall thickness</t>
  </si>
  <si>
    <t>m/s</t>
  </si>
  <si>
    <t>Paper information</t>
  </si>
  <si>
    <t>Authors</t>
  </si>
  <si>
    <t>Title</t>
  </si>
  <si>
    <t>Year</t>
  </si>
  <si>
    <t>Data type</t>
  </si>
  <si>
    <t>HEX characteristics</t>
  </si>
  <si>
    <t>HEX type</t>
  </si>
  <si>
    <t>Water recirculation</t>
  </si>
  <si>
    <t>Wall material</t>
  </si>
  <si>
    <t>Configuration</t>
  </si>
  <si>
    <t>Geometry</t>
  </si>
  <si>
    <t>Length</t>
  </si>
  <si>
    <t>Width</t>
  </si>
  <si>
    <t>Height</t>
  </si>
  <si>
    <t>Operating conditions</t>
  </si>
  <si>
    <t>Primary fluid velocity</t>
  </si>
  <si>
    <t>Water supplied</t>
  </si>
  <si>
    <t>kg/s</t>
  </si>
  <si>
    <t>Testing conditions</t>
  </si>
  <si>
    <t>Inlet conditions</t>
  </si>
  <si>
    <t>Outlet conditions</t>
  </si>
  <si>
    <t>Run</t>
  </si>
  <si>
    <t>Test</t>
  </si>
  <si>
    <t>pd</t>
  </si>
  <si>
    <t>E</t>
  </si>
  <si>
    <t>N</t>
  </si>
  <si>
    <t>m_dot_wf</t>
  </si>
  <si>
    <t>T_wfi</t>
  </si>
  <si>
    <t>DEC</t>
  </si>
  <si>
    <t>T_pwi</t>
  </si>
  <si>
    <t>w_pwi</t>
  </si>
  <si>
    <t>v_pwi</t>
  </si>
  <si>
    <t>T_pwo</t>
  </si>
  <si>
    <t>w_pwo</t>
  </si>
  <si>
    <t>PX</t>
  </si>
  <si>
    <t>Crossflow</t>
  </si>
  <si>
    <t>Kovacevic &amp; Sourbron</t>
  </si>
  <si>
    <t>The numerical model for direct evaporative cooler</t>
  </si>
  <si>
    <t>Experimental data</t>
  </si>
  <si>
    <t>Numerical simulation</t>
  </si>
  <si>
    <t>Wet surface</t>
  </si>
  <si>
    <t>Yes</t>
  </si>
  <si>
    <t>Aluminium</t>
  </si>
  <si>
    <t>1-3</t>
  </si>
  <si>
    <t>WWR</t>
  </si>
  <si>
    <t>Re</t>
  </si>
  <si>
    <t>Nu</t>
  </si>
  <si>
    <t>h_T</t>
  </si>
  <si>
    <t>Experimental and numerical, from tables</t>
  </si>
  <si>
    <t>Experimental testing of a finned DEC with water sprayed perpendicularly to the main airflow direction. 
1. Comparison of experimental results and numerical simulation.
2. Use of numerical model to investigate the impact of the inlet conditions on the DEC performance. Air velocity determines the pad effectiveness, with lower velocities giving higher effectiveness, and vice versa. Relative humidity drastically influences the water evaporation rate while not impacting effectiveness. An increasing inlet air temperature slightly increases effectiveness and water consumption.</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</si>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</sst>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49">
    <xf numFmtId="0" fontId="0" fillId="0" borderId="0" xfId="0"/>
    <xf numFmtId="0" fontId="1" fillId="0" borderId="0" xfId="0" applyFont="1"/>
    <xf numFmtId="0" fontId="1" fillId="0" borderId="1" xfId="0" applyFon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 fillId="0" borderId="9" xfId="0" applyFont="1" applyBorder="1"/>
    <xf numFmtId="0" fontId="1" fillId="0" borderId="10" xfId="0" applyFont="1" applyBorder="1"/>
    <xf numFmtId="0" fontId="1" fillId="0" borderId="11" xfId="0" applyFont="1" applyBorder="1"/>
    <xf numFmtId="0" fontId="0" fillId="0" borderId="1" xfId="0" applyBorder="1"/>
    <xf numFmtId="0" fontId="1" fillId="0" borderId="6" xfId="0" applyFont="1" applyBorder="1"/>
    <xf numFmtId="0" fontId="1" fillId="0" borderId="7" xfId="0" applyFont="1" applyBorder="1"/>
    <xf numFmtId="0" fontId="1" fillId="0" borderId="14" xfId="0" applyFont="1" applyBorder="1"/>
    <xf numFmtId="0" fontId="0" fillId="0" borderId="10" xfId="0" applyBorder="1"/>
    <xf numFmtId="0" fontId="0" fillId="0" borderId="11" xfId="0" applyBorder="1"/>
    <xf numFmtId="0" fontId="1" fillId="0" borderId="12" xfId="0" applyFont="1" applyBorder="1"/>
    <xf numFmtId="0" fontId="1" fillId="0" borderId="13" xfId="0" applyFont="1" applyBorder="1"/>
    <xf numFmtId="164" fontId="0" fillId="0" borderId="0" xfId="0" applyNumberFormat="1"/>
    <xf numFmtId="164" fontId="0" fillId="0" borderId="7" xfId="0" applyNumberFormat="1" applyBorder="1"/>
    <xf numFmtId="0" fontId="1" fillId="0" borderId="8" xfId="0" applyFont="1" applyBorder="1"/>
    <xf numFmtId="164" fontId="0" fillId="0" borderId="2" xfId="0" applyNumberFormat="1" applyBorder="1"/>
    <xf numFmtId="1" fontId="0" fillId="0" borderId="0" xfId="0" applyNumberFormat="1"/>
    <xf numFmtId="0" fontId="1" fillId="0" borderId="15" xfId="0" applyFont="1" applyBorder="1"/>
    <xf numFmtId="0" fontId="0" fillId="0" borderId="0" xfId="0" applyAlignment="1">
      <alignment horizontal="right"/>
    </xf>
    <xf numFmtId="0" fontId="1" fillId="0" borderId="9" xfId="0" applyFont="1" applyBorder="1" applyAlignment="1">
      <alignment horizontal="center"/>
    </xf>
    <xf numFmtId="0" fontId="1" fillId="0" borderId="11" xfId="0" applyFont="1" applyBorder="1" applyAlignment="1">
      <alignment horizontal="center"/>
    </xf>
    <xf numFmtId="0" fontId="0" fillId="0" borderId="2" xfId="0" applyBorder="1" applyAlignment="1">
      <alignment horizontal="right"/>
    </xf>
    <xf numFmtId="165" fontId="0" fillId="0" borderId="5" xfId="0" applyNumberFormat="1" applyBorder="1"/>
    <xf numFmtId="0" fontId="0" fillId="0" borderId="7" xfId="0" applyBorder="1" applyAlignment="1">
      <alignment horizontal="right"/>
    </xf>
    <xf numFmtId="165" fontId="0" fillId="0" borderId="8" xfId="0" applyNumberFormat="1" applyBorder="1"/>
    <xf numFmtId="0" fontId="0" fillId="0" borderId="6" xfId="0" applyBorder="1" applyAlignment="1">
      <alignment horizontal="right"/>
    </xf>
    <xf numFmtId="0" fontId="0" fillId="0" borderId="1" xfId="0" quotePrefix="1" applyBorder="1" applyAlignment="1">
      <alignment horizontal="right"/>
    </xf>
    <xf numFmtId="164" fontId="0" fillId="0" borderId="0" xfId="0" applyNumberFormat="1" applyAlignment="1">
      <alignment horizontal="right"/>
    </xf>
    <xf numFmtId="2" fontId="0" fillId="0" borderId="2" xfId="0" applyNumberFormat="1" applyBorder="1" applyAlignment="1">
      <alignment horizontal="right"/>
    </xf>
    <xf numFmtId="2" fontId="0" fillId="0" borderId="0" xfId="0" applyNumberFormat="1" applyAlignment="1">
      <alignment horizontal="right"/>
    </xf>
    <xf numFmtId="2" fontId="0" fillId="0" borderId="7" xfId="0" applyNumberFormat="1" applyBorder="1" applyAlignment="1">
      <alignment horizontal="right"/>
    </xf>
    <xf numFmtId="1" fontId="0" fillId="0" borderId="2" xfId="0" applyNumberFormat="1" applyBorder="1" applyAlignment="1">
      <alignment horizontal="right"/>
    </xf>
    <xf numFmtId="1" fontId="0" fillId="0" borderId="0" xfId="0" applyNumberFormat="1" applyAlignment="1">
      <alignment horizontal="right"/>
    </xf>
    <xf numFmtId="1" fontId="0" fillId="0" borderId="7" xfId="0" applyNumberFormat="1" applyBorder="1" applyAlignment="1">
      <alignment horizontal="right"/>
    </xf>
    <xf numFmtId="0" fontId="1" fillId="0" borderId="14" xfId="0" applyFont="1" applyBorder="1" applyAlignment="1">
      <alignment horizontal="left" vertical="top"/>
    </xf>
    <xf numFmtId="0" fontId="0" fillId="0" borderId="9" xfId="0" applyBorder="1" applyAlignment="1">
      <alignment horizontal="center"/>
    </xf>
    <xf numFmtId="0" fontId="0" fillId="0" borderId="11" xfId="0" applyBorder="1" applyAlignment="1">
      <alignment horizontal="center"/>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83820</xdr:colOff>
      <xdr:row>9</xdr:row>
      <xdr:rowOff>22860</xdr:rowOff>
    </xdr:from>
    <xdr:to>
      <xdr:col>17</xdr:col>
      <xdr:colOff>654485</xdr:colOff>
      <xdr:row>25</xdr:row>
      <xdr:rowOff>31092</xdr:rowOff>
    </xdr:to>
    <xdr:pic>
      <xdr:nvPicPr>
        <xdr:cNvPr id="3" name="Picture 2">
          <a:extLst>
            <a:ext uri="{FF2B5EF4-FFF2-40B4-BE49-F238E27FC236}">
              <a16:creationId xmlns:a16="http://schemas.microsoft.com/office/drawing/2014/main" id="{CEF3BD93-BD34-6740-9549-8EF39FEAC36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498080" y="2446020"/>
          <a:ext cx="5241725" cy="2995272"/>
        </a:xfrm>
        <a:prstGeom prst="rect">
          <a:avLst/>
        </a:prstGeom>
      </xdr:spPr>
    </xdr:pic>
    <xdr:clientData/>
  </xdr:twoCellAnchor>
</xdr:wsDr>
</file>

<file path=xl/theme/theme1.xml><?xml version="1.0" encoding="utf-8"?>
<a:theme xmlns:a="http://schemas.openxmlformats.org/drawingml/2006/main" name="Office Theme">
  <a:themeElements>
    <a:clrScheme name="NiceColors">
      <a:dk1>
        <a:sysClr val="windowText" lastClr="000000"/>
      </a:dk1>
      <a:lt1>
        <a:sysClr val="window" lastClr="FFFFFF"/>
      </a:lt1>
      <a:dk2>
        <a:srgbClr val="455B69"/>
      </a:dk2>
      <a:lt2>
        <a:srgbClr val="E7E6E6"/>
      </a:lt2>
      <a:accent1>
        <a:srgbClr val="F59E00"/>
      </a:accent1>
      <a:accent2>
        <a:srgbClr val="A6B727"/>
      </a:accent2>
      <a:accent3>
        <a:srgbClr val="2E96A4"/>
      </a:accent3>
      <a:accent4>
        <a:srgbClr val="FEC306"/>
      </a:accent4>
      <a:accent5>
        <a:srgbClr val="997A9E"/>
      </a:accent5>
      <a:accent6>
        <a:srgbClr val="F4A6C9"/>
      </a:accent6>
      <a:hlink>
        <a:srgbClr val="000000"/>
      </a:hlink>
      <a:folHlink>
        <a:srgbClr val="F59E0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4AAE7-90DA-4B61-BFFE-4C5339AEA32D}">
  <dimension ref="B1:U47"/>
  <sheetViews>
    <sheetView tabSelected="1" workbookViewId="0">
      <selection activeCell="C54" sqref="C54"/>
    </sheetView>
  </sheetViews>
  <sheetFormatPr defaultColWidth="8.88671875" defaultRowHeight="14.4" x14ac:dyDescent="0.3"/>
  <cols>
    <col min="1" max="1" width="2.6640625" customWidth="1"/>
    <col min="2" max="2" width="22.33203125" bestFit="1" customWidth="1"/>
    <col min="3" max="3" width="14.109375" customWidth="1"/>
    <col min="6" max="6" width="12.44140625" customWidth="1"/>
    <col min="7" max="7" width="10.77734375" customWidth="1"/>
    <col min="8" max="10" width="9.33203125" customWidth="1"/>
    <col min="11" max="11" width="10.21875" customWidth="1"/>
    <col min="12" max="12" width="10.109375" customWidth="1"/>
    <col min="13" max="13" width="9.33203125" customWidth="1"/>
    <col min="14" max="14" width="9.88671875" customWidth="1"/>
    <col min="15" max="15" width="9.6640625" bestFit="1" customWidth="1"/>
    <col min="16" max="17" width="9.44140625" customWidth="1"/>
    <col min="18" max="18" width="10.5546875" bestFit="1" customWidth="1"/>
    <col min="19" max="19" width="9.33203125" customWidth="1"/>
    <col min="20" max="21" width="10.5546875" customWidth="1"/>
  </cols>
  <sheetData>
    <row r="1" spans="2:14" ht="15" thickBot="1" x14ac:dyDescent="0.35"/>
    <row r="2" spans="2:14" ht="15" thickBot="1" x14ac:dyDescent="0.35">
      <c r="B2" s="10" t="s">
        <v>13</v>
      </c>
      <c r="C2" s="11"/>
      <c r="D2" s="11"/>
      <c r="E2" s="11"/>
      <c r="F2" s="11"/>
      <c r="G2" s="11"/>
      <c r="H2" s="11"/>
      <c r="I2" s="11"/>
      <c r="J2" s="11"/>
      <c r="K2" s="11"/>
      <c r="L2" s="11"/>
      <c r="M2" s="11"/>
      <c r="N2" s="12"/>
    </row>
    <row r="3" spans="2:14" x14ac:dyDescent="0.3">
      <c r="B3" s="19" t="s">
        <v>14</v>
      </c>
      <c r="C3" s="13" t="s">
        <v>49</v>
      </c>
      <c r="D3" s="3"/>
      <c r="E3" s="3"/>
      <c r="F3" s="3"/>
      <c r="G3" s="3"/>
      <c r="H3" s="3"/>
      <c r="I3" s="3"/>
      <c r="J3" s="3"/>
      <c r="K3" s="3"/>
      <c r="L3" s="3"/>
      <c r="M3" s="3"/>
      <c r="N3" s="4"/>
    </row>
    <row r="4" spans="2:14" x14ac:dyDescent="0.3">
      <c r="B4" s="20" t="s">
        <v>15</v>
      </c>
      <c r="C4" s="5" t="s">
        <v>50</v>
      </c>
      <c r="N4" s="6"/>
    </row>
    <row r="5" spans="2:14" x14ac:dyDescent="0.3">
      <c r="B5" s="20" t="s">
        <v>16</v>
      </c>
      <c r="C5" s="5">
        <v>2017</v>
      </c>
      <c r="N5" s="6"/>
    </row>
    <row r="6" spans="2:14" x14ac:dyDescent="0.3">
      <c r="B6" s="20" t="s">
        <v>17</v>
      </c>
      <c r="C6" s="5" t="s">
        <v>61</v>
      </c>
      <c r="N6" s="6"/>
    </row>
    <row r="7" spans="2:14" ht="73.2" customHeight="1" thickBot="1" x14ac:dyDescent="0.35">
      <c r="B7" s="43" t="s">
        <v>63</v>
      </c>
      <c r="C7" s="46" t="s">
        <v>62</v>
      </c>
      <c r="D7" s="47"/>
      <c r="E7" s="47"/>
      <c r="F7" s="47"/>
      <c r="G7" s="47"/>
      <c r="H7" s="47"/>
      <c r="I7" s="47"/>
      <c r="J7" s="47"/>
      <c r="K7" s="47"/>
      <c r="L7" s="47"/>
      <c r="M7" s="47"/>
      <c r="N7" s="48"/>
    </row>
    <row r="8" spans="2:14" ht="15" thickBot="1" x14ac:dyDescent="0.35"/>
    <row r="9" spans="2:14" ht="15" thickBot="1" x14ac:dyDescent="0.35">
      <c r="B9" s="10" t="s">
        <v>18</v>
      </c>
      <c r="C9" s="18"/>
      <c r="E9" s="10" t="s">
        <v>22</v>
      </c>
      <c r="F9" s="18"/>
    </row>
    <row r="10" spans="2:14" ht="15" thickBot="1" x14ac:dyDescent="0.35">
      <c r="B10" s="19" t="s">
        <v>19</v>
      </c>
      <c r="C10" s="6" t="s">
        <v>41</v>
      </c>
      <c r="E10" s="28" t="s">
        <v>36</v>
      </c>
      <c r="F10" s="29" t="s">
        <v>10</v>
      </c>
    </row>
    <row r="11" spans="2:14" ht="15" thickBot="1" x14ac:dyDescent="0.35">
      <c r="B11" s="20" t="s">
        <v>8</v>
      </c>
      <c r="C11" s="6" t="s">
        <v>53</v>
      </c>
      <c r="E11" s="44" t="s">
        <v>48</v>
      </c>
      <c r="F11" s="45"/>
    </row>
    <row r="12" spans="2:14" x14ac:dyDescent="0.3">
      <c r="B12" s="20" t="s">
        <v>20</v>
      </c>
      <c r="C12" s="6" t="s">
        <v>54</v>
      </c>
    </row>
    <row r="13" spans="2:14" x14ac:dyDescent="0.3">
      <c r="B13" s="20" t="s">
        <v>21</v>
      </c>
      <c r="C13" s="6" t="s">
        <v>55</v>
      </c>
    </row>
    <row r="14" spans="2:14" ht="15" thickBot="1" x14ac:dyDescent="0.35">
      <c r="B14" s="16" t="s">
        <v>22</v>
      </c>
      <c r="C14" s="9" t="s">
        <v>47</v>
      </c>
    </row>
    <row r="15" spans="2:14" ht="15" thickBot="1" x14ac:dyDescent="0.35">
      <c r="B15" s="1"/>
    </row>
    <row r="16" spans="2:14" ht="15" thickBot="1" x14ac:dyDescent="0.35">
      <c r="B16" s="10" t="s">
        <v>23</v>
      </c>
      <c r="C16" s="17"/>
      <c r="D16" s="18"/>
    </row>
    <row r="17" spans="2:21" x14ac:dyDescent="0.3">
      <c r="B17" s="19" t="s">
        <v>24</v>
      </c>
      <c r="C17" s="3">
        <v>0.09</v>
      </c>
      <c r="D17" s="4" t="s">
        <v>3</v>
      </c>
    </row>
    <row r="18" spans="2:21" x14ac:dyDescent="0.3">
      <c r="B18" s="20" t="s">
        <v>25</v>
      </c>
      <c r="C18" s="27" t="s">
        <v>5</v>
      </c>
      <c r="D18" s="6" t="s">
        <v>3</v>
      </c>
    </row>
    <row r="19" spans="2:21" x14ac:dyDescent="0.3">
      <c r="B19" s="20" t="s">
        <v>26</v>
      </c>
      <c r="C19" s="27" t="s">
        <v>5</v>
      </c>
      <c r="D19" s="6" t="s">
        <v>3</v>
      </c>
    </row>
    <row r="20" spans="2:21" x14ac:dyDescent="0.3">
      <c r="B20" s="20" t="s">
        <v>7</v>
      </c>
      <c r="C20">
        <v>4.1599999999999996E-3</v>
      </c>
      <c r="D20" s="6" t="s">
        <v>3</v>
      </c>
    </row>
    <row r="21" spans="2:21" x14ac:dyDescent="0.3">
      <c r="B21" s="20" t="s">
        <v>11</v>
      </c>
      <c r="C21">
        <v>6.9999999999999999E-4</v>
      </c>
      <c r="D21" s="6" t="s">
        <v>3</v>
      </c>
    </row>
    <row r="22" spans="2:21" ht="15" thickBot="1" x14ac:dyDescent="0.35">
      <c r="B22" s="16" t="s">
        <v>9</v>
      </c>
      <c r="C22" s="32" t="s">
        <v>5</v>
      </c>
      <c r="D22" s="9" t="s">
        <v>1</v>
      </c>
    </row>
    <row r="23" spans="2:21" ht="15" thickBot="1" x14ac:dyDescent="0.35">
      <c r="B23" s="1"/>
    </row>
    <row r="24" spans="2:21" ht="15" thickBot="1" x14ac:dyDescent="0.35">
      <c r="B24" s="2" t="s">
        <v>27</v>
      </c>
      <c r="C24" s="3"/>
      <c r="D24" s="4"/>
      <c r="F24" s="10" t="s">
        <v>35</v>
      </c>
      <c r="G24" s="17"/>
      <c r="H24" s="17"/>
      <c r="I24" s="18"/>
    </row>
    <row r="25" spans="2:21" x14ac:dyDescent="0.3">
      <c r="B25" s="2" t="s">
        <v>28</v>
      </c>
      <c r="C25" s="35" t="s">
        <v>56</v>
      </c>
      <c r="D25" s="4" t="s">
        <v>12</v>
      </c>
      <c r="F25" s="5" t="s">
        <v>37</v>
      </c>
      <c r="G25" t="s">
        <v>51</v>
      </c>
      <c r="I25" s="6"/>
    </row>
    <row r="26" spans="2:21" ht="15" thickBot="1" x14ac:dyDescent="0.35">
      <c r="B26" s="14" t="s">
        <v>29</v>
      </c>
      <c r="C26" s="34" t="s">
        <v>5</v>
      </c>
      <c r="D26" s="9" t="s">
        <v>30</v>
      </c>
      <c r="F26" s="7" t="s">
        <v>38</v>
      </c>
      <c r="G26" s="8" t="s">
        <v>52</v>
      </c>
      <c r="H26" s="8"/>
      <c r="I26" s="9"/>
      <c r="K26" s="21"/>
    </row>
    <row r="29" spans="2:21" x14ac:dyDescent="0.3">
      <c r="T29" s="1"/>
      <c r="U29" s="1"/>
    </row>
    <row r="30" spans="2:21" x14ac:dyDescent="0.3">
      <c r="T30" s="25"/>
    </row>
    <row r="31" spans="2:21" x14ac:dyDescent="0.3">
      <c r="T31" s="25"/>
    </row>
    <row r="32" spans="2:21" x14ac:dyDescent="0.3">
      <c r="T32" s="25"/>
    </row>
    <row r="33" spans="20:20" x14ac:dyDescent="0.3">
      <c r="T33" s="25"/>
    </row>
    <row r="34" spans="20:20" x14ac:dyDescent="0.3">
      <c r="T34" s="25"/>
    </row>
    <row r="35" spans="20:20" x14ac:dyDescent="0.3">
      <c r="T35" s="25"/>
    </row>
    <row r="36" spans="20:20" x14ac:dyDescent="0.3">
      <c r="T36" s="25"/>
    </row>
    <row r="37" spans="20:20" x14ac:dyDescent="0.3">
      <c r="T37" s="25"/>
    </row>
    <row r="38" spans="20:20" x14ac:dyDescent="0.3">
      <c r="T38" s="25"/>
    </row>
    <row r="39" spans="20:20" x14ac:dyDescent="0.3">
      <c r="T39" s="25"/>
    </row>
    <row r="40" spans="20:20" x14ac:dyDescent="0.3">
      <c r="T40" s="25"/>
    </row>
    <row r="41" spans="20:20" x14ac:dyDescent="0.3">
      <c r="T41" s="25"/>
    </row>
    <row r="42" spans="20:20" x14ac:dyDescent="0.3">
      <c r="T42" s="25"/>
    </row>
    <row r="43" spans="20:20" x14ac:dyDescent="0.3">
      <c r="T43" s="25"/>
    </row>
    <row r="44" spans="20:20" x14ac:dyDescent="0.3">
      <c r="T44" s="25"/>
    </row>
    <row r="45" spans="20:20" x14ac:dyDescent="0.3">
      <c r="T45" s="25"/>
    </row>
    <row r="46" spans="20:20" x14ac:dyDescent="0.3">
      <c r="T46" s="25"/>
    </row>
    <row r="47" spans="20:20" x14ac:dyDescent="0.3">
      <c r="T47" s="25"/>
    </row>
  </sheetData>
  <mergeCells count="2">
    <mergeCell ref="E11:F11"/>
    <mergeCell ref="C7:N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B1277-AD63-47D2-9745-3D49C4F6A6D1}">
  <dimension ref="A1:Q29"/>
  <sheetViews>
    <sheetView workbookViewId="0">
      <selection activeCell="F33" sqref="F33"/>
    </sheetView>
  </sheetViews>
  <sheetFormatPr defaultRowHeight="14.4" x14ac:dyDescent="0.3"/>
  <sheetData>
    <row r="1" spans="1:17" ht="15" thickBot="1" x14ac:dyDescent="0.35">
      <c r="A1" s="2"/>
      <c r="B1" s="10" t="s">
        <v>31</v>
      </c>
      <c r="C1" s="11"/>
      <c r="D1" s="11"/>
      <c r="E1" s="11"/>
      <c r="F1" s="11"/>
      <c r="G1" s="11"/>
      <c r="H1" s="11"/>
      <c r="I1" s="11"/>
      <c r="J1" s="10" t="s">
        <v>32</v>
      </c>
      <c r="K1" s="11"/>
      <c r="L1" s="11"/>
      <c r="M1" s="11"/>
      <c r="N1" s="12"/>
      <c r="O1" s="26" t="s">
        <v>33</v>
      </c>
      <c r="P1" s="3"/>
      <c r="Q1" s="18"/>
    </row>
    <row r="2" spans="1:17" ht="15" thickBot="1" x14ac:dyDescent="0.35">
      <c r="A2" s="14" t="s">
        <v>34</v>
      </c>
      <c r="B2" s="14" t="s">
        <v>35</v>
      </c>
      <c r="C2" s="15" t="s">
        <v>2</v>
      </c>
      <c r="D2" s="11" t="s">
        <v>6</v>
      </c>
      <c r="E2" s="11" t="s">
        <v>4</v>
      </c>
      <c r="F2" s="15" t="s">
        <v>57</v>
      </c>
      <c r="G2" s="15" t="s">
        <v>58</v>
      </c>
      <c r="H2" s="15" t="s">
        <v>59</v>
      </c>
      <c r="I2" s="12" t="s">
        <v>60</v>
      </c>
      <c r="J2" s="10" t="s">
        <v>42</v>
      </c>
      <c r="K2" s="11" t="s">
        <v>43</v>
      </c>
      <c r="L2" s="11" t="s">
        <v>44</v>
      </c>
      <c r="M2" s="15" t="s">
        <v>40</v>
      </c>
      <c r="N2" s="23" t="s">
        <v>39</v>
      </c>
      <c r="O2" s="10" t="s">
        <v>45</v>
      </c>
      <c r="P2" s="11" t="s">
        <v>46</v>
      </c>
      <c r="Q2" s="12" t="s">
        <v>0</v>
      </c>
    </row>
    <row r="3" spans="1:17" x14ac:dyDescent="0.3">
      <c r="A3" s="5">
        <v>1</v>
      </c>
      <c r="B3" s="13" t="s">
        <v>37</v>
      </c>
      <c r="C3" s="3">
        <v>0.09</v>
      </c>
      <c r="D3" s="30">
        <v>4.1599999999999996E-3</v>
      </c>
      <c r="E3" s="30" t="s">
        <v>5</v>
      </c>
      <c r="F3" s="30">
        <v>1.141</v>
      </c>
      <c r="G3" s="40">
        <v>420.54539379836001</v>
      </c>
      <c r="H3" s="30">
        <v>7.54</v>
      </c>
      <c r="I3" s="37">
        <v>28.1766625225826</v>
      </c>
      <c r="J3" s="13">
        <v>48</v>
      </c>
      <c r="K3" s="24">
        <v>2.14001173600444E-2</v>
      </c>
      <c r="L3" s="3">
        <v>1</v>
      </c>
      <c r="M3" s="30" t="s">
        <v>5</v>
      </c>
      <c r="N3" s="27" t="s">
        <v>5</v>
      </c>
      <c r="O3" s="5">
        <v>31.1</v>
      </c>
      <c r="P3" s="36">
        <v>2.8326676038802599E-2</v>
      </c>
      <c r="Q3" s="31">
        <v>0.98667169232307095</v>
      </c>
    </row>
    <row r="4" spans="1:17" x14ac:dyDescent="0.3">
      <c r="A4" s="5">
        <v>2</v>
      </c>
      <c r="B4" s="5" t="s">
        <v>37</v>
      </c>
      <c r="C4">
        <v>0.09</v>
      </c>
      <c r="D4" s="27">
        <v>4.1599999999999996E-3</v>
      </c>
      <c r="E4" s="27" t="s">
        <v>5</v>
      </c>
      <c r="F4" s="27">
        <v>1.141</v>
      </c>
      <c r="G4" s="41">
        <v>430.76406513315999</v>
      </c>
      <c r="H4" s="27">
        <v>7.54</v>
      </c>
      <c r="I4" s="38">
        <v>27.932427637131301</v>
      </c>
      <c r="J4" s="5">
        <v>44</v>
      </c>
      <c r="K4" s="21">
        <v>1.7333093330986701E-2</v>
      </c>
      <c r="L4">
        <v>1</v>
      </c>
      <c r="M4" s="27" t="s">
        <v>5</v>
      </c>
      <c r="N4" s="27" t="s">
        <v>5</v>
      </c>
      <c r="O4" s="5">
        <v>28.1</v>
      </c>
      <c r="P4" s="36">
        <v>2.3814091169421601E-2</v>
      </c>
      <c r="Q4" s="31">
        <v>0.99180835422476998</v>
      </c>
    </row>
    <row r="5" spans="1:17" x14ac:dyDescent="0.3">
      <c r="A5" s="5">
        <v>3</v>
      </c>
      <c r="B5" s="5" t="s">
        <v>37</v>
      </c>
      <c r="C5">
        <v>0.09</v>
      </c>
      <c r="D5" s="27">
        <v>4.1599999999999996E-3</v>
      </c>
      <c r="E5" s="27" t="s">
        <v>5</v>
      </c>
      <c r="F5" s="27">
        <v>1.141</v>
      </c>
      <c r="G5" s="41">
        <v>440.80419732672999</v>
      </c>
      <c r="H5" s="27">
        <v>7.54</v>
      </c>
      <c r="I5" s="38">
        <v>27.6894556207187</v>
      </c>
      <c r="J5" s="5">
        <v>40</v>
      </c>
      <c r="K5" s="21">
        <v>1.39706031498519E-2</v>
      </c>
      <c r="L5">
        <v>1</v>
      </c>
      <c r="M5" s="27" t="s">
        <v>5</v>
      </c>
      <c r="N5" s="27" t="s">
        <v>5</v>
      </c>
      <c r="O5" s="5">
        <v>25.3</v>
      </c>
      <c r="P5" s="36">
        <v>1.9936164685689199E-2</v>
      </c>
      <c r="Q5" s="31">
        <v>0.98583894433358599</v>
      </c>
    </row>
    <row r="6" spans="1:17" x14ac:dyDescent="0.3">
      <c r="A6" s="5">
        <v>4</v>
      </c>
      <c r="B6" s="5" t="s">
        <v>37</v>
      </c>
      <c r="C6">
        <v>0.09</v>
      </c>
      <c r="D6" s="27">
        <v>4.1599999999999996E-3</v>
      </c>
      <c r="E6" s="27" t="s">
        <v>5</v>
      </c>
      <c r="F6" s="27">
        <v>1.141</v>
      </c>
      <c r="G6" s="41">
        <v>450.93796173662298</v>
      </c>
      <c r="H6" s="27">
        <v>7.54</v>
      </c>
      <c r="I6" s="38">
        <v>27.441478512152901</v>
      </c>
      <c r="J6" s="5">
        <v>36</v>
      </c>
      <c r="K6" s="21">
        <v>1.1201063217696801E-2</v>
      </c>
      <c r="L6">
        <v>1</v>
      </c>
      <c r="M6" s="27" t="s">
        <v>5</v>
      </c>
      <c r="N6" s="27" t="s">
        <v>5</v>
      </c>
      <c r="O6" s="5">
        <v>22.5</v>
      </c>
      <c r="P6" s="36">
        <v>1.6661748685423399E-2</v>
      </c>
      <c r="Q6" s="31">
        <v>0.98028043134102105</v>
      </c>
    </row>
    <row r="7" spans="1:17" x14ac:dyDescent="0.3">
      <c r="A7" s="5">
        <v>5</v>
      </c>
      <c r="B7" s="5" t="s">
        <v>37</v>
      </c>
      <c r="C7">
        <v>0.09</v>
      </c>
      <c r="D7" s="27">
        <v>4.1599999999999996E-3</v>
      </c>
      <c r="E7" s="27" t="s">
        <v>5</v>
      </c>
      <c r="F7" s="27">
        <v>1.141</v>
      </c>
      <c r="G7" s="41">
        <v>461.06327107668699</v>
      </c>
      <c r="H7" s="27">
        <v>7.54</v>
      </c>
      <c r="I7" s="38">
        <v>27.193147001606199</v>
      </c>
      <c r="J7" s="5">
        <v>32</v>
      </c>
      <c r="K7" s="21">
        <v>8.9296995469905806E-3</v>
      </c>
      <c r="L7">
        <v>1</v>
      </c>
      <c r="M7" s="27" t="s">
        <v>5</v>
      </c>
      <c r="N7" s="27" t="s">
        <v>5</v>
      </c>
      <c r="O7" s="5">
        <v>19.8</v>
      </c>
      <c r="P7" s="36">
        <v>1.3852483711956499E-2</v>
      </c>
      <c r="Q7" s="31">
        <v>0.96686131105070305</v>
      </c>
    </row>
    <row r="8" spans="1:17" x14ac:dyDescent="0.3">
      <c r="A8" s="5">
        <v>6</v>
      </c>
      <c r="B8" s="5" t="s">
        <v>37</v>
      </c>
      <c r="C8">
        <v>0.09</v>
      </c>
      <c r="D8" s="27">
        <v>4.1599999999999996E-3</v>
      </c>
      <c r="E8" s="27" t="s">
        <v>5</v>
      </c>
      <c r="F8" s="27">
        <v>1.141</v>
      </c>
      <c r="G8" s="41">
        <v>471.48213924125599</v>
      </c>
      <c r="H8" s="27">
        <v>7.54</v>
      </c>
      <c r="I8" s="38">
        <v>26.937615161892001</v>
      </c>
      <c r="J8" s="5">
        <v>28</v>
      </c>
      <c r="K8" s="21">
        <v>7.0758348734522901E-3</v>
      </c>
      <c r="L8">
        <v>1</v>
      </c>
      <c r="M8" s="27" t="s">
        <v>5</v>
      </c>
      <c r="N8" s="27" t="s">
        <v>5</v>
      </c>
      <c r="O8" s="5">
        <v>17</v>
      </c>
      <c r="P8" s="36">
        <v>1.1507447421712599E-2</v>
      </c>
      <c r="Q8" s="31">
        <v>0.95999355653656804</v>
      </c>
    </row>
    <row r="9" spans="1:17" x14ac:dyDescent="0.3">
      <c r="A9" s="5">
        <v>7</v>
      </c>
      <c r="B9" s="5" t="s">
        <v>37</v>
      </c>
      <c r="C9">
        <v>0.09</v>
      </c>
      <c r="D9" s="27">
        <v>4.1599999999999996E-3</v>
      </c>
      <c r="E9" s="27" t="s">
        <v>5</v>
      </c>
      <c r="F9" s="27">
        <v>1.141</v>
      </c>
      <c r="G9" s="41">
        <v>482.24201934338703</v>
      </c>
      <c r="H9" s="27">
        <v>7.54</v>
      </c>
      <c r="I9" s="38">
        <v>26.675376191242499</v>
      </c>
      <c r="J9" s="5">
        <v>24</v>
      </c>
      <c r="K9" s="21">
        <v>5.5707216394233804E-3</v>
      </c>
      <c r="L9">
        <v>1</v>
      </c>
      <c r="M9" s="27" t="s">
        <v>5</v>
      </c>
      <c r="N9" s="27" t="s">
        <v>5</v>
      </c>
      <c r="O9" s="5">
        <v>14.1</v>
      </c>
      <c r="P9" s="36">
        <v>9.5558944571846396E-3</v>
      </c>
      <c r="Q9" s="31">
        <v>0.96099834990840804</v>
      </c>
    </row>
    <row r="10" spans="1:17" x14ac:dyDescent="0.3">
      <c r="A10" s="5">
        <v>8</v>
      </c>
      <c r="B10" s="5" t="s">
        <v>37</v>
      </c>
      <c r="C10">
        <v>0.09</v>
      </c>
      <c r="D10" s="27">
        <v>4.1599999999999996E-3</v>
      </c>
      <c r="E10" s="27" t="s">
        <v>5</v>
      </c>
      <c r="F10" s="27">
        <v>1.141</v>
      </c>
      <c r="G10" s="41">
        <v>493.390774949042</v>
      </c>
      <c r="H10" s="27">
        <v>7.54</v>
      </c>
      <c r="I10" s="38">
        <v>26.406819534066599</v>
      </c>
      <c r="J10" s="5">
        <v>20</v>
      </c>
      <c r="K10" s="21">
        <v>4.3557860833047697E-3</v>
      </c>
      <c r="L10">
        <v>1</v>
      </c>
      <c r="M10" s="27" t="s">
        <v>5</v>
      </c>
      <c r="N10" s="27" t="s">
        <v>5</v>
      </c>
      <c r="O10" s="5">
        <v>11.1</v>
      </c>
      <c r="P10" s="36">
        <v>7.9376950881940508E-3</v>
      </c>
      <c r="Q10" s="31">
        <v>0.971669996587183</v>
      </c>
    </row>
    <row r="11" spans="1:17" x14ac:dyDescent="0.3">
      <c r="A11" s="5">
        <v>9</v>
      </c>
      <c r="B11" s="5" t="s">
        <v>37</v>
      </c>
      <c r="C11">
        <v>0.09</v>
      </c>
      <c r="D11" s="27">
        <v>4.1599999999999996E-3</v>
      </c>
      <c r="E11" s="27" t="s">
        <v>5</v>
      </c>
      <c r="F11" s="27">
        <v>1.141</v>
      </c>
      <c r="G11" s="41">
        <v>429.886481107463</v>
      </c>
      <c r="H11" s="27">
        <v>7.54</v>
      </c>
      <c r="I11" s="38">
        <v>27.8551082391884</v>
      </c>
      <c r="J11" s="5">
        <v>40</v>
      </c>
      <c r="K11" s="21">
        <v>2.3638326669956501E-2</v>
      </c>
      <c r="L11">
        <v>1</v>
      </c>
      <c r="M11" s="27" t="s">
        <v>5</v>
      </c>
      <c r="N11" s="27" t="s">
        <v>5</v>
      </c>
      <c r="O11" s="5">
        <v>30.5</v>
      </c>
      <c r="P11" s="36">
        <v>2.7549374039376202E-2</v>
      </c>
      <c r="Q11" s="31">
        <v>0.97999398091719903</v>
      </c>
    </row>
    <row r="12" spans="1:17" x14ac:dyDescent="0.3">
      <c r="A12" s="5">
        <v>10</v>
      </c>
      <c r="B12" s="5" t="s">
        <v>37</v>
      </c>
      <c r="C12">
        <v>0.09</v>
      </c>
      <c r="D12" s="27">
        <v>4.1599999999999996E-3</v>
      </c>
      <c r="E12" s="27" t="s">
        <v>5</v>
      </c>
      <c r="F12" s="27">
        <v>1.141</v>
      </c>
      <c r="G12" s="41">
        <v>441.29871964299502</v>
      </c>
      <c r="H12" s="27">
        <v>7.54</v>
      </c>
      <c r="I12" s="38">
        <v>27.595240258385399</v>
      </c>
      <c r="J12" s="5">
        <v>36</v>
      </c>
      <c r="K12" s="21">
        <v>1.88953049574828E-2</v>
      </c>
      <c r="L12">
        <v>1</v>
      </c>
      <c r="M12" s="27" t="s">
        <v>5</v>
      </c>
      <c r="N12" s="27" t="s">
        <v>5</v>
      </c>
      <c r="O12" s="5">
        <v>27.1</v>
      </c>
      <c r="P12" s="36">
        <v>2.2535591060069401E-2</v>
      </c>
      <c r="Q12" s="31">
        <v>0.98565586239927305</v>
      </c>
    </row>
    <row r="13" spans="1:17" x14ac:dyDescent="0.3">
      <c r="A13" s="5">
        <v>11</v>
      </c>
      <c r="B13" s="5" t="s">
        <v>37</v>
      </c>
      <c r="C13">
        <v>0.09</v>
      </c>
      <c r="D13" s="27">
        <v>4.1599999999999996E-3</v>
      </c>
      <c r="E13" s="27" t="s">
        <v>5</v>
      </c>
      <c r="F13" s="27">
        <v>1.141</v>
      </c>
      <c r="G13" s="41">
        <v>452.64781291747499</v>
      </c>
      <c r="H13" s="27">
        <v>7.54</v>
      </c>
      <c r="I13" s="38">
        <v>27.332085495354701</v>
      </c>
      <c r="J13" s="5">
        <v>32</v>
      </c>
      <c r="K13" s="21">
        <v>1.50266648056126E-2</v>
      </c>
      <c r="L13">
        <v>1</v>
      </c>
      <c r="M13" s="27" t="s">
        <v>5</v>
      </c>
      <c r="N13" s="27" t="s">
        <v>5</v>
      </c>
      <c r="O13" s="5">
        <v>23.8</v>
      </c>
      <c r="P13" s="36">
        <v>1.83641665415878E-2</v>
      </c>
      <c r="Q13" s="31">
        <v>0.98242784490975399</v>
      </c>
    </row>
    <row r="14" spans="1:17" x14ac:dyDescent="0.3">
      <c r="A14" s="5">
        <v>12</v>
      </c>
      <c r="B14" s="5" t="s">
        <v>37</v>
      </c>
      <c r="C14">
        <v>0.09</v>
      </c>
      <c r="D14" s="27">
        <v>4.1599999999999996E-3</v>
      </c>
      <c r="E14" s="27" t="s">
        <v>5</v>
      </c>
      <c r="F14" s="27">
        <v>1.141</v>
      </c>
      <c r="G14" s="41">
        <v>463.96696522156498</v>
      </c>
      <c r="H14" s="27">
        <v>7.54</v>
      </c>
      <c r="I14" s="38">
        <v>27.067059617081899</v>
      </c>
      <c r="J14" s="5">
        <v>28</v>
      </c>
      <c r="K14" s="21">
        <v>1.18831877148448E-2</v>
      </c>
      <c r="L14">
        <v>1</v>
      </c>
      <c r="M14" s="27" t="s">
        <v>5</v>
      </c>
      <c r="N14" s="27" t="s">
        <v>5</v>
      </c>
      <c r="O14" s="5">
        <v>20.6</v>
      </c>
      <c r="P14" s="36">
        <v>1.48839048093008E-2</v>
      </c>
      <c r="Q14" s="31">
        <v>0.96755776562127305</v>
      </c>
    </row>
    <row r="15" spans="1:17" x14ac:dyDescent="0.3">
      <c r="A15" s="5">
        <v>13</v>
      </c>
      <c r="B15" s="5" t="s">
        <v>37</v>
      </c>
      <c r="C15">
        <v>0.09</v>
      </c>
      <c r="D15" s="27">
        <v>4.1599999999999996E-3</v>
      </c>
      <c r="E15" s="27" t="s">
        <v>5</v>
      </c>
      <c r="F15" s="27">
        <v>1.141</v>
      </c>
      <c r="G15" s="41">
        <v>475.57383358552102</v>
      </c>
      <c r="H15" s="27">
        <v>7.54</v>
      </c>
      <c r="I15" s="38">
        <v>26.7936908394033</v>
      </c>
      <c r="J15" s="5">
        <v>24</v>
      </c>
      <c r="K15" s="21">
        <v>9.3403097710552802E-3</v>
      </c>
      <c r="L15">
        <v>1</v>
      </c>
      <c r="M15" s="27" t="s">
        <v>5</v>
      </c>
      <c r="N15" s="27" t="s">
        <v>5</v>
      </c>
      <c r="O15" s="5">
        <v>17.3</v>
      </c>
      <c r="P15" s="36">
        <v>1.20504097497142E-2</v>
      </c>
      <c r="Q15" s="31">
        <v>0.96565190334421802</v>
      </c>
    </row>
    <row r="16" spans="1:17" x14ac:dyDescent="0.3">
      <c r="A16" s="5">
        <v>14</v>
      </c>
      <c r="B16" s="5" t="s">
        <v>37</v>
      </c>
      <c r="C16">
        <v>0.09</v>
      </c>
      <c r="D16" s="27">
        <v>4.1599999999999996E-3</v>
      </c>
      <c r="E16" s="27" t="s">
        <v>5</v>
      </c>
      <c r="F16" s="27">
        <v>1.141</v>
      </c>
      <c r="G16" s="41">
        <v>487.38055738559098</v>
      </c>
      <c r="H16" s="27">
        <v>7.54</v>
      </c>
      <c r="I16" s="38">
        <v>26.516565443830299</v>
      </c>
      <c r="J16" s="5">
        <v>20</v>
      </c>
      <c r="K16" s="21">
        <v>7.2936977019925501E-3</v>
      </c>
      <c r="L16">
        <v>1</v>
      </c>
      <c r="M16" s="27" t="s">
        <v>5</v>
      </c>
      <c r="N16" s="27" t="s">
        <v>5</v>
      </c>
      <c r="O16" s="5">
        <v>14</v>
      </c>
      <c r="P16" s="36">
        <v>9.7169167367622492E-3</v>
      </c>
      <c r="Q16" s="31">
        <v>0.96408290778261296</v>
      </c>
    </row>
    <row r="17" spans="1:17" x14ac:dyDescent="0.3">
      <c r="A17" s="5">
        <f>A16+1</f>
        <v>15</v>
      </c>
      <c r="B17" s="5" t="s">
        <v>37</v>
      </c>
      <c r="C17">
        <v>0.09</v>
      </c>
      <c r="D17" s="27">
        <v>4.1599999999999996E-3</v>
      </c>
      <c r="E17" s="27" t="s">
        <v>5</v>
      </c>
      <c r="F17" s="27">
        <v>1.141</v>
      </c>
      <c r="G17" s="41">
        <v>444.944504864181</v>
      </c>
      <c r="H17" s="27">
        <v>7.54</v>
      </c>
      <c r="I17" s="38">
        <v>27.452817797455001</v>
      </c>
      <c r="J17" s="5">
        <v>32</v>
      </c>
      <c r="K17" s="21">
        <v>2.1242625935325301E-2</v>
      </c>
      <c r="L17">
        <v>1</v>
      </c>
      <c r="M17" s="27" t="s">
        <v>5</v>
      </c>
      <c r="N17" s="27" t="s">
        <v>5</v>
      </c>
      <c r="O17" s="5">
        <v>27.4</v>
      </c>
      <c r="P17" s="36">
        <v>2.31319898117286E-2</v>
      </c>
      <c r="Q17" s="31">
        <v>0.983534385347416</v>
      </c>
    </row>
    <row r="18" spans="1:17" x14ac:dyDescent="0.3">
      <c r="A18" s="5">
        <f>A17+1</f>
        <v>16</v>
      </c>
      <c r="B18" s="5" t="s">
        <v>37</v>
      </c>
      <c r="C18">
        <v>0.09</v>
      </c>
      <c r="D18" s="27">
        <v>4.1599999999999996E-3</v>
      </c>
      <c r="E18" s="27" t="s">
        <v>5</v>
      </c>
      <c r="F18" s="27">
        <v>1.141</v>
      </c>
      <c r="G18" s="41">
        <v>457.14985801569497</v>
      </c>
      <c r="H18" s="27">
        <v>7.54</v>
      </c>
      <c r="I18" s="38">
        <v>27.179087711829698</v>
      </c>
      <c r="J18" s="5">
        <v>28</v>
      </c>
      <c r="K18" s="21">
        <v>1.6764587791700401E-2</v>
      </c>
      <c r="L18">
        <v>1</v>
      </c>
      <c r="M18" s="27" t="s">
        <v>5</v>
      </c>
      <c r="N18" s="27" t="s">
        <v>5</v>
      </c>
      <c r="O18" s="5">
        <v>23.8</v>
      </c>
      <c r="P18" s="36">
        <v>1.84795683314431E-2</v>
      </c>
      <c r="Q18" s="31">
        <v>0.97328479455886396</v>
      </c>
    </row>
    <row r="19" spans="1:17" x14ac:dyDescent="0.3">
      <c r="A19" s="5">
        <f>A18+1</f>
        <v>17</v>
      </c>
      <c r="B19" s="5" t="s">
        <v>37</v>
      </c>
      <c r="C19">
        <v>0.09</v>
      </c>
      <c r="D19" s="27">
        <v>4.1599999999999996E-3</v>
      </c>
      <c r="E19" s="27" t="s">
        <v>5</v>
      </c>
      <c r="F19" s="27">
        <v>1.141</v>
      </c>
      <c r="G19" s="41">
        <v>469.45388772080202</v>
      </c>
      <c r="H19" s="27">
        <v>7.54</v>
      </c>
      <c r="I19" s="38">
        <v>26.898937731392799</v>
      </c>
      <c r="J19" s="5">
        <v>24</v>
      </c>
      <c r="K19" s="21">
        <v>1.3155460653039601E-2</v>
      </c>
      <c r="L19">
        <v>1</v>
      </c>
      <c r="M19" s="27" t="s">
        <v>5</v>
      </c>
      <c r="N19" s="27" t="s">
        <v>5</v>
      </c>
      <c r="O19" s="5">
        <v>20.2</v>
      </c>
      <c r="P19" s="36">
        <v>1.47004976045653E-2</v>
      </c>
      <c r="Q19" s="31">
        <v>0.96371288050256998</v>
      </c>
    </row>
    <row r="20" spans="1:17" x14ac:dyDescent="0.3">
      <c r="A20" s="5">
        <f>A19+1</f>
        <v>18</v>
      </c>
      <c r="B20" s="5" t="s">
        <v>37</v>
      </c>
      <c r="C20">
        <v>0.09</v>
      </c>
      <c r="D20" s="27">
        <v>4.1599999999999996E-3</v>
      </c>
      <c r="E20" s="27" t="s">
        <v>5</v>
      </c>
      <c r="F20" s="27">
        <v>1.141</v>
      </c>
      <c r="G20" s="41">
        <v>481.91382750999901</v>
      </c>
      <c r="H20" s="27">
        <v>7.54</v>
      </c>
      <c r="I20" s="38">
        <v>26.6136296139256</v>
      </c>
      <c r="J20" s="5">
        <v>20</v>
      </c>
      <c r="K20" s="21">
        <v>1.0259302098138801E-2</v>
      </c>
      <c r="L20">
        <v>1</v>
      </c>
      <c r="M20" s="27" t="s">
        <v>5</v>
      </c>
      <c r="N20" s="27" t="s">
        <v>5</v>
      </c>
      <c r="O20" s="5">
        <v>16.600000000000001</v>
      </c>
      <c r="P20" s="36">
        <v>1.16375902856104E-2</v>
      </c>
      <c r="Q20" s="31">
        <v>0.954281289178325</v>
      </c>
    </row>
    <row r="21" spans="1:17" x14ac:dyDescent="0.3">
      <c r="A21" s="5">
        <f>A20+1</f>
        <v>19</v>
      </c>
      <c r="B21" s="5" t="s">
        <v>38</v>
      </c>
      <c r="C21">
        <v>0.09</v>
      </c>
      <c r="D21" s="27">
        <v>4.1599999999999996E-3</v>
      </c>
      <c r="E21" s="27" t="s">
        <v>5</v>
      </c>
      <c r="F21" s="27">
        <v>1.141</v>
      </c>
      <c r="G21" s="41">
        <v>451.37858919193201</v>
      </c>
      <c r="H21" s="27">
        <v>7.54</v>
      </c>
      <c r="I21" s="38">
        <v>27.393497195622999</v>
      </c>
      <c r="J21" s="5">
        <v>34</v>
      </c>
      <c r="K21" s="21">
        <v>1.34165731737977E-2</v>
      </c>
      <c r="L21">
        <v>1</v>
      </c>
      <c r="M21" s="27" t="s">
        <v>5</v>
      </c>
      <c r="N21" s="27" t="s">
        <v>5</v>
      </c>
      <c r="O21" s="5">
        <v>23.35</v>
      </c>
      <c r="P21">
        <v>1.7899999999999999E-2</v>
      </c>
      <c r="Q21" s="31">
        <v>0.98191662376273403</v>
      </c>
    </row>
    <row r="22" spans="1:17" x14ac:dyDescent="0.3">
      <c r="A22" s="5">
        <f>A21+1</f>
        <v>20</v>
      </c>
      <c r="B22" s="5" t="s">
        <v>38</v>
      </c>
      <c r="C22">
        <v>0.09</v>
      </c>
      <c r="D22" s="27">
        <v>4.1599999999999996E-3</v>
      </c>
      <c r="E22" s="27" t="s">
        <v>5</v>
      </c>
      <c r="F22" s="27">
        <v>1.141</v>
      </c>
      <c r="G22" s="41">
        <v>900.83055948920196</v>
      </c>
      <c r="H22" s="27">
        <v>7.54</v>
      </c>
      <c r="I22" s="38">
        <v>27.4208620229745</v>
      </c>
      <c r="J22" s="5">
        <v>34</v>
      </c>
      <c r="K22" s="21">
        <v>1.34165731737977E-2</v>
      </c>
      <c r="L22">
        <v>2</v>
      </c>
      <c r="M22" s="27" t="s">
        <v>5</v>
      </c>
      <c r="N22" s="27" t="s">
        <v>5</v>
      </c>
      <c r="O22" s="5">
        <v>24.08</v>
      </c>
      <c r="P22">
        <v>1.77E-2</v>
      </c>
      <c r="Q22" s="31">
        <v>0.91461154063158001</v>
      </c>
    </row>
    <row r="23" spans="1:17" x14ac:dyDescent="0.3">
      <c r="A23" s="5">
        <f>A22+1</f>
        <v>21</v>
      </c>
      <c r="B23" s="5" t="s">
        <v>38</v>
      </c>
      <c r="C23">
        <v>0.09</v>
      </c>
      <c r="D23" s="27">
        <v>4.1599999999999996E-3</v>
      </c>
      <c r="E23" s="27" t="s">
        <v>5</v>
      </c>
      <c r="F23" s="27">
        <v>1.141</v>
      </c>
      <c r="G23" s="41">
        <v>1348.28711831839</v>
      </c>
      <c r="H23" s="27">
        <v>7.54</v>
      </c>
      <c r="I23" s="38">
        <v>27.448964716975201</v>
      </c>
      <c r="J23" s="5">
        <v>34</v>
      </c>
      <c r="K23" s="21">
        <v>1.34165731737977E-2</v>
      </c>
      <c r="L23">
        <v>3</v>
      </c>
      <c r="M23" s="27" t="s">
        <v>5</v>
      </c>
      <c r="N23" s="27" t="s">
        <v>5</v>
      </c>
      <c r="O23" s="5">
        <v>24.83</v>
      </c>
      <c r="P23">
        <v>1.7399999999999999E-2</v>
      </c>
      <c r="Q23" s="31">
        <v>0.84546248262012003</v>
      </c>
    </row>
    <row r="24" spans="1:17" x14ac:dyDescent="0.3">
      <c r="A24" s="5">
        <f>A23+1</f>
        <v>22</v>
      </c>
      <c r="B24" s="5" t="s">
        <v>38</v>
      </c>
      <c r="C24">
        <v>0.09</v>
      </c>
      <c r="D24" s="27">
        <v>4.1599999999999996E-3</v>
      </c>
      <c r="E24" s="27" t="s">
        <v>5</v>
      </c>
      <c r="F24" s="27">
        <v>1.141</v>
      </c>
      <c r="G24" s="41">
        <v>948.43943441374097</v>
      </c>
      <c r="H24" s="27">
        <v>7.54</v>
      </c>
      <c r="I24" s="38">
        <v>26.933068400780499</v>
      </c>
      <c r="J24" s="5">
        <v>30</v>
      </c>
      <c r="K24" s="21">
        <v>2.6292909073648901E-3</v>
      </c>
      <c r="L24">
        <v>2</v>
      </c>
      <c r="M24" s="27" t="s">
        <v>5</v>
      </c>
      <c r="N24" s="27" t="s">
        <v>5</v>
      </c>
      <c r="O24" s="5">
        <v>14.72</v>
      </c>
      <c r="P24">
        <v>9.1000000000000004E-3</v>
      </c>
      <c r="Q24" s="31">
        <v>0.91024228723616796</v>
      </c>
    </row>
    <row r="25" spans="1:17" x14ac:dyDescent="0.3">
      <c r="A25" s="5">
        <f>A24+1</f>
        <v>23</v>
      </c>
      <c r="B25" s="5" t="s">
        <v>38</v>
      </c>
      <c r="C25">
        <v>0.09</v>
      </c>
      <c r="D25" s="27">
        <v>4.1599999999999996E-3</v>
      </c>
      <c r="E25" s="27" t="s">
        <v>5</v>
      </c>
      <c r="F25" s="27">
        <v>1.141</v>
      </c>
      <c r="G25" s="41">
        <v>922.76997765062094</v>
      </c>
      <c r="H25" s="27">
        <v>7.54</v>
      </c>
      <c r="I25" s="38">
        <v>27.157165165217901</v>
      </c>
      <c r="J25" s="5">
        <v>30</v>
      </c>
      <c r="K25" s="21">
        <v>1.06522618872949E-2</v>
      </c>
      <c r="L25">
        <v>2</v>
      </c>
      <c r="M25" s="27" t="s">
        <v>5</v>
      </c>
      <c r="N25" s="27" t="s">
        <v>5</v>
      </c>
      <c r="O25" s="5">
        <v>20.93</v>
      </c>
      <c r="P25">
        <v>1.4500000000000001E-2</v>
      </c>
      <c r="Q25" s="31">
        <v>0.91226108976507703</v>
      </c>
    </row>
    <row r="26" spans="1:17" x14ac:dyDescent="0.3">
      <c r="A26" s="5">
        <f>A25+1</f>
        <v>24</v>
      </c>
      <c r="B26" s="5" t="s">
        <v>38</v>
      </c>
      <c r="C26">
        <v>0.09</v>
      </c>
      <c r="D26" s="27">
        <v>4.1599999999999996E-3</v>
      </c>
      <c r="E26" s="27" t="s">
        <v>5</v>
      </c>
      <c r="F26" s="27">
        <v>1.141</v>
      </c>
      <c r="G26" s="41">
        <v>901.31138570642997</v>
      </c>
      <c r="H26" s="27">
        <v>7.54</v>
      </c>
      <c r="I26" s="38">
        <v>27.3276339430038</v>
      </c>
      <c r="J26" s="5">
        <v>30</v>
      </c>
      <c r="K26" s="21">
        <v>1.8884033209594999E-2</v>
      </c>
      <c r="L26">
        <v>2</v>
      </c>
      <c r="M26" s="27" t="s">
        <v>5</v>
      </c>
      <c r="N26" s="27" t="s">
        <v>5</v>
      </c>
      <c r="O26" s="5">
        <v>25.89</v>
      </c>
      <c r="P26">
        <v>2.07E-2</v>
      </c>
      <c r="Q26" s="31">
        <v>0.91382800471092995</v>
      </c>
    </row>
    <row r="27" spans="1:17" x14ac:dyDescent="0.3">
      <c r="A27" s="5">
        <f>A26+1</f>
        <v>25</v>
      </c>
      <c r="B27" s="5" t="s">
        <v>38</v>
      </c>
      <c r="C27">
        <v>0.09</v>
      </c>
      <c r="D27" s="27">
        <v>4.1599999999999996E-3</v>
      </c>
      <c r="E27" s="27" t="s">
        <v>5</v>
      </c>
      <c r="F27" s="27">
        <v>1.141</v>
      </c>
      <c r="G27" s="41">
        <v>904.69472310826802</v>
      </c>
      <c r="H27" s="27">
        <v>7.54</v>
      </c>
      <c r="I27" s="38">
        <v>27.411201379192899</v>
      </c>
      <c r="J27" s="5">
        <v>35</v>
      </c>
      <c r="K27" s="21">
        <v>1.0589892305191299E-2</v>
      </c>
      <c r="L27">
        <v>2</v>
      </c>
      <c r="M27" s="27" t="s">
        <v>5</v>
      </c>
      <c r="N27" s="27" t="s">
        <v>5</v>
      </c>
      <c r="O27" s="5">
        <v>22.66</v>
      </c>
      <c r="P27">
        <v>1.5900000000000001E-2</v>
      </c>
      <c r="Q27" s="31">
        <v>0.91514168462635204</v>
      </c>
    </row>
    <row r="28" spans="1:17" x14ac:dyDescent="0.3">
      <c r="A28" s="5">
        <f>A27+1</f>
        <v>26</v>
      </c>
      <c r="B28" s="5" t="s">
        <v>38</v>
      </c>
      <c r="C28">
        <v>0.09</v>
      </c>
      <c r="D28" s="27">
        <v>4.1599999999999996E-3</v>
      </c>
      <c r="E28" s="27" t="s">
        <v>5</v>
      </c>
      <c r="F28" s="27">
        <v>1.141</v>
      </c>
      <c r="G28" s="41">
        <v>957.41870949699705</v>
      </c>
      <c r="H28" s="27">
        <v>7.54</v>
      </c>
      <c r="I28" s="38">
        <v>26.762833195219901</v>
      </c>
      <c r="J28" s="5">
        <v>25</v>
      </c>
      <c r="K28" s="21">
        <v>5.91766710490867E-3</v>
      </c>
      <c r="L28">
        <v>2</v>
      </c>
      <c r="M28" s="27" t="s">
        <v>5</v>
      </c>
      <c r="N28" s="27" t="s">
        <v>5</v>
      </c>
      <c r="O28" s="5">
        <v>15.39</v>
      </c>
      <c r="P28">
        <v>0.01</v>
      </c>
      <c r="Q28" s="31">
        <v>0.90745424778394101</v>
      </c>
    </row>
    <row r="29" spans="1:17" ht="15" thickBot="1" x14ac:dyDescent="0.35">
      <c r="A29" s="7">
        <f>A28+1</f>
        <v>27</v>
      </c>
      <c r="B29" s="7" t="s">
        <v>38</v>
      </c>
      <c r="C29" s="8">
        <v>0.09</v>
      </c>
      <c r="D29" s="32">
        <v>4.1599999999999996E-3</v>
      </c>
      <c r="E29" s="32" t="s">
        <v>5</v>
      </c>
      <c r="F29" s="32">
        <v>1.141</v>
      </c>
      <c r="G29" s="42">
        <v>1013.3426453107299</v>
      </c>
      <c r="H29" s="32">
        <v>7.54</v>
      </c>
      <c r="I29" s="39">
        <v>26.093809196061699</v>
      </c>
      <c r="J29" s="7">
        <v>15</v>
      </c>
      <c r="K29" s="22">
        <v>3.1699767325241899E-3</v>
      </c>
      <c r="L29" s="8">
        <v>2</v>
      </c>
      <c r="M29" s="32" t="s">
        <v>5</v>
      </c>
      <c r="N29" s="32" t="s">
        <v>5</v>
      </c>
      <c r="O29" s="7">
        <v>8.01</v>
      </c>
      <c r="P29" s="8">
        <v>6.1000000000000004E-3</v>
      </c>
      <c r="Q29" s="33">
        <v>0.89947684715924303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0A631236513B9418E5AF68A800ACA79" ma:contentTypeVersion="6" ma:contentTypeDescription="Crée un document." ma:contentTypeScope="" ma:versionID="ad3ecf216e08acb36b19aa337e871f12">
  <xsd:schema xmlns:xsd="http://www.w3.org/2001/XMLSchema" xmlns:xs="http://www.w3.org/2001/XMLSchema" xmlns:p="http://schemas.microsoft.com/office/2006/metadata/properties" xmlns:ns2="fbd837e5-054a-49eb-b52b-3e79ba6bda81" xmlns:ns3="16cc8f85-dc4c-4d27-a03f-db68d60dd571" targetNamespace="http://schemas.microsoft.com/office/2006/metadata/properties" ma:root="true" ma:fieldsID="d7cb4eca1a466029dd2fc18150b16dd5" ns2:_="" ns3:_="">
    <xsd:import namespace="fbd837e5-054a-49eb-b52b-3e79ba6bda81"/>
    <xsd:import namespace="16cc8f85-dc4c-4d27-a03f-db68d60dd57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d837e5-054a-49eb-b52b-3e79ba6bda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c8f85-dc4c-4d27-a03f-db68d60dd571"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912D4EC-DADE-4A96-BF02-5A15107DDA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d837e5-054a-49eb-b52b-3e79ba6bda81"/>
    <ds:schemaRef ds:uri="16cc8f85-dc4c-4d27-a03f-db68d60dd5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BF5B01B-DE67-44CC-B4C3-E4CCF84B6011}">
  <ds:schemaRefs>
    <ds:schemaRef ds:uri="http://schemas.microsoft.com/office/2006/metadata/properties"/>
    <ds:schemaRef ds:uri="http://schemas.microsoft.com/office/infopath/2007/PartnerControls"/>
    <ds:schemaRef ds:uri="http://purl.org/dc/dcmitype/"/>
    <ds:schemaRef ds:uri="http://purl.org/dc/terms/"/>
    <ds:schemaRef ds:uri="http://purl.org/dc/elements/1.1/"/>
    <ds:schemaRef ds:uri="http://schemas.openxmlformats.org/package/2006/metadata/core-properties"/>
    <ds:schemaRef ds:uri="http://schemas.microsoft.com/office/2006/documentManagement/types"/>
    <ds:schemaRef ds:uri="16cc8f85-dc4c-4d27-a03f-db68d60dd571"/>
    <ds:schemaRef ds:uri="fbd837e5-054a-49eb-b52b-3e79ba6bda81"/>
    <ds:schemaRef ds:uri="http://www.w3.org/XML/1998/namespace"/>
  </ds:schemaRefs>
</ds:datastoreItem>
</file>

<file path=customXml/itemProps3.xml><?xml version="1.0" encoding="utf-8"?>
<ds:datastoreItem xmlns:ds="http://schemas.openxmlformats.org/officeDocument/2006/customXml" ds:itemID="{E2E9B0F2-0F1F-4FE4-8066-C13DC92A4B3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Characteristics</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Zeoli Alanis</dc:creator>
  <cp:keywords/>
  <dc:description/>
  <cp:lastModifiedBy>Zeoli Alanis</cp:lastModifiedBy>
  <cp:revision/>
  <dcterms:created xsi:type="dcterms:W3CDTF">2023-10-02T08:13:39Z</dcterms:created>
  <dcterms:modified xsi:type="dcterms:W3CDTF">2026-01-28T07:44:24Z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0x010100D0A631236513B9418E5AF68A800ACA79</vt:lpwstr>
  </property>
</Properties>
</file>