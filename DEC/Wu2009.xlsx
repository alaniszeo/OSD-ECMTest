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Z\alaniszeo_git\OSD-ECMTest\DEC\"/>
    </mc:Choice>
  </mc:AlternateContent>
  <xr:revisionPtr revIDLastSave="0" documentId="13_ncr:1_{64834D1B-CFA1-4F53-8AE2-A5E530CED58F}" xr6:coauthVersionLast="47" xr6:coauthVersionMax="47" xr10:uidLastSave="{00000000-0000-0000-0000-000000000000}"/>
  <bookViews>
    <workbookView xWindow="-23148" yWindow="-108" windowWidth="23256" windowHeight="12456" xr2:uid="{1306219A-737B-4B5D-BCFD-98C34D3C77CC}"/>
  </bookViews>
  <sheets>
    <sheet name="Wu2009" sheetId="2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24" l="1"/>
  <c r="B45" i="24" s="1"/>
  <c r="B46" i="24" s="1"/>
  <c r="B47" i="24" s="1"/>
  <c r="B48" i="24" s="1"/>
  <c r="B49" i="24" s="1"/>
  <c r="B50" i="24" s="1"/>
  <c r="B51" i="24" s="1"/>
  <c r="B52" i="24" s="1"/>
  <c r="B53" i="24" s="1"/>
  <c r="B54" i="24" s="1"/>
  <c r="B55" i="24" s="1"/>
  <c r="B56" i="24" s="1"/>
  <c r="B57" i="24" s="1"/>
  <c r="B58" i="24" s="1"/>
  <c r="B59" i="24" s="1"/>
  <c r="B60" i="24" s="1"/>
  <c r="B61" i="24" s="1"/>
  <c r="B62" i="24" s="1"/>
  <c r="B63" i="24" s="1"/>
  <c r="B64" i="24" s="1"/>
  <c r="B65" i="24" s="1"/>
  <c r="B66" i="24" s="1"/>
  <c r="B67" i="24" s="1"/>
  <c r="B68" i="24" s="1"/>
  <c r="B69" i="24" s="1"/>
  <c r="B70" i="24" s="1"/>
  <c r="B71" i="24" s="1"/>
  <c r="B72" i="24" s="1"/>
  <c r="B73" i="24" s="1"/>
  <c r="B74" i="24" s="1"/>
  <c r="B75" i="24" s="1"/>
  <c r="B76" i="24" s="1"/>
  <c r="B77" i="24" s="1"/>
  <c r="B78" i="24" s="1"/>
  <c r="B79" i="24" s="1"/>
  <c r="B80" i="24" s="1"/>
  <c r="B81" i="24" s="1"/>
  <c r="B82" i="24" s="1"/>
  <c r="B83" i="24" s="1"/>
  <c r="B84" i="24" s="1"/>
  <c r="B85" i="24" s="1"/>
  <c r="B86" i="24" s="1"/>
  <c r="B87" i="24" s="1"/>
  <c r="B88" i="24" s="1"/>
  <c r="B89" i="24" s="1"/>
  <c r="B90" i="24" s="1"/>
  <c r="B91" i="24" s="1"/>
  <c r="B92" i="24" s="1"/>
  <c r="B93" i="24" s="1"/>
  <c r="B94" i="24" s="1"/>
  <c r="B95" i="24" s="1"/>
  <c r="B96" i="24" s="1"/>
  <c r="B97" i="24" s="1"/>
  <c r="B98" i="24" s="1"/>
  <c r="B99" i="24" s="1"/>
  <c r="B100" i="24" s="1"/>
  <c r="B101" i="24" s="1"/>
  <c r="B102" i="24" s="1"/>
  <c r="B103" i="24" s="1"/>
  <c r="B104" i="24" s="1"/>
  <c r="B105" i="24" s="1"/>
  <c r="B106" i="24" s="1"/>
  <c r="B107" i="24" s="1"/>
  <c r="B108" i="24" s="1"/>
  <c r="B109" i="24" s="1"/>
  <c r="B110" i="24" s="1"/>
  <c r="B111" i="24" s="1"/>
</calcChain>
</file>

<file path=xl/sharedStrings.xml><?xml version="1.0" encoding="utf-8"?>
<sst xmlns="http://schemas.openxmlformats.org/spreadsheetml/2006/main" count="314" uniqueCount="62">
  <si>
    <t>epsilon_wb</t>
  </si>
  <si>
    <t>-</t>
  </si>
  <si>
    <t>L</t>
  </si>
  <si>
    <t>m</t>
  </si>
  <si>
    <t>W</t>
  </si>
  <si>
    <t>NA</t>
  </si>
  <si>
    <t>h_ch</t>
  </si>
  <si>
    <t>Channel height</t>
  </si>
  <si>
    <t>Water injection type</t>
  </si>
  <si>
    <t>Number of channels</t>
  </si>
  <si>
    <t>wf</t>
  </si>
  <si>
    <t>Wall thickness</t>
  </si>
  <si>
    <t>m/s</t>
  </si>
  <si>
    <t>Paper information</t>
  </si>
  <si>
    <t>Authors</t>
  </si>
  <si>
    <t>Title</t>
  </si>
  <si>
    <t>Year</t>
  </si>
  <si>
    <t>Data type</t>
  </si>
  <si>
    <t>HEX characteristics</t>
  </si>
  <si>
    <t>HEX type</t>
  </si>
  <si>
    <t>Water recirculation</t>
  </si>
  <si>
    <t>Wall material</t>
  </si>
  <si>
    <t>Configuration</t>
  </si>
  <si>
    <t>Geometry</t>
  </si>
  <si>
    <t>Length</t>
  </si>
  <si>
    <t>Width</t>
  </si>
  <si>
    <t>Height</t>
  </si>
  <si>
    <t>Operating conditions</t>
  </si>
  <si>
    <t>Primary fluid velocity</t>
  </si>
  <si>
    <t>Water supplied</t>
  </si>
  <si>
    <t>kg/s</t>
  </si>
  <si>
    <t>Testing conditions</t>
  </si>
  <si>
    <t>Inlet conditions</t>
  </si>
  <si>
    <t>Outlet conditions</t>
  </si>
  <si>
    <t>Run</t>
  </si>
  <si>
    <t>Test</t>
  </si>
  <si>
    <t>pd</t>
  </si>
  <si>
    <t>E</t>
  </si>
  <si>
    <t>N</t>
  </si>
  <si>
    <t>m_dot_wf</t>
  </si>
  <si>
    <t>T_wfi</t>
  </si>
  <si>
    <t>DEC</t>
  </si>
  <si>
    <t>T_pwi</t>
  </si>
  <si>
    <t>w_pwi</t>
  </si>
  <si>
    <t>v_pwi</t>
  </si>
  <si>
    <t>T_pwo</t>
  </si>
  <si>
    <t>w_pwo</t>
  </si>
  <si>
    <t>Crossflow</t>
  </si>
  <si>
    <t>Wet surface</t>
  </si>
  <si>
    <t>Yes</t>
  </si>
  <si>
    <t>Wu et al.</t>
  </si>
  <si>
    <t>Numerical investigation on the heat and mass transfer in a direct evaporative cooler</t>
  </si>
  <si>
    <t>Exerimental, from table and numerical, from graphs</t>
  </si>
  <si>
    <t>XF</t>
  </si>
  <si>
    <t>GLASdek</t>
  </si>
  <si>
    <t>1-4</t>
  </si>
  <si>
    <t>WWR</t>
  </si>
  <si>
    <t>Re</t>
  </si>
  <si>
    <t>Nu</t>
  </si>
  <si>
    <t>h_T</t>
  </si>
  <si>
    <t>Description</t>
  </si>
  <si>
    <t>Study of a crossflow DEC with matrix made of a GLASdek pad material with a cross-fluted, unequal angle pad design to induce turbulent mixing of air and water for optimum heat and moisture transfer.
1. Comparison of simulation results with experimental data.
2. Study of the impact of inlet temperature and humidity, air velocity, and pad length on the DEC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</si>
</sst>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8">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14" xfId="0" applyFont="1" applyBorder="1"/>
    <xf numFmtId="0" fontId="0" fillId="0" borderId="10" xfId="0" applyBorder="1"/>
    <xf numFmtId="0" fontId="0" fillId="0" borderId="11" xfId="0"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164" fontId="0" fillId="0" borderId="2" xfId="0" applyNumberFormat="1" applyBorder="1"/>
    <xf numFmtId="1" fontId="0" fillId="0" borderId="0" xfId="0" applyNumberFormat="1"/>
    <xf numFmtId="0" fontId="0" fillId="0" borderId="0" xfId="0" applyAlignment="1">
      <alignment horizontal="right"/>
    </xf>
    <xf numFmtId="0" fontId="1" fillId="0" borderId="9" xfId="0" applyFont="1" applyBorder="1" applyAlignment="1">
      <alignment horizontal="center"/>
    </xf>
    <xf numFmtId="0" fontId="1" fillId="0" borderId="11" xfId="0" applyFont="1" applyBorder="1" applyAlignment="1">
      <alignment horizontal="center"/>
    </xf>
    <xf numFmtId="0" fontId="0" fillId="0" borderId="2" xfId="0" applyBorder="1" applyAlignment="1">
      <alignment horizontal="right"/>
    </xf>
    <xf numFmtId="165" fontId="0" fillId="0" borderId="5" xfId="0" applyNumberFormat="1" applyBorder="1"/>
    <xf numFmtId="0" fontId="0" fillId="0" borderId="7" xfId="0" applyBorder="1" applyAlignment="1">
      <alignment horizontal="right"/>
    </xf>
    <xf numFmtId="165" fontId="0" fillId="0" borderId="8" xfId="0" applyNumberFormat="1" applyBorder="1"/>
    <xf numFmtId="0" fontId="0" fillId="0" borderId="6" xfId="0" applyBorder="1" applyAlignment="1">
      <alignment horizontal="right"/>
    </xf>
    <xf numFmtId="0" fontId="0" fillId="0" borderId="12" xfId="0" applyBorder="1"/>
    <xf numFmtId="0" fontId="0" fillId="0" borderId="13" xfId="0" applyBorder="1"/>
    <xf numFmtId="0" fontId="0" fillId="0" borderId="14" xfId="0" applyBorder="1"/>
    <xf numFmtId="165" fontId="0" fillId="0" borderId="3" xfId="0" applyNumberFormat="1" applyBorder="1"/>
    <xf numFmtId="2" fontId="0" fillId="0" borderId="4" xfId="0" applyNumberFormat="1" applyBorder="1"/>
    <xf numFmtId="2" fontId="0" fillId="0" borderId="6" xfId="0" applyNumberFormat="1" applyBorder="1"/>
    <xf numFmtId="16" fontId="0" fillId="0" borderId="1" xfId="0" quotePrefix="1" applyNumberFormat="1" applyBorder="1" applyAlignment="1">
      <alignment horizontal="right"/>
    </xf>
    <xf numFmtId="2" fontId="0" fillId="0" borderId="2" xfId="0" applyNumberFormat="1" applyBorder="1"/>
    <xf numFmtId="1" fontId="0" fillId="0" borderId="2" xfId="0" applyNumberFormat="1" applyBorder="1"/>
    <xf numFmtId="2" fontId="0" fillId="0" borderId="2" xfId="0" applyNumberFormat="1" applyBorder="1" applyAlignment="1">
      <alignment horizontal="right"/>
    </xf>
    <xf numFmtId="2" fontId="0" fillId="0" borderId="0" xfId="0" applyNumberFormat="1" applyAlignment="1">
      <alignment horizontal="right"/>
    </xf>
    <xf numFmtId="2" fontId="0" fillId="0" borderId="7" xfId="0" applyNumberFormat="1" applyBorder="1" applyAlignment="1">
      <alignment horizontal="right"/>
    </xf>
    <xf numFmtId="2" fontId="0" fillId="0" borderId="7" xfId="0" applyNumberFormat="1" applyBorder="1"/>
    <xf numFmtId="0" fontId="1" fillId="0" borderId="2" xfId="0" applyFont="1" applyBorder="1"/>
    <xf numFmtId="0" fontId="1" fillId="0" borderId="3" xfId="0" applyFont="1" applyBorder="1"/>
    <xf numFmtId="2" fontId="0" fillId="0" borderId="0" xfId="0" applyNumberFormat="1"/>
    <xf numFmtId="1" fontId="0" fillId="0" borderId="7" xfId="0" applyNumberFormat="1" applyBorder="1"/>
    <xf numFmtId="0" fontId="1" fillId="0" borderId="14" xfId="0" applyFont="1" applyBorder="1" applyAlignment="1">
      <alignment vertical="top"/>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 fillId="0" borderId="0" xfId="0" applyFont="1" applyBorder="1"/>
    <xf numFmtId="0" fontId="0" fillId="0" borderId="0" xfId="0" applyBorder="1"/>
    <xf numFmtId="0" fontId="0" fillId="0" borderId="0"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C740-616C-4CCB-A804-01A2E044C021}">
  <dimension ref="B1:R111"/>
  <sheetViews>
    <sheetView tabSelected="1" topLeftCell="A3" workbookViewId="0">
      <selection activeCell="I19" sqref="I19"/>
    </sheetView>
  </sheetViews>
  <sheetFormatPr defaultColWidth="8.88671875" defaultRowHeight="14.4" x14ac:dyDescent="0.3"/>
  <cols>
    <col min="1" max="1" width="2.6640625" customWidth="1"/>
    <col min="2" max="2" width="22.33203125" bestFit="1" customWidth="1"/>
    <col min="3" max="3" width="14.109375" customWidth="1"/>
    <col min="6" max="6" width="12.44140625" customWidth="1"/>
    <col min="7" max="11" width="9.33203125" customWidth="1"/>
    <col min="12" max="12" width="10.109375" customWidth="1"/>
    <col min="13" max="13" width="9.33203125" customWidth="1"/>
    <col min="14" max="15" width="9.6640625" customWidth="1"/>
    <col min="16" max="17" width="9.44140625" customWidth="1"/>
    <col min="18" max="18" width="10.5546875" bestFit="1" customWidth="1"/>
    <col min="19" max="19" width="9.33203125" customWidth="1"/>
    <col min="20" max="21" width="10.5546875" customWidth="1"/>
  </cols>
  <sheetData>
    <row r="1" spans="2:14" ht="15" thickBot="1" x14ac:dyDescent="0.35"/>
    <row r="2" spans="2:14" ht="15" thickBot="1" x14ac:dyDescent="0.35">
      <c r="B2" s="10" t="s">
        <v>13</v>
      </c>
      <c r="C2" s="11"/>
      <c r="D2" s="11"/>
      <c r="E2" s="11"/>
      <c r="F2" s="11"/>
      <c r="G2" s="11"/>
      <c r="H2" s="11"/>
      <c r="I2" s="11"/>
      <c r="J2" s="11"/>
      <c r="K2" s="11"/>
      <c r="L2" s="11"/>
      <c r="M2" s="11"/>
      <c r="N2" s="12"/>
    </row>
    <row r="3" spans="2:14" x14ac:dyDescent="0.3">
      <c r="B3" s="18" t="s">
        <v>14</v>
      </c>
      <c r="C3" s="13" t="s">
        <v>50</v>
      </c>
      <c r="D3" s="3"/>
      <c r="E3" s="3"/>
      <c r="F3" s="3"/>
      <c r="G3" s="3"/>
      <c r="H3" s="3"/>
      <c r="I3" s="3"/>
      <c r="J3" s="3"/>
      <c r="K3" s="3"/>
      <c r="L3" s="3"/>
      <c r="M3" s="3"/>
      <c r="N3" s="4"/>
    </row>
    <row r="4" spans="2:14" x14ac:dyDescent="0.3">
      <c r="B4" s="19" t="s">
        <v>15</v>
      </c>
      <c r="C4" s="5" t="s">
        <v>51</v>
      </c>
      <c r="N4" s="6"/>
    </row>
    <row r="5" spans="2:14" x14ac:dyDescent="0.3">
      <c r="B5" s="19" t="s">
        <v>16</v>
      </c>
      <c r="C5" s="5">
        <v>2009</v>
      </c>
      <c r="N5" s="6"/>
    </row>
    <row r="6" spans="2:14" x14ac:dyDescent="0.3">
      <c r="B6" s="19" t="s">
        <v>17</v>
      </c>
      <c r="C6" s="5" t="s">
        <v>52</v>
      </c>
      <c r="N6" s="6"/>
    </row>
    <row r="7" spans="2:14" ht="60.6" customHeight="1" thickBot="1" x14ac:dyDescent="0.35">
      <c r="B7" s="49" t="s">
        <v>60</v>
      </c>
      <c r="C7" s="52" t="s">
        <v>61</v>
      </c>
      <c r="D7" s="53"/>
      <c r="E7" s="53"/>
      <c r="F7" s="53"/>
      <c r="G7" s="53"/>
      <c r="H7" s="53"/>
      <c r="I7" s="53"/>
      <c r="J7" s="53"/>
      <c r="K7" s="53"/>
      <c r="L7" s="53"/>
      <c r="M7" s="53"/>
      <c r="N7" s="54"/>
    </row>
    <row r="8" spans="2:14" ht="15" thickBot="1" x14ac:dyDescent="0.35"/>
    <row r="9" spans="2:14" ht="15" thickBot="1" x14ac:dyDescent="0.35">
      <c r="B9" s="10" t="s">
        <v>18</v>
      </c>
      <c r="C9" s="17"/>
      <c r="E9" s="10" t="s">
        <v>22</v>
      </c>
      <c r="F9" s="17"/>
    </row>
    <row r="10" spans="2:14" ht="15" thickBot="1" x14ac:dyDescent="0.35">
      <c r="B10" s="18" t="s">
        <v>19</v>
      </c>
      <c r="C10" s="6" t="s">
        <v>41</v>
      </c>
      <c r="E10" s="25" t="s">
        <v>36</v>
      </c>
      <c r="F10" s="26" t="s">
        <v>10</v>
      </c>
    </row>
    <row r="11" spans="2:14" ht="15" thickBot="1" x14ac:dyDescent="0.35">
      <c r="B11" s="19" t="s">
        <v>8</v>
      </c>
      <c r="C11" s="6" t="s">
        <v>48</v>
      </c>
      <c r="E11" s="50" t="s">
        <v>47</v>
      </c>
      <c r="F11" s="51"/>
    </row>
    <row r="12" spans="2:14" x14ac:dyDescent="0.3">
      <c r="B12" s="19" t="s">
        <v>20</v>
      </c>
      <c r="C12" s="6" t="s">
        <v>49</v>
      </c>
    </row>
    <row r="13" spans="2:14" x14ac:dyDescent="0.3">
      <c r="B13" s="19" t="s">
        <v>21</v>
      </c>
      <c r="C13" s="6" t="s">
        <v>54</v>
      </c>
    </row>
    <row r="14" spans="2:14" ht="15" thickBot="1" x14ac:dyDescent="0.35">
      <c r="B14" s="15" t="s">
        <v>22</v>
      </c>
      <c r="C14" s="9" t="s">
        <v>53</v>
      </c>
    </row>
    <row r="15" spans="2:14" ht="15" thickBot="1" x14ac:dyDescent="0.35">
      <c r="B15" s="1"/>
    </row>
    <row r="16" spans="2:14" ht="15" thickBot="1" x14ac:dyDescent="0.35">
      <c r="B16" s="10" t="s">
        <v>23</v>
      </c>
      <c r="C16" s="16"/>
      <c r="D16" s="17"/>
      <c r="F16" s="55"/>
      <c r="G16" s="56"/>
      <c r="H16" s="56"/>
    </row>
    <row r="17" spans="2:18" x14ac:dyDescent="0.3">
      <c r="B17" s="18" t="s">
        <v>24</v>
      </c>
      <c r="C17" s="27">
        <v>0.13800000000000001</v>
      </c>
      <c r="D17" s="4" t="s">
        <v>3</v>
      </c>
      <c r="F17" s="55"/>
      <c r="G17" s="57"/>
      <c r="H17" s="56"/>
    </row>
    <row r="18" spans="2:18" x14ac:dyDescent="0.3">
      <c r="B18" s="19" t="s">
        <v>25</v>
      </c>
      <c r="C18" s="24">
        <v>0.3</v>
      </c>
      <c r="D18" s="6" t="s">
        <v>3</v>
      </c>
      <c r="F18" s="55"/>
      <c r="G18" s="56"/>
      <c r="H18" s="56"/>
    </row>
    <row r="19" spans="2:18" x14ac:dyDescent="0.3">
      <c r="B19" s="19" t="s">
        <v>26</v>
      </c>
      <c r="C19" s="24" t="s">
        <v>5</v>
      </c>
      <c r="D19" s="6" t="s">
        <v>3</v>
      </c>
      <c r="F19" s="55"/>
      <c r="G19" s="56"/>
      <c r="H19" s="56"/>
    </row>
    <row r="20" spans="2:18" x14ac:dyDescent="0.3">
      <c r="B20" s="19" t="s">
        <v>7</v>
      </c>
      <c r="C20" s="24">
        <v>6.0000000000000001E-3</v>
      </c>
      <c r="D20" s="6" t="s">
        <v>3</v>
      </c>
    </row>
    <row r="21" spans="2:18" x14ac:dyDescent="0.3">
      <c r="B21" s="19" t="s">
        <v>11</v>
      </c>
      <c r="C21" s="24" t="s">
        <v>5</v>
      </c>
      <c r="D21" s="6" t="s">
        <v>3</v>
      </c>
    </row>
    <row r="22" spans="2:18" ht="15" thickBot="1" x14ac:dyDescent="0.35">
      <c r="B22" s="15" t="s">
        <v>9</v>
      </c>
      <c r="C22" s="29" t="s">
        <v>5</v>
      </c>
      <c r="D22" s="9" t="s">
        <v>1</v>
      </c>
    </row>
    <row r="23" spans="2:18" ht="15" thickBot="1" x14ac:dyDescent="0.35">
      <c r="B23" s="1"/>
    </row>
    <row r="24" spans="2:18" ht="15" thickBot="1" x14ac:dyDescent="0.35">
      <c r="B24" s="2" t="s">
        <v>27</v>
      </c>
      <c r="C24" s="3"/>
      <c r="D24" s="4"/>
    </row>
    <row r="25" spans="2:18" x14ac:dyDescent="0.3">
      <c r="B25" s="2" t="s">
        <v>28</v>
      </c>
      <c r="C25" s="38" t="s">
        <v>55</v>
      </c>
      <c r="D25" s="4" t="s">
        <v>12</v>
      </c>
    </row>
    <row r="26" spans="2:18" ht="15" thickBot="1" x14ac:dyDescent="0.35">
      <c r="B26" s="14" t="s">
        <v>29</v>
      </c>
      <c r="C26" s="31" t="s">
        <v>5</v>
      </c>
      <c r="D26" s="9" t="s">
        <v>30</v>
      </c>
      <c r="H26" s="20"/>
    </row>
    <row r="27" spans="2:18" ht="15" thickBot="1" x14ac:dyDescent="0.35"/>
    <row r="28" spans="2:18" ht="15" thickBot="1" x14ac:dyDescent="0.35">
      <c r="B28" s="2"/>
      <c r="C28" s="2" t="s">
        <v>31</v>
      </c>
      <c r="D28" s="45"/>
      <c r="E28" s="45"/>
      <c r="F28" s="45"/>
      <c r="G28" s="45"/>
      <c r="H28" s="45"/>
      <c r="I28" s="45"/>
      <c r="J28" s="46"/>
      <c r="K28" s="2" t="s">
        <v>32</v>
      </c>
      <c r="L28" s="45"/>
      <c r="M28" s="45"/>
      <c r="N28" s="45"/>
      <c r="O28" s="46"/>
      <c r="P28" s="18" t="s">
        <v>33</v>
      </c>
      <c r="Q28" s="3"/>
      <c r="R28" s="4"/>
    </row>
    <row r="29" spans="2:18" ht="15" thickBot="1" x14ac:dyDescent="0.35">
      <c r="B29" s="15" t="s">
        <v>34</v>
      </c>
      <c r="C29" s="10" t="s">
        <v>35</v>
      </c>
      <c r="D29" s="11" t="s">
        <v>2</v>
      </c>
      <c r="E29" s="11" t="s">
        <v>6</v>
      </c>
      <c r="F29" s="11" t="s">
        <v>4</v>
      </c>
      <c r="G29" s="11" t="s">
        <v>56</v>
      </c>
      <c r="H29" s="11" t="s">
        <v>57</v>
      </c>
      <c r="I29" s="11" t="s">
        <v>58</v>
      </c>
      <c r="J29" s="12" t="s">
        <v>59</v>
      </c>
      <c r="K29" s="10" t="s">
        <v>42</v>
      </c>
      <c r="L29" s="11" t="s">
        <v>43</v>
      </c>
      <c r="M29" s="11" t="s">
        <v>44</v>
      </c>
      <c r="N29" s="11" t="s">
        <v>40</v>
      </c>
      <c r="O29" s="12" t="s">
        <v>39</v>
      </c>
      <c r="P29" s="10" t="s">
        <v>45</v>
      </c>
      <c r="Q29" s="11" t="s">
        <v>46</v>
      </c>
      <c r="R29" s="12" t="s">
        <v>0</v>
      </c>
    </row>
    <row r="30" spans="2:18" x14ac:dyDescent="0.3">
      <c r="B30" s="32">
        <v>1</v>
      </c>
      <c r="C30" s="13" t="s">
        <v>37</v>
      </c>
      <c r="D30" s="3">
        <v>0.13800000000000001</v>
      </c>
      <c r="E30" s="3">
        <v>6.0000000000000001E-3</v>
      </c>
      <c r="F30" s="3">
        <v>0.3</v>
      </c>
      <c r="G30" s="3">
        <v>1</v>
      </c>
      <c r="H30" s="40">
        <v>1520.14126285678</v>
      </c>
      <c r="I30" s="41">
        <v>7.54</v>
      </c>
      <c r="J30" s="39">
        <v>16.4819983065081</v>
      </c>
      <c r="K30" s="13">
        <v>27.21</v>
      </c>
      <c r="L30" s="22">
        <v>1.19385941065033E-2</v>
      </c>
      <c r="M30" s="3">
        <v>2</v>
      </c>
      <c r="N30" s="27" t="s">
        <v>5</v>
      </c>
      <c r="O30" s="27" t="s">
        <v>5</v>
      </c>
      <c r="P30" s="13">
        <v>22.9</v>
      </c>
      <c r="Q30" s="22">
        <v>1.3640318676555799E-2</v>
      </c>
      <c r="R30" s="35">
        <v>0.61048158640226702</v>
      </c>
    </row>
    <row r="31" spans="2:18" x14ac:dyDescent="0.3">
      <c r="B31" s="33">
        <v>2</v>
      </c>
      <c r="C31" s="5" t="s">
        <v>37</v>
      </c>
      <c r="D31">
        <v>0.13800000000000001</v>
      </c>
      <c r="E31">
        <v>6.0000000000000001E-3</v>
      </c>
      <c r="F31">
        <v>0.3</v>
      </c>
      <c r="G31">
        <v>1</v>
      </c>
      <c r="H31" s="23">
        <v>1521.21248681712</v>
      </c>
      <c r="I31" s="42">
        <v>7.54</v>
      </c>
      <c r="J31" s="47">
        <v>16.492722268655999</v>
      </c>
      <c r="K31" s="5">
        <v>27.84</v>
      </c>
      <c r="L31" s="20">
        <v>1.0234513895914499E-2</v>
      </c>
      <c r="M31">
        <v>2</v>
      </c>
      <c r="N31" s="24" t="s">
        <v>5</v>
      </c>
      <c r="O31" s="24" t="s">
        <v>5</v>
      </c>
      <c r="P31" s="5">
        <v>22.66</v>
      </c>
      <c r="Q31" s="20">
        <v>1.2285667593916499E-2</v>
      </c>
      <c r="R31" s="28">
        <v>0.58997722095672001</v>
      </c>
    </row>
    <row r="32" spans="2:18" x14ac:dyDescent="0.3">
      <c r="B32" s="33">
        <v>3</v>
      </c>
      <c r="C32" s="5" t="s">
        <v>37</v>
      </c>
      <c r="D32">
        <v>0.13800000000000001</v>
      </c>
      <c r="E32">
        <v>6.0000000000000001E-3</v>
      </c>
      <c r="F32">
        <v>0.3</v>
      </c>
      <c r="G32">
        <v>1</v>
      </c>
      <c r="H32" s="23">
        <v>1511.4837908801701</v>
      </c>
      <c r="I32" s="42">
        <v>7.54</v>
      </c>
      <c r="J32" s="47">
        <v>16.526243311491999</v>
      </c>
      <c r="K32" s="5">
        <v>28.54</v>
      </c>
      <c r="L32" s="20">
        <v>1.19290738738732E-2</v>
      </c>
      <c r="M32">
        <v>2</v>
      </c>
      <c r="N32" s="24" t="s">
        <v>5</v>
      </c>
      <c r="O32" s="24" t="s">
        <v>5</v>
      </c>
      <c r="P32" s="5">
        <v>23.5</v>
      </c>
      <c r="Q32" s="20">
        <v>1.39342089657857E-2</v>
      </c>
      <c r="R32" s="28">
        <v>0.63078848560700895</v>
      </c>
    </row>
    <row r="33" spans="2:18" x14ac:dyDescent="0.3">
      <c r="B33" s="33">
        <v>4</v>
      </c>
      <c r="C33" s="5" t="s">
        <v>37</v>
      </c>
      <c r="D33">
        <v>0.13800000000000001</v>
      </c>
      <c r="E33">
        <v>6.0000000000000001E-3</v>
      </c>
      <c r="F33">
        <v>0.3</v>
      </c>
      <c r="G33">
        <v>1</v>
      </c>
      <c r="H33" s="23">
        <v>1508.5121430291499</v>
      </c>
      <c r="I33" s="42">
        <v>7.54</v>
      </c>
      <c r="J33" s="47">
        <v>16.5416022876399</v>
      </c>
      <c r="K33" s="5">
        <v>28.9</v>
      </c>
      <c r="L33" s="20">
        <v>1.1916534196906E-2</v>
      </c>
      <c r="M33">
        <v>2</v>
      </c>
      <c r="N33" s="24" t="s">
        <v>5</v>
      </c>
      <c r="O33" s="24" t="s">
        <v>5</v>
      </c>
      <c r="P33" s="5">
        <v>23.81</v>
      </c>
      <c r="Q33" s="20">
        <v>1.39539340364185E-2</v>
      </c>
      <c r="R33" s="28">
        <v>0.61696969696969695</v>
      </c>
    </row>
    <row r="34" spans="2:18" x14ac:dyDescent="0.3">
      <c r="B34" s="33">
        <v>5</v>
      </c>
      <c r="C34" s="5" t="s">
        <v>37</v>
      </c>
      <c r="D34">
        <v>0.13800000000000001</v>
      </c>
      <c r="E34">
        <v>6.0000000000000001E-3</v>
      </c>
      <c r="F34">
        <v>0.3</v>
      </c>
      <c r="G34">
        <v>1</v>
      </c>
      <c r="H34" s="23">
        <v>1517.7581973587601</v>
      </c>
      <c r="I34" s="42">
        <v>7.54</v>
      </c>
      <c r="J34" s="47">
        <v>16.5213267161799</v>
      </c>
      <c r="K34" s="5">
        <v>29.32</v>
      </c>
      <c r="L34" s="20">
        <v>9.0837436494197506E-3</v>
      </c>
      <c r="M34">
        <v>2</v>
      </c>
      <c r="N34" s="24" t="s">
        <v>5</v>
      </c>
      <c r="O34" s="24" t="s">
        <v>5</v>
      </c>
      <c r="P34" s="5">
        <v>22.37</v>
      </c>
      <c r="Q34" s="20">
        <v>1.1893444471137901E-2</v>
      </c>
      <c r="R34" s="28">
        <v>0.65074906367041196</v>
      </c>
    </row>
    <row r="35" spans="2:18" x14ac:dyDescent="0.3">
      <c r="B35" s="33">
        <v>6</v>
      </c>
      <c r="C35" s="5" t="s">
        <v>37</v>
      </c>
      <c r="D35">
        <v>0.13800000000000001</v>
      </c>
      <c r="E35">
        <v>6.0000000000000001E-3</v>
      </c>
      <c r="F35">
        <v>0.3</v>
      </c>
      <c r="G35">
        <v>1</v>
      </c>
      <c r="H35" s="23">
        <v>1506.0890097187</v>
      </c>
      <c r="I35" s="42">
        <v>7.54</v>
      </c>
      <c r="J35" s="47">
        <v>16.565412560658999</v>
      </c>
      <c r="K35" s="5">
        <v>29.91</v>
      </c>
      <c r="L35" s="20">
        <v>1.073312294858E-2</v>
      </c>
      <c r="M35">
        <v>2</v>
      </c>
      <c r="N35" s="24" t="s">
        <v>5</v>
      </c>
      <c r="O35" s="24" t="s">
        <v>5</v>
      </c>
      <c r="P35" s="5">
        <v>23.78</v>
      </c>
      <c r="Q35" s="20">
        <v>1.31683892678017E-2</v>
      </c>
      <c r="R35" s="28">
        <v>0.62423625254582504</v>
      </c>
    </row>
    <row r="36" spans="2:18" x14ac:dyDescent="0.3">
      <c r="B36" s="33">
        <v>7</v>
      </c>
      <c r="C36" s="5" t="s">
        <v>37</v>
      </c>
      <c r="D36">
        <v>0.13800000000000001</v>
      </c>
      <c r="E36">
        <v>6.0000000000000001E-3</v>
      </c>
      <c r="F36">
        <v>0.3</v>
      </c>
      <c r="G36">
        <v>1</v>
      </c>
      <c r="H36" s="23">
        <v>1511.01458721984</v>
      </c>
      <c r="I36" s="42">
        <v>7.54</v>
      </c>
      <c r="J36" s="47">
        <v>16.557915920467501</v>
      </c>
      <c r="K36" s="5">
        <v>30.5</v>
      </c>
      <c r="L36" s="20">
        <v>8.8760821763897296E-3</v>
      </c>
      <c r="M36">
        <v>2</v>
      </c>
      <c r="N36" s="24" t="s">
        <v>5</v>
      </c>
      <c r="O36" s="24" t="s">
        <v>5</v>
      </c>
      <c r="P36" s="5">
        <v>22.77</v>
      </c>
      <c r="Q36" s="20">
        <v>1.2004956926713301E-2</v>
      </c>
      <c r="R36" s="28">
        <v>0.66408934707903799</v>
      </c>
    </row>
    <row r="37" spans="2:18" x14ac:dyDescent="0.3">
      <c r="B37" s="33">
        <v>8</v>
      </c>
      <c r="C37" s="5" t="s">
        <v>37</v>
      </c>
      <c r="D37">
        <v>0.13800000000000001</v>
      </c>
      <c r="E37">
        <v>6.0000000000000001E-3</v>
      </c>
      <c r="F37">
        <v>0.3</v>
      </c>
      <c r="G37">
        <v>1</v>
      </c>
      <c r="H37" s="23">
        <v>1501.91133863748</v>
      </c>
      <c r="I37" s="42">
        <v>7.54</v>
      </c>
      <c r="J37" s="47">
        <v>16.5948146639501</v>
      </c>
      <c r="K37" s="5">
        <v>30.83</v>
      </c>
      <c r="L37" s="20">
        <v>9.9239060511828407E-3</v>
      </c>
      <c r="M37">
        <v>2</v>
      </c>
      <c r="N37" s="24" t="s">
        <v>5</v>
      </c>
      <c r="O37" s="24" t="s">
        <v>5</v>
      </c>
      <c r="P37" s="5">
        <v>24.1</v>
      </c>
      <c r="Q37" s="20">
        <v>1.2605522614688501E-2</v>
      </c>
      <c r="R37" s="28">
        <v>0.60849909584086803</v>
      </c>
    </row>
    <row r="38" spans="2:18" x14ac:dyDescent="0.3">
      <c r="B38" s="33">
        <v>9</v>
      </c>
      <c r="C38" s="5" t="s">
        <v>37</v>
      </c>
      <c r="D38">
        <v>0.13800000000000001</v>
      </c>
      <c r="E38">
        <v>6.0000000000000001E-3</v>
      </c>
      <c r="F38">
        <v>0.3</v>
      </c>
      <c r="G38">
        <v>1</v>
      </c>
      <c r="H38" s="23">
        <v>1472.5586048074599</v>
      </c>
      <c r="I38" s="42">
        <v>7.54</v>
      </c>
      <c r="J38" s="47">
        <v>16.680917101000301</v>
      </c>
      <c r="K38" s="5">
        <v>31.5</v>
      </c>
      <c r="L38" s="20">
        <v>1.6894031651013101E-2</v>
      </c>
      <c r="M38">
        <v>2</v>
      </c>
      <c r="N38" s="24" t="s">
        <v>5</v>
      </c>
      <c r="O38" s="24" t="s">
        <v>5</v>
      </c>
      <c r="P38" s="5">
        <v>27.6</v>
      </c>
      <c r="Q38" s="20">
        <v>1.8483397566256901E-2</v>
      </c>
      <c r="R38" s="28">
        <v>0.57268722466960298</v>
      </c>
    </row>
    <row r="39" spans="2:18" x14ac:dyDescent="0.3">
      <c r="B39" s="33">
        <v>10</v>
      </c>
      <c r="C39" s="5" t="s">
        <v>37</v>
      </c>
      <c r="D39">
        <v>0.13800000000000001</v>
      </c>
      <c r="E39">
        <v>6.0000000000000001E-3</v>
      </c>
      <c r="F39">
        <v>0.3</v>
      </c>
      <c r="G39">
        <v>1</v>
      </c>
      <c r="H39" s="23">
        <v>1486.3767694390899</v>
      </c>
      <c r="I39" s="42">
        <v>7.54</v>
      </c>
      <c r="J39" s="47">
        <v>16.6463631483394</v>
      </c>
      <c r="K39" s="5">
        <v>31.86</v>
      </c>
      <c r="L39" s="20">
        <v>1.29587478463475E-2</v>
      </c>
      <c r="M39">
        <v>2</v>
      </c>
      <c r="N39" s="24" t="s">
        <v>5</v>
      </c>
      <c r="O39" s="24" t="s">
        <v>5</v>
      </c>
      <c r="P39" s="5">
        <v>25.49</v>
      </c>
      <c r="Q39" s="20">
        <v>1.5572364972085299E-2</v>
      </c>
      <c r="R39" s="28">
        <v>0.66285119667013503</v>
      </c>
    </row>
    <row r="40" spans="2:18" x14ac:dyDescent="0.3">
      <c r="B40" s="33">
        <v>11</v>
      </c>
      <c r="C40" s="5" t="s">
        <v>37</v>
      </c>
      <c r="D40">
        <v>0.13800000000000001</v>
      </c>
      <c r="E40">
        <v>6.0000000000000001E-3</v>
      </c>
      <c r="F40">
        <v>0.3</v>
      </c>
      <c r="G40">
        <v>1</v>
      </c>
      <c r="H40" s="23">
        <v>1498.1897707650901</v>
      </c>
      <c r="I40" s="42">
        <v>7.54</v>
      </c>
      <c r="J40" s="47">
        <v>16.626720257031</v>
      </c>
      <c r="K40" s="5">
        <v>32.31</v>
      </c>
      <c r="L40" s="20">
        <v>8.6304661316874299E-3</v>
      </c>
      <c r="M40">
        <v>2</v>
      </c>
      <c r="N40" s="24" t="s">
        <v>5</v>
      </c>
      <c r="O40" s="24" t="s">
        <v>5</v>
      </c>
      <c r="P40" s="5">
        <v>23.94</v>
      </c>
      <c r="Q40" s="20">
        <v>1.1957420034059699E-2</v>
      </c>
      <c r="R40" s="28">
        <v>0.64088820826952497</v>
      </c>
    </row>
    <row r="41" spans="2:18" x14ac:dyDescent="0.3">
      <c r="B41" s="33">
        <v>12</v>
      </c>
      <c r="C41" s="5" t="s">
        <v>37</v>
      </c>
      <c r="D41">
        <v>0.13800000000000001</v>
      </c>
      <c r="E41">
        <v>6.0000000000000001E-3</v>
      </c>
      <c r="F41">
        <v>0.3</v>
      </c>
      <c r="G41">
        <v>1</v>
      </c>
      <c r="H41" s="23">
        <v>1497.58803784987</v>
      </c>
      <c r="I41" s="42">
        <v>7.54</v>
      </c>
      <c r="J41" s="47">
        <v>16.6426453235661</v>
      </c>
      <c r="K41" s="5">
        <v>32.86</v>
      </c>
      <c r="L41" s="20">
        <v>7.3227319461791097E-3</v>
      </c>
      <c r="M41">
        <v>2</v>
      </c>
      <c r="N41" s="24" t="s">
        <v>5</v>
      </c>
      <c r="O41" s="24" t="s">
        <v>5</v>
      </c>
      <c r="P41" s="5">
        <v>24.01</v>
      </c>
      <c r="Q41" s="20">
        <v>1.0841553672403E-2</v>
      </c>
      <c r="R41" s="28">
        <v>0.61203319502074705</v>
      </c>
    </row>
    <row r="42" spans="2:18" x14ac:dyDescent="0.3">
      <c r="B42" s="33">
        <v>13</v>
      </c>
      <c r="C42" s="5" t="s">
        <v>37</v>
      </c>
      <c r="D42">
        <v>0.13800000000000001</v>
      </c>
      <c r="E42">
        <v>6.0000000000000001E-3</v>
      </c>
      <c r="F42">
        <v>0.3</v>
      </c>
      <c r="G42">
        <v>1</v>
      </c>
      <c r="H42" s="23">
        <v>1483.1551900142999</v>
      </c>
      <c r="I42" s="42">
        <v>7.54</v>
      </c>
      <c r="J42" s="47">
        <v>16.6761758152611</v>
      </c>
      <c r="K42" s="5">
        <v>33.090000000000003</v>
      </c>
      <c r="L42" s="20">
        <v>1.1632389464381099E-2</v>
      </c>
      <c r="M42">
        <v>2</v>
      </c>
      <c r="N42" s="24" t="s">
        <v>5</v>
      </c>
      <c r="O42" s="24" t="s">
        <v>5</v>
      </c>
      <c r="P42" s="5">
        <v>25.49</v>
      </c>
      <c r="Q42" s="20">
        <v>1.46614675554642E-2</v>
      </c>
      <c r="R42" s="28">
        <v>0.66666666666666696</v>
      </c>
    </row>
    <row r="43" spans="2:18" x14ac:dyDescent="0.3">
      <c r="B43" s="33">
        <v>14</v>
      </c>
      <c r="C43" s="5" t="s">
        <v>37</v>
      </c>
      <c r="D43">
        <v>0.13800000000000001</v>
      </c>
      <c r="E43">
        <v>6.0000000000000001E-3</v>
      </c>
      <c r="F43">
        <v>0.3</v>
      </c>
      <c r="G43">
        <v>1</v>
      </c>
      <c r="H43" s="23">
        <v>1470.62548502666</v>
      </c>
      <c r="I43" s="42">
        <v>7.54</v>
      </c>
      <c r="J43" s="47">
        <v>16.724977541183002</v>
      </c>
      <c r="K43" s="5">
        <v>33.729999999999997</v>
      </c>
      <c r="L43" s="20">
        <v>1.3417158539104799E-2</v>
      </c>
      <c r="M43">
        <v>2</v>
      </c>
      <c r="N43" s="24" t="s">
        <v>5</v>
      </c>
      <c r="O43" s="24" t="s">
        <v>5</v>
      </c>
      <c r="P43" s="5">
        <v>27.1</v>
      </c>
      <c r="Q43" s="20">
        <v>1.6076175815282E-2</v>
      </c>
      <c r="R43" s="28">
        <v>0.62253521126760503</v>
      </c>
    </row>
    <row r="44" spans="2:18" x14ac:dyDescent="0.3">
      <c r="B44" s="33">
        <f>B43+1</f>
        <v>15</v>
      </c>
      <c r="C44" s="5" t="s">
        <v>37</v>
      </c>
      <c r="D44">
        <v>0.13800000000000001</v>
      </c>
      <c r="E44">
        <v>6.0000000000000001E-3</v>
      </c>
      <c r="F44">
        <v>0.3</v>
      </c>
      <c r="G44">
        <v>1</v>
      </c>
      <c r="H44" s="23">
        <v>1481.23694749725</v>
      </c>
      <c r="I44" s="42">
        <v>7.54</v>
      </c>
      <c r="J44" s="47">
        <v>16.706683347152001</v>
      </c>
      <c r="K44" s="5">
        <v>34.06</v>
      </c>
      <c r="L44" s="20">
        <v>9.5536947520752907E-3</v>
      </c>
      <c r="M44">
        <v>2</v>
      </c>
      <c r="N44" s="24" t="s">
        <v>5</v>
      </c>
      <c r="O44" s="24" t="s">
        <v>5</v>
      </c>
      <c r="P44" s="5">
        <v>25.73</v>
      </c>
      <c r="Q44" s="20">
        <v>1.2943053008079399E-2</v>
      </c>
      <c r="R44" s="28">
        <v>0.61385408990419998</v>
      </c>
    </row>
    <row r="45" spans="2:18" x14ac:dyDescent="0.3">
      <c r="B45" s="33">
        <f t="shared" ref="B45:B108" si="0">B44+1</f>
        <v>16</v>
      </c>
      <c r="C45" s="5" t="s">
        <v>37</v>
      </c>
      <c r="D45">
        <v>0.13800000000000001</v>
      </c>
      <c r="E45">
        <v>6.0000000000000001E-3</v>
      </c>
      <c r="F45">
        <v>0.3</v>
      </c>
      <c r="G45">
        <v>1</v>
      </c>
      <c r="H45" s="23">
        <v>1466.8280609185099</v>
      </c>
      <c r="I45" s="42">
        <v>7.54</v>
      </c>
      <c r="J45" s="47">
        <v>16.746546608711999</v>
      </c>
      <c r="K45" s="5">
        <v>34.46</v>
      </c>
      <c r="L45" s="20">
        <v>1.32791780945436E-2</v>
      </c>
      <c r="M45">
        <v>2</v>
      </c>
      <c r="N45" s="24" t="s">
        <v>5</v>
      </c>
      <c r="O45" s="24" t="s">
        <v>5</v>
      </c>
      <c r="P45" s="5">
        <v>27.31</v>
      </c>
      <c r="Q45" s="20">
        <v>1.6185129296031098E-2</v>
      </c>
      <c r="R45" s="28">
        <v>0.63442768411712502</v>
      </c>
    </row>
    <row r="46" spans="2:18" x14ac:dyDescent="0.3">
      <c r="B46" s="33">
        <f t="shared" si="0"/>
        <v>17</v>
      </c>
      <c r="C46" s="5" t="s">
        <v>37</v>
      </c>
      <c r="D46">
        <v>0.13800000000000001</v>
      </c>
      <c r="E46">
        <v>6.0000000000000001E-3</v>
      </c>
      <c r="F46">
        <v>0.3</v>
      </c>
      <c r="G46">
        <v>1</v>
      </c>
      <c r="H46" s="23">
        <v>1477.3081274942399</v>
      </c>
      <c r="I46" s="42">
        <v>7.54</v>
      </c>
      <c r="J46" s="47">
        <v>16.7331337987486</v>
      </c>
      <c r="K46" s="5">
        <v>35.01</v>
      </c>
      <c r="L46" s="20">
        <v>8.9847826840513192E-3</v>
      </c>
      <c r="M46">
        <v>2</v>
      </c>
      <c r="N46" s="24" t="s">
        <v>5</v>
      </c>
      <c r="O46" s="24" t="s">
        <v>5</v>
      </c>
      <c r="P46" s="5">
        <v>25.9</v>
      </c>
      <c r="Q46" s="20">
        <v>1.26517398092179E-2</v>
      </c>
      <c r="R46" s="28">
        <v>0.62184300341296905</v>
      </c>
    </row>
    <row r="47" spans="2:18" x14ac:dyDescent="0.3">
      <c r="B47" s="33">
        <f t="shared" si="0"/>
        <v>18</v>
      </c>
      <c r="C47" s="5" t="s">
        <v>37</v>
      </c>
      <c r="D47">
        <v>0.13800000000000001</v>
      </c>
      <c r="E47">
        <v>6.0000000000000001E-3</v>
      </c>
      <c r="F47">
        <v>0.3</v>
      </c>
      <c r="G47">
        <v>1</v>
      </c>
      <c r="H47" s="23">
        <v>1458.40930973899</v>
      </c>
      <c r="I47" s="42">
        <v>7.54</v>
      </c>
      <c r="J47" s="47">
        <v>16.7888259003964</v>
      </c>
      <c r="K47" s="5">
        <v>35.81</v>
      </c>
      <c r="L47" s="20">
        <v>1.3562819929274401E-2</v>
      </c>
      <c r="M47">
        <v>2</v>
      </c>
      <c r="N47" s="24" t="s">
        <v>5</v>
      </c>
      <c r="O47" s="24" t="s">
        <v>5</v>
      </c>
      <c r="P47" s="5">
        <v>27.84</v>
      </c>
      <c r="Q47" s="20">
        <v>1.6816500938559801E-2</v>
      </c>
      <c r="R47" s="28">
        <v>0.66031483015741499</v>
      </c>
    </row>
    <row r="48" spans="2:18" x14ac:dyDescent="0.3">
      <c r="B48" s="33">
        <f t="shared" si="0"/>
        <v>19</v>
      </c>
      <c r="C48" s="5" t="s">
        <v>37</v>
      </c>
      <c r="D48">
        <v>0.13800000000000001</v>
      </c>
      <c r="E48">
        <v>6.0000000000000001E-3</v>
      </c>
      <c r="F48">
        <v>0.3</v>
      </c>
      <c r="G48">
        <v>1</v>
      </c>
      <c r="H48" s="23">
        <v>1437.3383369969599</v>
      </c>
      <c r="I48" s="42">
        <v>7.54</v>
      </c>
      <c r="J48" s="47">
        <v>16.8626087387902</v>
      </c>
      <c r="K48" s="5">
        <v>36.799999999999997</v>
      </c>
      <c r="L48" s="20">
        <v>1.76314727144752E-2</v>
      </c>
      <c r="M48">
        <v>2</v>
      </c>
      <c r="N48" s="24" t="s">
        <v>5</v>
      </c>
      <c r="O48" s="24" t="s">
        <v>5</v>
      </c>
      <c r="P48" s="5">
        <v>30.4</v>
      </c>
      <c r="Q48" s="20">
        <v>2.01964056414373E-2</v>
      </c>
      <c r="R48" s="28">
        <v>0.61835748792270495</v>
      </c>
    </row>
    <row r="49" spans="2:18" x14ac:dyDescent="0.3">
      <c r="B49" s="33">
        <f t="shared" si="0"/>
        <v>20</v>
      </c>
      <c r="C49" s="5" t="s">
        <v>37</v>
      </c>
      <c r="D49">
        <v>0.13800000000000001</v>
      </c>
      <c r="E49">
        <v>6.0000000000000001E-3</v>
      </c>
      <c r="F49">
        <v>0.3</v>
      </c>
      <c r="G49">
        <v>1</v>
      </c>
      <c r="H49" s="23">
        <v>1454.0096917088099</v>
      </c>
      <c r="I49" s="42">
        <v>7.54</v>
      </c>
      <c r="J49" s="47">
        <v>16.822648547735199</v>
      </c>
      <c r="K49" s="5">
        <v>37.06</v>
      </c>
      <c r="L49" s="20">
        <v>1.2545098400095499E-2</v>
      </c>
      <c r="M49">
        <v>2</v>
      </c>
      <c r="N49" s="24" t="s">
        <v>5</v>
      </c>
      <c r="O49" s="24" t="s">
        <v>5</v>
      </c>
      <c r="P49" s="5">
        <v>28.01</v>
      </c>
      <c r="Q49" s="20">
        <v>1.61448203131325E-2</v>
      </c>
      <c r="R49" s="28">
        <v>0.66348973607038098</v>
      </c>
    </row>
    <row r="50" spans="2:18" x14ac:dyDescent="0.3">
      <c r="B50" s="33">
        <f t="shared" si="0"/>
        <v>21</v>
      </c>
      <c r="C50" s="5" t="s">
        <v>38</v>
      </c>
      <c r="D50">
        <v>0.13800000000000001</v>
      </c>
      <c r="E50">
        <v>6.0000000000000001E-3</v>
      </c>
      <c r="F50">
        <v>0.3</v>
      </c>
      <c r="G50">
        <v>1</v>
      </c>
      <c r="H50" s="23">
        <v>729.66571054075098</v>
      </c>
      <c r="I50" s="42">
        <v>7.54</v>
      </c>
      <c r="J50" s="47">
        <v>16.759887183100101</v>
      </c>
      <c r="K50" s="5">
        <v>35</v>
      </c>
      <c r="L50">
        <v>1.6E-2</v>
      </c>
      <c r="M50">
        <v>1</v>
      </c>
      <c r="N50" s="24" t="s">
        <v>5</v>
      </c>
      <c r="O50" s="24" t="s">
        <v>5</v>
      </c>
      <c r="P50" s="36">
        <v>27.534232861581501</v>
      </c>
      <c r="Q50" s="20">
        <v>1.9028170313765799E-2</v>
      </c>
      <c r="R50" s="28">
        <v>0.74980989850584701</v>
      </c>
    </row>
    <row r="51" spans="2:18" x14ac:dyDescent="0.3">
      <c r="B51" s="33">
        <f t="shared" si="0"/>
        <v>22</v>
      </c>
      <c r="C51" s="5" t="s">
        <v>38</v>
      </c>
      <c r="D51">
        <v>0.13800000000000001</v>
      </c>
      <c r="E51">
        <v>6.0000000000000001E-3</v>
      </c>
      <c r="F51">
        <v>0.3</v>
      </c>
      <c r="G51">
        <v>1</v>
      </c>
      <c r="H51" s="23">
        <v>1092.51295304122</v>
      </c>
      <c r="I51" s="42">
        <v>7.54</v>
      </c>
      <c r="J51" s="47">
        <v>16.7740709956961</v>
      </c>
      <c r="K51" s="5">
        <v>35</v>
      </c>
      <c r="L51">
        <v>1.6E-2</v>
      </c>
      <c r="M51">
        <v>1.5</v>
      </c>
      <c r="N51" s="24" t="s">
        <v>5</v>
      </c>
      <c r="O51" s="24" t="s">
        <v>5</v>
      </c>
      <c r="P51" s="36">
        <v>28.1613573012086</v>
      </c>
      <c r="Q51" s="20">
        <v>1.87715367334036E-2</v>
      </c>
      <c r="R51" s="28">
        <v>0.68707225713360398</v>
      </c>
    </row>
    <row r="52" spans="2:18" x14ac:dyDescent="0.3">
      <c r="B52" s="33">
        <f t="shared" si="0"/>
        <v>23</v>
      </c>
      <c r="C52" s="5" t="s">
        <v>38</v>
      </c>
      <c r="D52">
        <v>0.13800000000000001</v>
      </c>
      <c r="E52">
        <v>6.0000000000000001E-3</v>
      </c>
      <c r="F52">
        <v>0.3</v>
      </c>
      <c r="G52">
        <v>1</v>
      </c>
      <c r="H52" s="23">
        <v>1454.16975148029</v>
      </c>
      <c r="I52" s="42">
        <v>7.54</v>
      </c>
      <c r="J52" s="47">
        <v>16.7875746561845</v>
      </c>
      <c r="K52" s="5">
        <v>35</v>
      </c>
      <c r="L52">
        <v>1.6E-2</v>
      </c>
      <c r="M52">
        <v>2</v>
      </c>
      <c r="N52" s="24" t="s">
        <v>5</v>
      </c>
      <c r="O52" s="24" t="s">
        <v>5</v>
      </c>
      <c r="P52" s="36">
        <v>28.7586186722821</v>
      </c>
      <c r="Q52" s="20">
        <v>1.8527338092979202E-2</v>
      </c>
      <c r="R52" s="28">
        <v>0.62661597873671304</v>
      </c>
    </row>
    <row r="53" spans="2:18" x14ac:dyDescent="0.3">
      <c r="B53" s="33">
        <f t="shared" si="0"/>
        <v>24</v>
      </c>
      <c r="C53" s="5" t="s">
        <v>38</v>
      </c>
      <c r="D53">
        <v>0.13800000000000001</v>
      </c>
      <c r="E53">
        <v>6.0000000000000001E-3</v>
      </c>
      <c r="F53">
        <v>0.3</v>
      </c>
      <c r="G53">
        <v>1</v>
      </c>
      <c r="H53" s="23">
        <v>1815.0477707637001</v>
      </c>
      <c r="I53" s="42">
        <v>7.54</v>
      </c>
      <c r="J53" s="47">
        <v>16.799049141325099</v>
      </c>
      <c r="K53" s="5">
        <v>35</v>
      </c>
      <c r="L53">
        <v>1.6E-2</v>
      </c>
      <c r="M53">
        <v>2.5</v>
      </c>
      <c r="N53" s="24" t="s">
        <v>5</v>
      </c>
      <c r="O53" s="24" t="s">
        <v>5</v>
      </c>
      <c r="P53" s="36">
        <v>29.266290837694601</v>
      </c>
      <c r="Q53" s="20">
        <v>1.8319933423418699E-2</v>
      </c>
      <c r="R53" s="28">
        <v>0.57642587724256</v>
      </c>
    </row>
    <row r="54" spans="2:18" x14ac:dyDescent="0.3">
      <c r="B54" s="33">
        <f t="shared" si="0"/>
        <v>25</v>
      </c>
      <c r="C54" s="5" t="s">
        <v>38</v>
      </c>
      <c r="D54">
        <v>0.13800000000000001</v>
      </c>
      <c r="E54">
        <v>6.0000000000000001E-3</v>
      </c>
      <c r="F54">
        <v>0.3</v>
      </c>
      <c r="G54">
        <v>1</v>
      </c>
      <c r="H54" s="23">
        <v>2176.1801044008498</v>
      </c>
      <c r="I54" s="42">
        <v>7.54</v>
      </c>
      <c r="J54" s="47">
        <v>16.805797283222201</v>
      </c>
      <c r="K54" s="5">
        <v>35</v>
      </c>
      <c r="L54">
        <v>1.6E-2</v>
      </c>
      <c r="M54">
        <v>3</v>
      </c>
      <c r="N54" s="24" t="s">
        <v>5</v>
      </c>
      <c r="O54" s="24" t="s">
        <v>5</v>
      </c>
      <c r="P54" s="36">
        <v>29.564921523231298</v>
      </c>
      <c r="Q54" s="20">
        <v>1.82020646501161E-2</v>
      </c>
      <c r="R54" s="28">
        <v>0.54562740455255299</v>
      </c>
    </row>
    <row r="55" spans="2:18" x14ac:dyDescent="0.3">
      <c r="B55" s="33">
        <f t="shared" si="0"/>
        <v>26</v>
      </c>
      <c r="C55" s="5" t="s">
        <v>38</v>
      </c>
      <c r="D55">
        <v>0.13800000000000001</v>
      </c>
      <c r="E55">
        <v>6.0000000000000001E-3</v>
      </c>
      <c r="F55">
        <v>0.3</v>
      </c>
      <c r="G55">
        <v>1</v>
      </c>
      <c r="H55" s="23">
        <v>2537.27266512388</v>
      </c>
      <c r="I55" s="42">
        <v>8.2472795148157392</v>
      </c>
      <c r="J55" s="47">
        <v>18.3876544330443</v>
      </c>
      <c r="K55" s="5">
        <v>35</v>
      </c>
      <c r="L55">
        <v>1.6E-2</v>
      </c>
      <c r="M55">
        <v>3.5</v>
      </c>
      <c r="N55" s="24" t="s">
        <v>5</v>
      </c>
      <c r="O55" s="24" t="s">
        <v>5</v>
      </c>
      <c r="P55" s="36">
        <v>29.7839173592916</v>
      </c>
      <c r="Q55" s="20">
        <v>1.81126794431027E-2</v>
      </c>
      <c r="R55" s="28">
        <v>0.52395438376395198</v>
      </c>
    </row>
    <row r="56" spans="2:18" x14ac:dyDescent="0.3">
      <c r="B56" s="33">
        <f t="shared" si="0"/>
        <v>27</v>
      </c>
      <c r="C56" s="5" t="s">
        <v>38</v>
      </c>
      <c r="D56">
        <v>0.13800000000000001</v>
      </c>
      <c r="E56">
        <v>6.0000000000000001E-3</v>
      </c>
      <c r="F56">
        <v>0.3</v>
      </c>
      <c r="G56">
        <v>1</v>
      </c>
      <c r="H56" s="23">
        <v>2897.5759990950301</v>
      </c>
      <c r="I56" s="42">
        <v>9.6722205813296807</v>
      </c>
      <c r="J56" s="47">
        <v>21.5721202171082</v>
      </c>
      <c r="K56" s="5">
        <v>35</v>
      </c>
      <c r="L56">
        <v>1.6E-2</v>
      </c>
      <c r="M56">
        <v>4</v>
      </c>
      <c r="N56" s="24" t="s">
        <v>5</v>
      </c>
      <c r="O56" s="24" t="s">
        <v>5</v>
      </c>
      <c r="P56" s="36">
        <v>30.042730620090101</v>
      </c>
      <c r="Q56" s="20">
        <v>1.8007078491365999E-2</v>
      </c>
      <c r="R56" s="28">
        <v>0.49771860801554402</v>
      </c>
    </row>
    <row r="57" spans="2:18" x14ac:dyDescent="0.3">
      <c r="B57" s="33">
        <f t="shared" si="0"/>
        <v>28</v>
      </c>
      <c r="C57" s="5" t="s">
        <v>38</v>
      </c>
      <c r="D57">
        <v>0.2</v>
      </c>
      <c r="E57">
        <v>6.0000000000000001E-3</v>
      </c>
      <c r="F57">
        <v>0.3</v>
      </c>
      <c r="G57">
        <v>1</v>
      </c>
      <c r="H57" s="23">
        <v>732.76964447538603</v>
      </c>
      <c r="I57" s="42">
        <v>7.54</v>
      </c>
      <c r="J57" s="47">
        <v>16.726771792042999</v>
      </c>
      <c r="K57" s="5">
        <v>35</v>
      </c>
      <c r="L57">
        <v>1.6E-2</v>
      </c>
      <c r="M57">
        <v>1</v>
      </c>
      <c r="N57" s="24" t="s">
        <v>5</v>
      </c>
      <c r="O57" s="24" t="s">
        <v>5</v>
      </c>
      <c r="P57" s="36">
        <v>26.070942502451398</v>
      </c>
      <c r="Q57" s="20">
        <v>1.9623796190425199E-2</v>
      </c>
      <c r="R57" s="28">
        <v>0.89695815852527705</v>
      </c>
    </row>
    <row r="58" spans="2:18" x14ac:dyDescent="0.3">
      <c r="B58" s="33">
        <f t="shared" si="0"/>
        <v>29</v>
      </c>
      <c r="C58" s="5" t="s">
        <v>38</v>
      </c>
      <c r="D58">
        <v>0.2</v>
      </c>
      <c r="E58">
        <v>6.0000000000000001E-3</v>
      </c>
      <c r="F58">
        <v>0.3</v>
      </c>
      <c r="G58">
        <v>1</v>
      </c>
      <c r="H58" s="23">
        <v>1097.7257881745099</v>
      </c>
      <c r="I58" s="42">
        <v>7.54</v>
      </c>
      <c r="J58" s="47">
        <v>16.736912107872801</v>
      </c>
      <c r="K58" s="5">
        <v>35</v>
      </c>
      <c r="L58">
        <v>1.6E-2</v>
      </c>
      <c r="M58">
        <v>1.5</v>
      </c>
      <c r="N58" s="24" t="s">
        <v>5</v>
      </c>
      <c r="O58" s="24" t="s">
        <v>5</v>
      </c>
      <c r="P58" s="36">
        <v>26.518888530756598</v>
      </c>
      <c r="Q58" s="20">
        <v>1.9440080490626298E-2</v>
      </c>
      <c r="R58" s="28">
        <v>0.85247147897405595</v>
      </c>
    </row>
    <row r="59" spans="2:18" x14ac:dyDescent="0.3">
      <c r="B59" s="33">
        <f t="shared" si="0"/>
        <v>30</v>
      </c>
      <c r="C59" s="5" t="s">
        <v>38</v>
      </c>
      <c r="D59">
        <v>0.2</v>
      </c>
      <c r="E59">
        <v>6.0000000000000001E-3</v>
      </c>
      <c r="F59">
        <v>0.3</v>
      </c>
      <c r="G59">
        <v>1</v>
      </c>
      <c r="H59" s="23">
        <v>1461.73348764345</v>
      </c>
      <c r="I59" s="42">
        <v>7.54</v>
      </c>
      <c r="J59" s="47">
        <v>16.747049818774201</v>
      </c>
      <c r="K59" s="5">
        <v>35</v>
      </c>
      <c r="L59">
        <v>1.6E-2</v>
      </c>
      <c r="M59">
        <v>2</v>
      </c>
      <c r="N59" s="24" t="s">
        <v>5</v>
      </c>
      <c r="O59" s="24" t="s">
        <v>5</v>
      </c>
      <c r="P59" s="36">
        <v>26.966834559061699</v>
      </c>
      <c r="Q59" s="20">
        <v>1.9256482801823099E-2</v>
      </c>
      <c r="R59" s="28">
        <v>0.80684410343060697</v>
      </c>
    </row>
    <row r="60" spans="2:18" x14ac:dyDescent="0.3">
      <c r="B60" s="33">
        <f t="shared" si="0"/>
        <v>31</v>
      </c>
      <c r="C60" s="5" t="s">
        <v>38</v>
      </c>
      <c r="D60">
        <v>0.2</v>
      </c>
      <c r="E60">
        <v>6.0000000000000001E-3</v>
      </c>
      <c r="F60">
        <v>0.3</v>
      </c>
      <c r="G60">
        <v>1</v>
      </c>
      <c r="H60" s="23">
        <v>1825.2695605465401</v>
      </c>
      <c r="I60" s="42">
        <v>7.54</v>
      </c>
      <c r="J60" s="47">
        <v>16.7551581133959</v>
      </c>
      <c r="K60" s="5">
        <v>35</v>
      </c>
      <c r="L60">
        <v>1.6E-2</v>
      </c>
      <c r="M60">
        <v>2.5</v>
      </c>
      <c r="N60" s="24" t="s">
        <v>5</v>
      </c>
      <c r="O60" s="24" t="s">
        <v>5</v>
      </c>
      <c r="P60" s="36">
        <v>27.3251913817058</v>
      </c>
      <c r="Q60" s="20">
        <v>1.9109689542305599E-2</v>
      </c>
      <c r="R60" s="28">
        <v>0.77148283226713499</v>
      </c>
    </row>
    <row r="61" spans="2:18" x14ac:dyDescent="0.3">
      <c r="B61" s="33">
        <f t="shared" si="0"/>
        <v>32</v>
      </c>
      <c r="C61" s="5" t="s">
        <v>38</v>
      </c>
      <c r="D61">
        <v>0.2</v>
      </c>
      <c r="E61">
        <v>6.0000000000000001E-3</v>
      </c>
      <c r="F61">
        <v>0.3</v>
      </c>
      <c r="G61">
        <v>1</v>
      </c>
      <c r="H61" s="23">
        <v>2187.7351590365101</v>
      </c>
      <c r="I61" s="42">
        <v>7.54</v>
      </c>
      <c r="J61" s="47">
        <v>16.7643905325769</v>
      </c>
      <c r="K61" s="5">
        <v>35</v>
      </c>
      <c r="L61">
        <v>1.6E-2</v>
      </c>
      <c r="M61">
        <v>3</v>
      </c>
      <c r="N61" s="24" t="s">
        <v>5</v>
      </c>
      <c r="O61" s="24" t="s">
        <v>5</v>
      </c>
      <c r="P61" s="36">
        <v>27.733319985272601</v>
      </c>
      <c r="Q61" s="20">
        <v>1.8946674345682601E-2</v>
      </c>
      <c r="R61" s="28">
        <v>0.73041824069259798</v>
      </c>
    </row>
    <row r="62" spans="2:18" x14ac:dyDescent="0.3">
      <c r="B62" s="33">
        <f t="shared" si="0"/>
        <v>33</v>
      </c>
      <c r="C62" s="5" t="s">
        <v>38</v>
      </c>
      <c r="D62">
        <v>0.2</v>
      </c>
      <c r="E62">
        <v>6.0000000000000001E-3</v>
      </c>
      <c r="F62">
        <v>0.3</v>
      </c>
      <c r="G62">
        <v>1</v>
      </c>
      <c r="H62" s="23">
        <v>2550.1518105294899</v>
      </c>
      <c r="I62" s="42">
        <v>8.3003712601084203</v>
      </c>
      <c r="J62" s="47">
        <v>18.4624305821003</v>
      </c>
      <c r="K62" s="5">
        <v>35</v>
      </c>
      <c r="L62">
        <v>1.6E-2</v>
      </c>
      <c r="M62">
        <v>3.5</v>
      </c>
      <c r="N62" s="24" t="s">
        <v>5</v>
      </c>
      <c r="O62" s="24" t="s">
        <v>5</v>
      </c>
      <c r="P62" s="36">
        <v>28.031950670809401</v>
      </c>
      <c r="Q62" s="20">
        <v>1.8824473985140401E-2</v>
      </c>
      <c r="R62" s="28">
        <v>0.69961976800258996</v>
      </c>
    </row>
    <row r="63" spans="2:18" x14ac:dyDescent="0.3">
      <c r="B63" s="33">
        <f t="shared" si="0"/>
        <v>34</v>
      </c>
      <c r="C63" s="5" t="s">
        <v>38</v>
      </c>
      <c r="D63">
        <v>0.2</v>
      </c>
      <c r="E63">
        <v>6.0000000000000001E-3</v>
      </c>
      <c r="F63">
        <v>0.3</v>
      </c>
      <c r="G63">
        <v>1</v>
      </c>
      <c r="H63" s="23">
        <v>2912.78050585549</v>
      </c>
      <c r="I63" s="42">
        <v>9.7308621684299492</v>
      </c>
      <c r="J63" s="47">
        <v>21.650067034503699</v>
      </c>
      <c r="K63" s="5">
        <v>35</v>
      </c>
      <c r="L63">
        <v>1.6E-2</v>
      </c>
      <c r="M63">
        <v>4</v>
      </c>
      <c r="N63" s="24" t="s">
        <v>5</v>
      </c>
      <c r="O63" s="24" t="s">
        <v>5</v>
      </c>
      <c r="P63" s="36">
        <v>28.231037794500502</v>
      </c>
      <c r="Q63" s="20">
        <v>1.87430361246613E-2</v>
      </c>
      <c r="R63" s="28">
        <v>0.68022811018934104</v>
      </c>
    </row>
    <row r="64" spans="2:18" x14ac:dyDescent="0.3">
      <c r="B64" s="33">
        <f t="shared" si="0"/>
        <v>35</v>
      </c>
      <c r="C64" s="5" t="s">
        <v>38</v>
      </c>
      <c r="D64">
        <v>0.13800000000000001</v>
      </c>
      <c r="E64">
        <v>6.0000000000000001E-3</v>
      </c>
      <c r="F64">
        <v>0.3</v>
      </c>
      <c r="G64">
        <v>1</v>
      </c>
      <c r="H64" s="23">
        <v>1506.20701050547</v>
      </c>
      <c r="I64" s="42">
        <v>7.54</v>
      </c>
      <c r="J64" s="47">
        <v>16.566325738293401</v>
      </c>
      <c r="K64" s="5">
        <v>30</v>
      </c>
      <c r="L64" s="20">
        <v>1.0574876475789899E-2</v>
      </c>
      <c r="M64">
        <v>2</v>
      </c>
      <c r="N64" s="24" t="s">
        <v>5</v>
      </c>
      <c r="O64" s="24" t="s">
        <v>5</v>
      </c>
      <c r="P64" s="36">
        <v>23.721786382397902</v>
      </c>
      <c r="Q64" s="20">
        <v>1.31284495900742E-2</v>
      </c>
      <c r="R64" s="28">
        <v>0.62920354629585495</v>
      </c>
    </row>
    <row r="65" spans="2:18" x14ac:dyDescent="0.3">
      <c r="B65" s="33">
        <f t="shared" si="0"/>
        <v>36</v>
      </c>
      <c r="C65" s="5" t="s">
        <v>38</v>
      </c>
      <c r="D65">
        <v>0.13800000000000001</v>
      </c>
      <c r="E65">
        <v>6.0000000000000001E-3</v>
      </c>
      <c r="F65">
        <v>0.3</v>
      </c>
      <c r="G65">
        <v>1</v>
      </c>
      <c r="H65" s="23">
        <v>1501.1144573035999</v>
      </c>
      <c r="I65" s="42">
        <v>7.54</v>
      </c>
      <c r="J65" s="47">
        <v>16.596663570349101</v>
      </c>
      <c r="K65" s="5">
        <v>31</v>
      </c>
      <c r="L65" s="20">
        <v>1.01598362494351E-2</v>
      </c>
      <c r="M65">
        <v>2</v>
      </c>
      <c r="N65" s="24" t="s">
        <v>5</v>
      </c>
      <c r="O65" s="24" t="s">
        <v>5</v>
      </c>
      <c r="P65" s="36">
        <v>24.023072571587601</v>
      </c>
      <c r="Q65" s="20">
        <v>1.30076832012872E-2</v>
      </c>
      <c r="R65" s="28">
        <v>0.63628317478707697</v>
      </c>
    </row>
    <row r="66" spans="2:18" x14ac:dyDescent="0.3">
      <c r="B66" s="33">
        <f t="shared" si="0"/>
        <v>37</v>
      </c>
      <c r="C66" s="5" t="s">
        <v>38</v>
      </c>
      <c r="D66">
        <v>0.13800000000000001</v>
      </c>
      <c r="E66">
        <v>6.0000000000000001E-3</v>
      </c>
      <c r="F66">
        <v>0.3</v>
      </c>
      <c r="G66">
        <v>1</v>
      </c>
      <c r="H66" s="23">
        <v>1495.5821471961799</v>
      </c>
      <c r="I66" s="42">
        <v>7.54</v>
      </c>
      <c r="J66" s="47">
        <v>16.629455533774902</v>
      </c>
      <c r="K66" s="5">
        <v>32</v>
      </c>
      <c r="L66" s="20">
        <v>9.7454250344587295E-3</v>
      </c>
      <c r="M66">
        <v>2</v>
      </c>
      <c r="N66" s="24" t="s">
        <v>5</v>
      </c>
      <c r="O66" s="24" t="s">
        <v>5</v>
      </c>
      <c r="P66" s="36">
        <v>24.430609741005</v>
      </c>
      <c r="Q66" s="20">
        <v>1.2741409809352899E-2</v>
      </c>
      <c r="R66" s="28">
        <v>0.62920354629585495</v>
      </c>
    </row>
    <row r="67" spans="2:18" x14ac:dyDescent="0.3">
      <c r="B67" s="33">
        <f t="shared" si="0"/>
        <v>38</v>
      </c>
      <c r="C67" s="5" t="s">
        <v>38</v>
      </c>
      <c r="D67">
        <v>0.13800000000000001</v>
      </c>
      <c r="E67">
        <v>6.0000000000000001E-3</v>
      </c>
      <c r="F67">
        <v>0.3</v>
      </c>
      <c r="G67">
        <v>1</v>
      </c>
      <c r="H67" s="23">
        <v>1490.27075265966</v>
      </c>
      <c r="I67" s="42">
        <v>7.54</v>
      </c>
      <c r="J67" s="47">
        <v>16.661276923724799</v>
      </c>
      <c r="K67" s="5">
        <v>33</v>
      </c>
      <c r="L67" s="20">
        <v>9.3316402232968901E-3</v>
      </c>
      <c r="M67">
        <v>2</v>
      </c>
      <c r="N67" s="24" t="s">
        <v>5</v>
      </c>
      <c r="O67" s="24" t="s">
        <v>5</v>
      </c>
      <c r="P67" s="36">
        <v>24.7950608731615</v>
      </c>
      <c r="Q67" s="20">
        <v>1.25913097850934E-2</v>
      </c>
      <c r="R67" s="28">
        <v>0.63008849985725801</v>
      </c>
    </row>
    <row r="68" spans="2:18" x14ac:dyDescent="0.3">
      <c r="B68" s="33">
        <f t="shared" si="0"/>
        <v>39</v>
      </c>
      <c r="C68" s="5" t="s">
        <v>38</v>
      </c>
      <c r="D68">
        <v>0.13800000000000001</v>
      </c>
      <c r="E68">
        <v>6.0000000000000001E-3</v>
      </c>
      <c r="F68">
        <v>0.3</v>
      </c>
      <c r="G68">
        <v>1</v>
      </c>
      <c r="H68" s="23">
        <v>1484.7557370336301</v>
      </c>
      <c r="I68" s="42">
        <v>7.54</v>
      </c>
      <c r="J68" s="47">
        <v>16.6943492869061</v>
      </c>
      <c r="K68" s="5">
        <v>34</v>
      </c>
      <c r="L68" s="20">
        <v>8.9184792676947292E-3</v>
      </c>
      <c r="M68">
        <v>2</v>
      </c>
      <c r="N68" s="24" t="s">
        <v>5</v>
      </c>
      <c r="O68" s="24" t="s">
        <v>5</v>
      </c>
      <c r="P68" s="36">
        <v>25.213306873807699</v>
      </c>
      <c r="Q68" s="20">
        <v>1.24245771782134E-2</v>
      </c>
      <c r="R68" s="28">
        <v>0.62654867435885198</v>
      </c>
    </row>
    <row r="69" spans="2:18" x14ac:dyDescent="0.3">
      <c r="B69" s="33">
        <f t="shared" si="0"/>
        <v>40</v>
      </c>
      <c r="C69" s="5" t="s">
        <v>38</v>
      </c>
      <c r="D69">
        <v>0.13800000000000001</v>
      </c>
      <c r="E69">
        <v>6.0000000000000001E-3</v>
      </c>
      <c r="F69">
        <v>0.3</v>
      </c>
      <c r="G69">
        <v>1</v>
      </c>
      <c r="H69" s="23">
        <v>1479.5729228812399</v>
      </c>
      <c r="I69" s="42">
        <v>7.54</v>
      </c>
      <c r="J69" s="47">
        <v>16.725849228746</v>
      </c>
      <c r="K69" s="5">
        <v>35</v>
      </c>
      <c r="L69" s="20">
        <v>8.5059396726304796E-3</v>
      </c>
      <c r="M69">
        <v>2</v>
      </c>
      <c r="N69" s="24" t="s">
        <v>5</v>
      </c>
      <c r="O69" s="24" t="s">
        <v>5</v>
      </c>
      <c r="P69" s="36">
        <v>25.5621937770111</v>
      </c>
      <c r="Q69" s="20">
        <v>1.2281567164132199E-2</v>
      </c>
      <c r="R69" s="28">
        <v>0.62920354629585495</v>
      </c>
    </row>
    <row r="70" spans="2:18" x14ac:dyDescent="0.3">
      <c r="B70" s="33">
        <f t="shared" si="0"/>
        <v>41</v>
      </c>
      <c r="C70" s="5" t="s">
        <v>38</v>
      </c>
      <c r="D70">
        <v>0.13800000000000001</v>
      </c>
      <c r="E70">
        <v>6.0000000000000001E-3</v>
      </c>
      <c r="F70">
        <v>0.3</v>
      </c>
      <c r="G70">
        <v>1</v>
      </c>
      <c r="H70" s="23">
        <v>1474.36848358666</v>
      </c>
      <c r="I70" s="42">
        <v>7.54</v>
      </c>
      <c r="J70" s="47">
        <v>16.757636548413299</v>
      </c>
      <c r="K70" s="5">
        <v>36</v>
      </c>
      <c r="L70" s="20">
        <v>8.0940189955640007E-3</v>
      </c>
      <c r="M70">
        <v>2</v>
      </c>
      <c r="N70" s="24" t="s">
        <v>5</v>
      </c>
      <c r="O70" s="24" t="s">
        <v>5</v>
      </c>
      <c r="P70" s="36">
        <v>25.922833310213701</v>
      </c>
      <c r="Q70" s="20">
        <v>1.2134026384786899E-2</v>
      </c>
      <c r="R70" s="28">
        <v>0.63008849985725801</v>
      </c>
    </row>
    <row r="71" spans="2:18" x14ac:dyDescent="0.3">
      <c r="B71" s="33">
        <f t="shared" si="0"/>
        <v>42</v>
      </c>
      <c r="C71" s="5" t="s">
        <v>38</v>
      </c>
      <c r="D71">
        <v>0.13800000000000001</v>
      </c>
      <c r="E71">
        <v>6.0000000000000001E-3</v>
      </c>
      <c r="F71">
        <v>0.3</v>
      </c>
      <c r="G71">
        <v>1</v>
      </c>
      <c r="H71" s="23">
        <v>1496.29511438605</v>
      </c>
      <c r="I71" s="42">
        <v>7.54</v>
      </c>
      <c r="J71" s="47">
        <v>16.590708610280402</v>
      </c>
      <c r="K71" s="5">
        <v>30</v>
      </c>
      <c r="L71" s="20">
        <v>1.3371306287458201E-2</v>
      </c>
      <c r="M71">
        <v>2</v>
      </c>
      <c r="N71" s="24" t="s">
        <v>5</v>
      </c>
      <c r="O71" s="24" t="s">
        <v>5</v>
      </c>
      <c r="P71" s="36">
        <v>24.93248952327</v>
      </c>
      <c r="Q71" s="20">
        <v>1.5449661595541699E-2</v>
      </c>
      <c r="R71" s="28">
        <v>0.63451327891706699</v>
      </c>
    </row>
    <row r="72" spans="2:18" x14ac:dyDescent="0.3">
      <c r="B72" s="33">
        <f t="shared" si="0"/>
        <v>43</v>
      </c>
      <c r="C72" s="5" t="s">
        <v>38</v>
      </c>
      <c r="D72">
        <v>0.13800000000000001</v>
      </c>
      <c r="E72">
        <v>6.0000000000000001E-3</v>
      </c>
      <c r="F72">
        <v>0.3</v>
      </c>
      <c r="G72">
        <v>1</v>
      </c>
      <c r="H72" s="23">
        <v>1490.7489307456999</v>
      </c>
      <c r="I72" s="42">
        <v>7.54</v>
      </c>
      <c r="J72" s="47">
        <v>16.623574938172101</v>
      </c>
      <c r="K72" s="5">
        <v>31</v>
      </c>
      <c r="L72" s="20">
        <v>1.29526439757716E-2</v>
      </c>
      <c r="M72">
        <v>2</v>
      </c>
      <c r="N72" s="24" t="s">
        <v>5</v>
      </c>
      <c r="O72" s="24" t="s">
        <v>5</v>
      </c>
      <c r="P72" s="36">
        <v>25.350471011138499</v>
      </c>
      <c r="Q72" s="20">
        <v>1.52818392508629E-2</v>
      </c>
      <c r="R72" s="28">
        <v>0.63008849985725801</v>
      </c>
    </row>
    <row r="73" spans="2:18" x14ac:dyDescent="0.3">
      <c r="B73" s="33">
        <f t="shared" si="0"/>
        <v>44</v>
      </c>
      <c r="C73" s="5" t="s">
        <v>38</v>
      </c>
      <c r="D73">
        <v>0.13800000000000001</v>
      </c>
      <c r="E73">
        <v>6.0000000000000001E-3</v>
      </c>
      <c r="F73">
        <v>0.3</v>
      </c>
      <c r="G73">
        <v>1</v>
      </c>
      <c r="H73" s="23">
        <v>1485.55504835633</v>
      </c>
      <c r="I73" s="42">
        <v>7.54</v>
      </c>
      <c r="J73" s="47">
        <v>16.654783249543001</v>
      </c>
      <c r="K73" s="5">
        <v>32</v>
      </c>
      <c r="L73" s="20">
        <v>1.2534621545411399E-2</v>
      </c>
      <c r="M73">
        <v>2</v>
      </c>
      <c r="N73" s="24" t="s">
        <v>5</v>
      </c>
      <c r="O73" s="24" t="s">
        <v>5</v>
      </c>
      <c r="P73" s="36">
        <v>25.695020439950699</v>
      </c>
      <c r="Q73" s="20">
        <v>1.5041465273814499E-2</v>
      </c>
      <c r="R73" s="28">
        <v>0.62920354629585495</v>
      </c>
    </row>
    <row r="74" spans="2:18" x14ac:dyDescent="0.3">
      <c r="B74" s="33">
        <f t="shared" si="0"/>
        <v>45</v>
      </c>
      <c r="C74" s="5" t="s">
        <v>38</v>
      </c>
      <c r="D74">
        <v>0.13800000000000001</v>
      </c>
      <c r="E74">
        <v>6.0000000000000001E-3</v>
      </c>
      <c r="F74">
        <v>0.3</v>
      </c>
      <c r="G74">
        <v>1</v>
      </c>
      <c r="H74" s="23">
        <v>1480.2908126003599</v>
      </c>
      <c r="I74" s="42">
        <v>7.54</v>
      </c>
      <c r="J74" s="47">
        <v>16.686532632456299</v>
      </c>
      <c r="K74" s="5">
        <v>33</v>
      </c>
      <c r="L74" s="20">
        <v>1.2117236214124701E-2</v>
      </c>
      <c r="M74">
        <v>2</v>
      </c>
      <c r="N74" s="24" t="s">
        <v>5</v>
      </c>
      <c r="O74" s="24" t="s">
        <v>5</v>
      </c>
      <c r="P74" s="36">
        <v>26.0625229689111</v>
      </c>
      <c r="Q74" s="20">
        <v>1.4896943456127999E-2</v>
      </c>
      <c r="R74" s="28">
        <v>0.63008849985725801</v>
      </c>
    </row>
    <row r="75" spans="2:18" x14ac:dyDescent="0.3">
      <c r="B75" s="33">
        <f t="shared" si="0"/>
        <v>46</v>
      </c>
      <c r="C75" s="5" t="s">
        <v>38</v>
      </c>
      <c r="D75">
        <v>0.13800000000000001</v>
      </c>
      <c r="E75">
        <v>6.0000000000000001E-3</v>
      </c>
      <c r="F75">
        <v>0.3</v>
      </c>
      <c r="G75">
        <v>1</v>
      </c>
      <c r="H75" s="23">
        <v>1474.8596321487801</v>
      </c>
      <c r="I75" s="42">
        <v>7.54</v>
      </c>
      <c r="J75" s="47">
        <v>16.719343308558599</v>
      </c>
      <c r="K75" s="5">
        <v>34</v>
      </c>
      <c r="L75" s="20">
        <v>1.1700485263714E-2</v>
      </c>
      <c r="M75">
        <v>2</v>
      </c>
      <c r="N75" s="24" t="s">
        <v>5</v>
      </c>
      <c r="O75" s="24" t="s">
        <v>5</v>
      </c>
      <c r="P75" s="36">
        <v>26.475790248891801</v>
      </c>
      <c r="Q75" s="20">
        <v>1.47276373060605E-2</v>
      </c>
      <c r="R75" s="28">
        <v>0.62654867435885198</v>
      </c>
    </row>
    <row r="76" spans="2:18" x14ac:dyDescent="0.3">
      <c r="B76" s="33">
        <f t="shared" si="0"/>
        <v>47</v>
      </c>
      <c r="C76" s="5" t="s">
        <v>38</v>
      </c>
      <c r="D76">
        <v>0.13800000000000001</v>
      </c>
      <c r="E76">
        <v>6.0000000000000001E-3</v>
      </c>
      <c r="F76">
        <v>0.3</v>
      </c>
      <c r="G76">
        <v>1</v>
      </c>
      <c r="H76" s="23">
        <v>1469.99132186311</v>
      </c>
      <c r="I76" s="42">
        <v>7.54</v>
      </c>
      <c r="J76" s="47">
        <v>16.749338740852998</v>
      </c>
      <c r="K76" s="5">
        <v>35</v>
      </c>
      <c r="L76" s="20">
        <v>1.12843659654626E-2</v>
      </c>
      <c r="M76">
        <v>2</v>
      </c>
      <c r="N76" s="24" t="s">
        <v>5</v>
      </c>
      <c r="O76" s="24" t="s">
        <v>5</v>
      </c>
      <c r="P76" s="36">
        <v>26.7648390722462</v>
      </c>
      <c r="Q76" s="20">
        <v>1.4614501582050099E-2</v>
      </c>
      <c r="R76" s="28">
        <v>0.63362832535566405</v>
      </c>
    </row>
    <row r="77" spans="2:18" x14ac:dyDescent="0.3">
      <c r="B77" s="33">
        <f t="shared" si="0"/>
        <v>48</v>
      </c>
      <c r="C77" s="5" t="s">
        <v>38</v>
      </c>
      <c r="D77">
        <v>0.13800000000000001</v>
      </c>
      <c r="E77">
        <v>6.0000000000000001E-3</v>
      </c>
      <c r="F77">
        <v>0.3</v>
      </c>
      <c r="G77">
        <v>1</v>
      </c>
      <c r="H77" s="23">
        <v>1464.4954502466001</v>
      </c>
      <c r="I77" s="42">
        <v>7.54</v>
      </c>
      <c r="J77" s="47">
        <v>16.7828555602281</v>
      </c>
      <c r="K77" s="5">
        <v>36</v>
      </c>
      <c r="L77" s="20">
        <v>1.0868875866303199E-2</v>
      </c>
      <c r="M77">
        <v>2</v>
      </c>
      <c r="N77" s="24" t="s">
        <v>5</v>
      </c>
      <c r="O77" s="24" t="s">
        <v>5</v>
      </c>
      <c r="P77" s="36">
        <v>27.207521944718199</v>
      </c>
      <c r="Q77" s="20">
        <v>1.4432092066952701E-2</v>
      </c>
      <c r="R77" s="28">
        <v>0.62920354629585495</v>
      </c>
    </row>
    <row r="78" spans="2:18" x14ac:dyDescent="0.3">
      <c r="B78" s="33">
        <f t="shared" si="0"/>
        <v>49</v>
      </c>
      <c r="C78" s="5" t="s">
        <v>38</v>
      </c>
      <c r="D78">
        <v>0.1</v>
      </c>
      <c r="E78">
        <v>6.0000000000000001E-3</v>
      </c>
      <c r="F78">
        <v>0.3</v>
      </c>
      <c r="G78">
        <v>1</v>
      </c>
      <c r="H78" s="23">
        <v>1447.2918732851999</v>
      </c>
      <c r="I78" s="42">
        <v>7.54</v>
      </c>
      <c r="J78" s="47">
        <v>16.824685957907999</v>
      </c>
      <c r="K78" s="5">
        <v>35</v>
      </c>
      <c r="L78">
        <v>1.6E-2</v>
      </c>
      <c r="M78">
        <v>2</v>
      </c>
      <c r="N78" s="24" t="s">
        <v>5</v>
      </c>
      <c r="O78" s="24" t="s">
        <v>5</v>
      </c>
      <c r="P78" s="36">
        <v>30.401087442734202</v>
      </c>
      <c r="Q78" s="20">
        <v>1.7860926333644701E-2</v>
      </c>
      <c r="R78" s="28">
        <v>0.46196479408896701</v>
      </c>
    </row>
    <row r="79" spans="2:18" x14ac:dyDescent="0.3">
      <c r="B79" s="33">
        <f t="shared" si="0"/>
        <v>50</v>
      </c>
      <c r="C79" s="5" t="s">
        <v>38</v>
      </c>
      <c r="D79">
        <v>0.125</v>
      </c>
      <c r="E79">
        <v>6.0000000000000001E-3</v>
      </c>
      <c r="F79">
        <v>0.3</v>
      </c>
      <c r="G79">
        <v>1</v>
      </c>
      <c r="H79" s="23">
        <v>1452.1634608454101</v>
      </c>
      <c r="I79" s="42">
        <v>7.54</v>
      </c>
      <c r="J79" s="47">
        <v>16.798374263792201</v>
      </c>
      <c r="K79" s="5">
        <v>35</v>
      </c>
      <c r="L79">
        <v>1.6E-2</v>
      </c>
      <c r="M79">
        <v>2</v>
      </c>
      <c r="N79" s="24" t="s">
        <v>5</v>
      </c>
      <c r="O79" s="24" t="s">
        <v>5</v>
      </c>
      <c r="P79" s="36">
        <v>29.236427769140899</v>
      </c>
      <c r="Q79" s="20">
        <v>1.8332129525165001E-2</v>
      </c>
      <c r="R79" s="28">
        <v>0.57909324094526604</v>
      </c>
    </row>
    <row r="80" spans="2:18" x14ac:dyDescent="0.3">
      <c r="B80" s="33">
        <f t="shared" si="0"/>
        <v>51</v>
      </c>
      <c r="C80" s="5" t="s">
        <v>38</v>
      </c>
      <c r="D80">
        <v>0.15</v>
      </c>
      <c r="E80">
        <v>6.0000000000000001E-3</v>
      </c>
      <c r="F80">
        <v>0.3</v>
      </c>
      <c r="G80">
        <v>1</v>
      </c>
      <c r="H80" s="23">
        <v>1456.0547309956</v>
      </c>
      <c r="I80" s="42">
        <v>7.54</v>
      </c>
      <c r="J80" s="47">
        <v>16.777447343458199</v>
      </c>
      <c r="K80" s="5">
        <v>35</v>
      </c>
      <c r="L80">
        <v>1.6E-2</v>
      </c>
      <c r="M80">
        <v>2</v>
      </c>
      <c r="N80" s="24" t="s">
        <v>5</v>
      </c>
      <c r="O80" s="24" t="s">
        <v>5</v>
      </c>
      <c r="P80" s="36">
        <v>28.310672643977</v>
      </c>
      <c r="Q80" s="20">
        <v>1.8710467484205798E-2</v>
      </c>
      <c r="R80" s="28">
        <v>0.67229222774109498</v>
      </c>
    </row>
    <row r="81" spans="2:18" x14ac:dyDescent="0.3">
      <c r="B81" s="33">
        <f t="shared" si="0"/>
        <v>52</v>
      </c>
      <c r="C81" s="5" t="s">
        <v>38</v>
      </c>
      <c r="D81">
        <v>0.17499999999999999</v>
      </c>
      <c r="E81">
        <v>6.0000000000000001E-3</v>
      </c>
      <c r="F81">
        <v>0.3</v>
      </c>
      <c r="G81">
        <v>1</v>
      </c>
      <c r="H81" s="23">
        <v>1459.2472541975801</v>
      </c>
      <c r="I81" s="42">
        <v>7.54</v>
      </c>
      <c r="J81" s="47">
        <v>16.760337541156101</v>
      </c>
      <c r="K81" s="5">
        <v>35</v>
      </c>
      <c r="L81">
        <v>1.6E-2</v>
      </c>
      <c r="M81">
        <v>2</v>
      </c>
      <c r="N81" s="24" t="s">
        <v>5</v>
      </c>
      <c r="O81" s="24" t="s">
        <v>5</v>
      </c>
      <c r="P81" s="36">
        <v>27.554141573950599</v>
      </c>
      <c r="Q81" s="20">
        <v>1.9020019670401199E-2</v>
      </c>
      <c r="R81" s="28">
        <v>0.74785898417967001</v>
      </c>
    </row>
    <row r="82" spans="2:18" x14ac:dyDescent="0.3">
      <c r="B82" s="33">
        <f t="shared" si="0"/>
        <v>53</v>
      </c>
      <c r="C82" s="5" t="s">
        <v>38</v>
      </c>
      <c r="D82">
        <v>0.2</v>
      </c>
      <c r="E82">
        <v>6.0000000000000001E-3</v>
      </c>
      <c r="F82">
        <v>0.3</v>
      </c>
      <c r="G82">
        <v>1</v>
      </c>
      <c r="H82" s="23">
        <v>1461.98670935821</v>
      </c>
      <c r="I82" s="42">
        <v>7.54</v>
      </c>
      <c r="J82" s="47">
        <v>16.7456982744167</v>
      </c>
      <c r="K82" s="5">
        <v>35</v>
      </c>
      <c r="L82">
        <v>1.6E-2</v>
      </c>
      <c r="M82">
        <v>2</v>
      </c>
      <c r="N82" s="24" t="s">
        <v>5</v>
      </c>
      <c r="O82" s="24" t="s">
        <v>5</v>
      </c>
      <c r="P82" s="36">
        <v>26.907108421954302</v>
      </c>
      <c r="Q82" s="20">
        <v>1.9280955679338501E-2</v>
      </c>
      <c r="R82" s="28">
        <v>0.81335013465786199</v>
      </c>
    </row>
    <row r="83" spans="2:18" x14ac:dyDescent="0.3">
      <c r="B83" s="33">
        <f t="shared" si="0"/>
        <v>54</v>
      </c>
      <c r="C83" s="5" t="s">
        <v>38</v>
      </c>
      <c r="D83">
        <v>0.22500000000000001</v>
      </c>
      <c r="E83">
        <v>6.0000000000000001E-3</v>
      </c>
      <c r="F83">
        <v>0.3</v>
      </c>
      <c r="G83">
        <v>1</v>
      </c>
      <c r="H83" s="23">
        <v>1463.93043920074</v>
      </c>
      <c r="I83" s="42">
        <v>7.54</v>
      </c>
      <c r="J83" s="47">
        <v>16.7353348965541</v>
      </c>
      <c r="K83" s="5">
        <v>35</v>
      </c>
      <c r="L83">
        <v>1.6E-2</v>
      </c>
      <c r="M83">
        <v>2</v>
      </c>
      <c r="N83" s="24" t="s">
        <v>5</v>
      </c>
      <c r="O83" s="24" t="s">
        <v>5</v>
      </c>
      <c r="P83" s="36">
        <v>26.449208037464601</v>
      </c>
      <c r="Q83" s="20">
        <v>1.9468650734649401E-2</v>
      </c>
      <c r="R83" s="28">
        <v>0.85869023336212102</v>
      </c>
    </row>
    <row r="84" spans="2:18" x14ac:dyDescent="0.3">
      <c r="B84" s="33">
        <f t="shared" si="0"/>
        <v>55</v>
      </c>
      <c r="C84" s="5" t="s">
        <v>38</v>
      </c>
      <c r="D84">
        <v>0.25</v>
      </c>
      <c r="E84">
        <v>6.0000000000000001E-3</v>
      </c>
      <c r="F84">
        <v>0.3</v>
      </c>
      <c r="G84">
        <v>1</v>
      </c>
      <c r="H84" s="23">
        <v>1465.15798679926</v>
      </c>
      <c r="I84" s="42">
        <v>7.54</v>
      </c>
      <c r="J84" s="47">
        <v>16.7288000637068</v>
      </c>
      <c r="K84" s="5">
        <v>35</v>
      </c>
      <c r="L84">
        <v>1.6E-2</v>
      </c>
      <c r="M84">
        <v>2</v>
      </c>
      <c r="N84" s="24" t="s">
        <v>5</v>
      </c>
      <c r="O84" s="24" t="s">
        <v>5</v>
      </c>
      <c r="P84" s="36">
        <v>26.160531708112501</v>
      </c>
      <c r="Q84" s="20">
        <v>1.9587043604124599E-2</v>
      </c>
      <c r="R84" s="28">
        <v>0.88765746437341497</v>
      </c>
    </row>
    <row r="85" spans="2:18" x14ac:dyDescent="0.3">
      <c r="B85" s="33">
        <f t="shared" si="0"/>
        <v>56</v>
      </c>
      <c r="C85" s="5" t="s">
        <v>38</v>
      </c>
      <c r="D85">
        <v>0.27500000000000002</v>
      </c>
      <c r="E85">
        <v>6.0000000000000001E-3</v>
      </c>
      <c r="F85">
        <v>0.3</v>
      </c>
      <c r="G85">
        <v>1</v>
      </c>
      <c r="H85" s="23">
        <v>1466.5144585056601</v>
      </c>
      <c r="I85" s="42">
        <v>7.54</v>
      </c>
      <c r="J85" s="47">
        <v>16.7215879573019</v>
      </c>
      <c r="K85" s="5">
        <v>35</v>
      </c>
      <c r="L85">
        <v>1.6E-2</v>
      </c>
      <c r="M85">
        <v>2</v>
      </c>
      <c r="N85" s="24" t="s">
        <v>5</v>
      </c>
      <c r="O85" s="24" t="s">
        <v>5</v>
      </c>
      <c r="P85" s="36">
        <v>25.841992310206599</v>
      </c>
      <c r="Q85" s="20">
        <v>1.9717740935303998E-2</v>
      </c>
      <c r="R85" s="28">
        <v>0.92040307164187696</v>
      </c>
    </row>
    <row r="86" spans="2:18" x14ac:dyDescent="0.3">
      <c r="B86" s="33">
        <f t="shared" si="0"/>
        <v>57</v>
      </c>
      <c r="C86" s="5" t="s">
        <v>38</v>
      </c>
      <c r="D86">
        <v>0.3</v>
      </c>
      <c r="E86">
        <v>6.0000000000000001E-3</v>
      </c>
      <c r="F86">
        <v>0.3</v>
      </c>
      <c r="G86">
        <v>1</v>
      </c>
      <c r="H86" s="23">
        <v>1467.4057491281001</v>
      </c>
      <c r="I86" s="42">
        <v>7.54</v>
      </c>
      <c r="J86" s="47">
        <v>16.716854295752601</v>
      </c>
      <c r="K86" s="5">
        <v>35</v>
      </c>
      <c r="L86">
        <v>1.6E-2</v>
      </c>
      <c r="M86">
        <v>2</v>
      </c>
      <c r="N86" s="24" t="s">
        <v>5</v>
      </c>
      <c r="O86" s="24" t="s">
        <v>5</v>
      </c>
      <c r="P86" s="36">
        <v>25.632950830330898</v>
      </c>
      <c r="Q86" s="20">
        <v>1.9803543534787599E-2</v>
      </c>
      <c r="R86" s="28">
        <v>0.94055420348922802</v>
      </c>
    </row>
    <row r="87" spans="2:18" x14ac:dyDescent="0.3">
      <c r="B87" s="33">
        <f t="shared" si="0"/>
        <v>58</v>
      </c>
      <c r="C87" s="5" t="s">
        <v>38</v>
      </c>
      <c r="D87">
        <v>0.1</v>
      </c>
      <c r="E87">
        <v>6.0000000000000001E-3</v>
      </c>
      <c r="F87">
        <v>0.3</v>
      </c>
      <c r="G87">
        <v>1</v>
      </c>
      <c r="H87" s="23">
        <v>2166.0882620714601</v>
      </c>
      <c r="I87" s="42">
        <v>7.54</v>
      </c>
      <c r="J87" s="47">
        <v>16.842217371930101</v>
      </c>
      <c r="K87" s="5">
        <v>35</v>
      </c>
      <c r="L87">
        <v>1.6E-2</v>
      </c>
      <c r="M87">
        <v>3</v>
      </c>
      <c r="N87" s="24" t="s">
        <v>5</v>
      </c>
      <c r="O87" s="24" t="s">
        <v>5</v>
      </c>
      <c r="P87" s="36">
        <v>31.177527225129701</v>
      </c>
      <c r="Q87" s="20">
        <v>1.7544520206771299E-2</v>
      </c>
      <c r="R87" s="28">
        <v>0.38387905608688</v>
      </c>
    </row>
    <row r="88" spans="2:18" x14ac:dyDescent="0.3">
      <c r="B88" s="33">
        <f t="shared" si="0"/>
        <v>59</v>
      </c>
      <c r="C88" s="5" t="s">
        <v>38</v>
      </c>
      <c r="D88">
        <v>0.125</v>
      </c>
      <c r="E88">
        <v>6.0000000000000001E-3</v>
      </c>
      <c r="F88">
        <v>0.3</v>
      </c>
      <c r="G88">
        <v>1</v>
      </c>
      <c r="H88" s="23">
        <v>2173.6812185768899</v>
      </c>
      <c r="I88" s="42">
        <v>7.54</v>
      </c>
      <c r="J88" s="47">
        <v>16.814793015027799</v>
      </c>
      <c r="K88" s="5">
        <v>35</v>
      </c>
      <c r="L88">
        <v>1.6E-2</v>
      </c>
      <c r="M88">
        <v>3</v>
      </c>
      <c r="N88" s="24" t="s">
        <v>5</v>
      </c>
      <c r="O88" s="24" t="s">
        <v>5</v>
      </c>
      <c r="P88" s="36">
        <v>29.963095770613599</v>
      </c>
      <c r="Q88" s="20">
        <v>1.80395669264223E-2</v>
      </c>
      <c r="R88" s="28">
        <v>0.50604540201146897</v>
      </c>
    </row>
    <row r="89" spans="2:18" x14ac:dyDescent="0.3">
      <c r="B89" s="33">
        <f t="shared" si="0"/>
        <v>60</v>
      </c>
      <c r="C89" s="5" t="s">
        <v>38</v>
      </c>
      <c r="D89">
        <v>0.15</v>
      </c>
      <c r="E89">
        <v>6.0000000000000001E-3</v>
      </c>
      <c r="F89">
        <v>0.3</v>
      </c>
      <c r="G89">
        <v>1</v>
      </c>
      <c r="H89" s="23">
        <v>2179.62368045626</v>
      </c>
      <c r="I89" s="42">
        <v>7.54</v>
      </c>
      <c r="J89" s="47">
        <v>16.7934248098592</v>
      </c>
      <c r="K89" s="5">
        <v>35</v>
      </c>
      <c r="L89">
        <v>1.6E-2</v>
      </c>
      <c r="M89">
        <v>3</v>
      </c>
      <c r="N89" s="24" t="s">
        <v>5</v>
      </c>
      <c r="O89" s="24" t="s">
        <v>5</v>
      </c>
      <c r="P89" s="36">
        <v>29.017431933080601</v>
      </c>
      <c r="Q89" s="20">
        <v>1.8421583539973401E-2</v>
      </c>
      <c r="R89" s="28">
        <v>0.600503847559688</v>
      </c>
    </row>
    <row r="90" spans="2:18" x14ac:dyDescent="0.3">
      <c r="B90" s="33">
        <f t="shared" si="0"/>
        <v>61</v>
      </c>
      <c r="C90" s="5" t="s">
        <v>38</v>
      </c>
      <c r="D90">
        <v>0.17499999999999999</v>
      </c>
      <c r="E90">
        <v>6.0000000000000001E-3</v>
      </c>
      <c r="F90">
        <v>0.3</v>
      </c>
      <c r="G90">
        <v>1</v>
      </c>
      <c r="H90" s="23">
        <v>2184.9629648865598</v>
      </c>
      <c r="I90" s="42">
        <v>7.54</v>
      </c>
      <c r="J90" s="47">
        <v>16.7742960945234</v>
      </c>
      <c r="K90" s="5">
        <v>35</v>
      </c>
      <c r="L90">
        <v>1.6E-2</v>
      </c>
      <c r="M90">
        <v>3</v>
      </c>
      <c r="N90" s="24" t="s">
        <v>5</v>
      </c>
      <c r="O90" s="24" t="s">
        <v>5</v>
      </c>
      <c r="P90" s="36">
        <v>28.171311657393201</v>
      </c>
      <c r="Q90" s="20">
        <v>1.8767465043660499E-2</v>
      </c>
      <c r="R90" s="28">
        <v>0.68614614589991396</v>
      </c>
    </row>
    <row r="91" spans="2:18" x14ac:dyDescent="0.3">
      <c r="B91" s="33">
        <f t="shared" si="0"/>
        <v>62</v>
      </c>
      <c r="C91" s="5" t="s">
        <v>38</v>
      </c>
      <c r="D91">
        <v>0.2</v>
      </c>
      <c r="E91">
        <v>6.0000000000000001E-3</v>
      </c>
      <c r="F91">
        <v>0.3</v>
      </c>
      <c r="G91">
        <v>1</v>
      </c>
      <c r="H91" s="23">
        <v>2188.4922010933101</v>
      </c>
      <c r="I91" s="42">
        <v>7.54</v>
      </c>
      <c r="J91" s="47">
        <v>16.7616885845109</v>
      </c>
      <c r="K91" s="5">
        <v>35</v>
      </c>
      <c r="L91">
        <v>1.6E-2</v>
      </c>
      <c r="M91">
        <v>3</v>
      </c>
      <c r="N91" s="24" t="s">
        <v>5</v>
      </c>
      <c r="O91" s="24" t="s">
        <v>5</v>
      </c>
      <c r="P91" s="36">
        <v>27.6138677110579</v>
      </c>
      <c r="Q91" s="20">
        <v>1.8995569135835302E-2</v>
      </c>
      <c r="R91" s="28">
        <v>0.741561754476456</v>
      </c>
    </row>
    <row r="92" spans="2:18" x14ac:dyDescent="0.3">
      <c r="B92" s="33">
        <f t="shared" si="0"/>
        <v>63</v>
      </c>
      <c r="C92" s="5" t="s">
        <v>38</v>
      </c>
      <c r="D92">
        <v>0.22500000000000001</v>
      </c>
      <c r="E92">
        <v>6.0000000000000001E-3</v>
      </c>
      <c r="F92">
        <v>0.3</v>
      </c>
      <c r="G92">
        <v>1</v>
      </c>
      <c r="H92" s="23">
        <v>2191.7776264466302</v>
      </c>
      <c r="I92" s="42">
        <v>7.54</v>
      </c>
      <c r="J92" s="47">
        <v>16.7499780061518</v>
      </c>
      <c r="K92" s="5">
        <v>35</v>
      </c>
      <c r="L92">
        <v>1.6E-2</v>
      </c>
      <c r="M92">
        <v>3</v>
      </c>
      <c r="N92" s="24" t="s">
        <v>5</v>
      </c>
      <c r="O92" s="24" t="s">
        <v>5</v>
      </c>
      <c r="P92" s="36">
        <v>27.096241189460901</v>
      </c>
      <c r="Q92" s="20">
        <v>1.9203465423794499E-2</v>
      </c>
      <c r="R92" s="28">
        <v>0.79445844554821898</v>
      </c>
    </row>
    <row r="93" spans="2:18" x14ac:dyDescent="0.3">
      <c r="B93" s="33">
        <f t="shared" si="0"/>
        <v>64</v>
      </c>
      <c r="C93" s="5" t="s">
        <v>38</v>
      </c>
      <c r="D93">
        <v>0.25</v>
      </c>
      <c r="E93">
        <v>6.0000000000000001E-3</v>
      </c>
      <c r="F93">
        <v>0.3</v>
      </c>
      <c r="G93">
        <v>1</v>
      </c>
      <c r="H93" s="23">
        <v>2194.0568354430402</v>
      </c>
      <c r="I93" s="42">
        <v>7.54</v>
      </c>
      <c r="J93" s="47">
        <v>16.741868647412701</v>
      </c>
      <c r="K93" s="5">
        <v>35</v>
      </c>
      <c r="L93">
        <v>1.6E-2</v>
      </c>
      <c r="M93">
        <v>3</v>
      </c>
      <c r="N93" s="24" t="s">
        <v>5</v>
      </c>
      <c r="O93" s="24" t="s">
        <v>5</v>
      </c>
      <c r="P93" s="36">
        <v>26.7378843668168</v>
      </c>
      <c r="Q93" s="20">
        <v>1.9350306883506599E-2</v>
      </c>
      <c r="R93" s="28">
        <v>0.82972297032146003</v>
      </c>
    </row>
    <row r="94" spans="2:18" x14ac:dyDescent="0.3">
      <c r="B94" s="33">
        <f t="shared" si="0"/>
        <v>65</v>
      </c>
      <c r="C94" s="5" t="s">
        <v>38</v>
      </c>
      <c r="D94">
        <v>0.27500000000000002</v>
      </c>
      <c r="E94">
        <v>6.0000000000000001E-3</v>
      </c>
      <c r="F94">
        <v>0.3</v>
      </c>
      <c r="G94">
        <v>1</v>
      </c>
      <c r="H94" s="23">
        <v>2196.3398867988499</v>
      </c>
      <c r="I94" s="42">
        <v>7.54</v>
      </c>
      <c r="J94" s="47">
        <v>16.7337576221944</v>
      </c>
      <c r="K94" s="5">
        <v>35</v>
      </c>
      <c r="L94">
        <v>1.6E-2</v>
      </c>
      <c r="M94">
        <v>3</v>
      </c>
      <c r="N94" s="24" t="s">
        <v>5</v>
      </c>
      <c r="O94" s="24" t="s">
        <v>5</v>
      </c>
      <c r="P94" s="36">
        <v>26.379527544172699</v>
      </c>
      <c r="Q94" s="20">
        <v>1.9497223834675202E-2</v>
      </c>
      <c r="R94" s="28">
        <v>0.86624688978835795</v>
      </c>
    </row>
    <row r="95" spans="2:18" x14ac:dyDescent="0.3">
      <c r="B95" s="33">
        <f t="shared" si="0"/>
        <v>66</v>
      </c>
      <c r="C95" s="5" t="s">
        <v>38</v>
      </c>
      <c r="D95">
        <v>0.3</v>
      </c>
      <c r="E95">
        <v>6.0000000000000001E-3</v>
      </c>
      <c r="F95">
        <v>0.3</v>
      </c>
      <c r="G95">
        <v>1</v>
      </c>
      <c r="H95" s="23">
        <v>2198.4996380917401</v>
      </c>
      <c r="I95" s="42">
        <v>7.54</v>
      </c>
      <c r="J95" s="47">
        <v>16.726095678315101</v>
      </c>
      <c r="K95" s="5">
        <v>35</v>
      </c>
      <c r="L95">
        <v>1.6E-2</v>
      </c>
      <c r="M95">
        <v>3</v>
      </c>
      <c r="N95" s="24" t="s">
        <v>5</v>
      </c>
      <c r="O95" s="24" t="s">
        <v>5</v>
      </c>
      <c r="P95" s="36">
        <v>26.041079433897799</v>
      </c>
      <c r="Q95" s="20">
        <v>1.9636048102478699E-2</v>
      </c>
      <c r="R95" s="28">
        <v>0.900251939794527</v>
      </c>
    </row>
    <row r="96" spans="2:18" x14ac:dyDescent="0.3">
      <c r="B96" s="33">
        <f t="shared" si="0"/>
        <v>67</v>
      </c>
      <c r="C96" s="5" t="s">
        <v>38</v>
      </c>
      <c r="D96">
        <v>0.13800000000000001</v>
      </c>
      <c r="E96">
        <v>6.0000000000000001E-3</v>
      </c>
      <c r="F96">
        <v>0.3</v>
      </c>
      <c r="G96">
        <v>1</v>
      </c>
      <c r="H96" s="23">
        <v>1489.7605742870901</v>
      </c>
      <c r="I96" s="42">
        <v>7.54</v>
      </c>
      <c r="J96" s="47">
        <v>16.697267622059499</v>
      </c>
      <c r="K96" s="5">
        <v>35</v>
      </c>
      <c r="L96" s="20">
        <v>5.9506667012521001E-3</v>
      </c>
      <c r="M96">
        <v>2</v>
      </c>
      <c r="N96" s="24" t="s">
        <v>5</v>
      </c>
      <c r="O96" s="24" t="s">
        <v>5</v>
      </c>
      <c r="P96" s="36">
        <v>24.1626996514868</v>
      </c>
      <c r="Q96" s="20">
        <v>1.03273595928941E-2</v>
      </c>
      <c r="R96" s="28">
        <v>0.63909091371478399</v>
      </c>
    </row>
    <row r="97" spans="2:18" x14ac:dyDescent="0.3">
      <c r="B97" s="33">
        <f t="shared" si="0"/>
        <v>68</v>
      </c>
      <c r="C97" s="5" t="s">
        <v>38</v>
      </c>
      <c r="D97">
        <v>0.13800000000000001</v>
      </c>
      <c r="E97">
        <v>6.0000000000000001E-3</v>
      </c>
      <c r="F97">
        <v>0.3</v>
      </c>
      <c r="G97">
        <v>1</v>
      </c>
      <c r="H97" s="23">
        <v>1484.3790881042401</v>
      </c>
      <c r="I97" s="42">
        <v>7.54</v>
      </c>
      <c r="J97" s="47">
        <v>16.713299624463801</v>
      </c>
      <c r="K97" s="5">
        <v>35</v>
      </c>
      <c r="L97" s="20">
        <v>7.2018403335138799E-3</v>
      </c>
      <c r="M97">
        <v>2</v>
      </c>
      <c r="N97" s="24" t="s">
        <v>5</v>
      </c>
      <c r="O97" s="24" t="s">
        <v>5</v>
      </c>
      <c r="P97" s="36">
        <v>24.935093585720999</v>
      </c>
      <c r="Q97" s="20">
        <v>1.1222370987634201E-2</v>
      </c>
      <c r="R97" s="28">
        <v>0.62909091602672196</v>
      </c>
    </row>
    <row r="98" spans="2:18" x14ac:dyDescent="0.3">
      <c r="B98" s="33">
        <f t="shared" si="0"/>
        <v>69</v>
      </c>
      <c r="C98" s="5" t="s">
        <v>38</v>
      </c>
      <c r="D98">
        <v>0.13800000000000001</v>
      </c>
      <c r="E98">
        <v>6.0000000000000001E-3</v>
      </c>
      <c r="F98">
        <v>0.3</v>
      </c>
      <c r="G98">
        <v>1</v>
      </c>
      <c r="H98" s="23">
        <v>1480.0916136741901</v>
      </c>
      <c r="I98" s="42">
        <v>7.54</v>
      </c>
      <c r="J98" s="47">
        <v>16.7230974358102</v>
      </c>
      <c r="K98" s="5">
        <v>35</v>
      </c>
      <c r="L98" s="20">
        <v>8.5059396726304796E-3</v>
      </c>
      <c r="M98">
        <v>2</v>
      </c>
      <c r="N98" s="24" t="s">
        <v>5</v>
      </c>
      <c r="O98" s="24" t="s">
        <v>5</v>
      </c>
      <c r="P98" s="36">
        <v>25.442158085780701</v>
      </c>
      <c r="Q98" s="20">
        <v>1.2329966290839701E-2</v>
      </c>
      <c r="R98" s="28">
        <v>0.63727271340110003</v>
      </c>
    </row>
    <row r="99" spans="2:18" x14ac:dyDescent="0.3">
      <c r="B99" s="33">
        <f t="shared" si="0"/>
        <v>70</v>
      </c>
      <c r="C99" s="5" t="s">
        <v>38</v>
      </c>
      <c r="D99">
        <v>0.13800000000000001</v>
      </c>
      <c r="E99">
        <v>6.0000000000000001E-3</v>
      </c>
      <c r="F99">
        <v>0.3</v>
      </c>
      <c r="G99">
        <v>1</v>
      </c>
      <c r="H99" s="23">
        <v>1474.7379633798</v>
      </c>
      <c r="I99" s="42">
        <v>7.54</v>
      </c>
      <c r="J99" s="47">
        <v>16.738079219302598</v>
      </c>
      <c r="K99" s="5">
        <v>35</v>
      </c>
      <c r="L99" s="20">
        <v>9.8657900400870007E-3</v>
      </c>
      <c r="M99">
        <v>2</v>
      </c>
      <c r="N99" s="24" t="s">
        <v>5</v>
      </c>
      <c r="O99" s="24" t="s">
        <v>5</v>
      </c>
      <c r="P99" s="36">
        <v>26.181536189181099</v>
      </c>
      <c r="Q99" s="20">
        <v>1.3440455261655699E-2</v>
      </c>
      <c r="R99" s="28">
        <v>0.63090909322102795</v>
      </c>
    </row>
    <row r="100" spans="2:18" x14ac:dyDescent="0.3">
      <c r="B100" s="33">
        <f t="shared" si="0"/>
        <v>71</v>
      </c>
      <c r="C100" s="5" t="s">
        <v>38</v>
      </c>
      <c r="D100">
        <v>0.13800000000000001</v>
      </c>
      <c r="E100">
        <v>6.0000000000000001E-3</v>
      </c>
      <c r="F100">
        <v>0.3</v>
      </c>
      <c r="G100">
        <v>1</v>
      </c>
      <c r="H100" s="23">
        <v>1469.4915932495401</v>
      </c>
      <c r="I100" s="42">
        <v>7.54</v>
      </c>
      <c r="J100" s="47">
        <v>16.752004632056099</v>
      </c>
      <c r="K100" s="5">
        <v>35</v>
      </c>
      <c r="L100" s="20">
        <v>1.12843659654626E-2</v>
      </c>
      <c r="M100">
        <v>2</v>
      </c>
      <c r="N100" s="24" t="s">
        <v>5</v>
      </c>
      <c r="O100" s="24" t="s">
        <v>5</v>
      </c>
      <c r="P100" s="36">
        <v>26.881741987624402</v>
      </c>
      <c r="Q100" s="20">
        <v>1.4565952378785999E-2</v>
      </c>
      <c r="R100" s="28">
        <v>0.62545455007841999</v>
      </c>
    </row>
    <row r="101" spans="2:18" x14ac:dyDescent="0.3">
      <c r="B101" s="33">
        <f t="shared" si="0"/>
        <v>72</v>
      </c>
      <c r="C101" s="5" t="s">
        <v>38</v>
      </c>
      <c r="D101">
        <v>0.13800000000000001</v>
      </c>
      <c r="E101">
        <v>6.0000000000000001E-3</v>
      </c>
      <c r="F101">
        <v>0.3</v>
      </c>
      <c r="G101">
        <v>1</v>
      </c>
      <c r="H101" s="23">
        <v>1465.2812199034499</v>
      </c>
      <c r="I101" s="42">
        <v>7.54</v>
      </c>
      <c r="J101" s="47">
        <v>16.759872714358799</v>
      </c>
      <c r="K101" s="5">
        <v>35</v>
      </c>
      <c r="L101" s="20">
        <v>1.2764800235419999E-2</v>
      </c>
      <c r="M101">
        <v>2</v>
      </c>
      <c r="N101" s="24" t="s">
        <v>5</v>
      </c>
      <c r="O101" s="24" t="s">
        <v>5</v>
      </c>
      <c r="P101" s="36">
        <v>27.322910712490799</v>
      </c>
      <c r="Q101" s="20">
        <v>1.5896229877068398E-2</v>
      </c>
      <c r="R101" s="28">
        <v>0.64090909090908998</v>
      </c>
    </row>
    <row r="102" spans="2:18" x14ac:dyDescent="0.3">
      <c r="B102" s="33">
        <f t="shared" si="0"/>
        <v>73</v>
      </c>
      <c r="C102" s="5" t="s">
        <v>38</v>
      </c>
      <c r="D102">
        <v>0.13800000000000001</v>
      </c>
      <c r="E102">
        <v>6.0000000000000001E-3</v>
      </c>
      <c r="F102">
        <v>0.3</v>
      </c>
      <c r="G102">
        <v>1</v>
      </c>
      <c r="H102" s="23">
        <v>1459.66695536766</v>
      </c>
      <c r="I102" s="42">
        <v>7.54</v>
      </c>
      <c r="J102" s="47">
        <v>16.774692462059701</v>
      </c>
      <c r="K102" s="5">
        <v>35</v>
      </c>
      <c r="L102" s="20">
        <v>1.43103931603364E-2</v>
      </c>
      <c r="M102">
        <v>2</v>
      </c>
      <c r="N102" s="24" t="s">
        <v>5</v>
      </c>
      <c r="O102" s="24" t="s">
        <v>5</v>
      </c>
      <c r="P102" s="36">
        <v>28.076860046616101</v>
      </c>
      <c r="Q102" s="20">
        <v>1.7095722673962799E-2</v>
      </c>
      <c r="R102" s="28">
        <v>0.62909091602672196</v>
      </c>
    </row>
    <row r="103" spans="2:18" x14ac:dyDescent="0.3">
      <c r="B103" s="33">
        <f t="shared" si="0"/>
        <v>74</v>
      </c>
      <c r="C103" s="5" t="s">
        <v>38</v>
      </c>
      <c r="D103">
        <v>0.13800000000000001</v>
      </c>
      <c r="E103">
        <v>6.0000000000000001E-3</v>
      </c>
      <c r="F103">
        <v>0.3</v>
      </c>
      <c r="G103">
        <v>1</v>
      </c>
      <c r="H103" s="23">
        <v>1455.0358019415601</v>
      </c>
      <c r="I103" s="42">
        <v>7.54</v>
      </c>
      <c r="J103" s="47">
        <v>16.783660591992899</v>
      </c>
      <c r="K103" s="5">
        <v>35</v>
      </c>
      <c r="L103" s="20">
        <v>1.5924623398576001E-2</v>
      </c>
      <c r="M103">
        <v>2</v>
      </c>
      <c r="N103" s="24" t="s">
        <v>5</v>
      </c>
      <c r="O103" s="24" t="s">
        <v>5</v>
      </c>
      <c r="P103" s="36">
        <v>28.5804295869995</v>
      </c>
      <c r="Q103" s="20">
        <v>1.8500118061090601E-2</v>
      </c>
      <c r="R103" s="28">
        <v>0.64090909090908998</v>
      </c>
    </row>
    <row r="104" spans="2:18" x14ac:dyDescent="0.3">
      <c r="B104" s="33">
        <f t="shared" si="0"/>
        <v>75</v>
      </c>
      <c r="C104" s="5" t="s">
        <v>38</v>
      </c>
      <c r="D104">
        <v>0.13800000000000001</v>
      </c>
      <c r="E104">
        <v>6.0000000000000001E-3</v>
      </c>
      <c r="F104">
        <v>0.3</v>
      </c>
      <c r="G104">
        <v>1</v>
      </c>
      <c r="H104" s="23">
        <v>1505.4373170802801</v>
      </c>
      <c r="I104" s="42">
        <v>7.54</v>
      </c>
      <c r="J104" s="47">
        <v>16.603175011902799</v>
      </c>
      <c r="K104" s="5">
        <v>32</v>
      </c>
      <c r="L104" s="20">
        <v>7.1799971534444599E-3</v>
      </c>
      <c r="M104">
        <v>2</v>
      </c>
      <c r="N104" s="24" t="s">
        <v>5</v>
      </c>
      <c r="O104" s="24" t="s">
        <v>5</v>
      </c>
      <c r="P104" s="36">
        <v>23.1482860756843</v>
      </c>
      <c r="Q104" s="20">
        <v>1.07431000698772E-2</v>
      </c>
      <c r="R104" s="28">
        <v>0.63272725885564596</v>
      </c>
    </row>
    <row r="105" spans="2:18" x14ac:dyDescent="0.3">
      <c r="B105" s="33">
        <f t="shared" si="0"/>
        <v>76</v>
      </c>
      <c r="C105" s="5" t="s">
        <v>38</v>
      </c>
      <c r="D105">
        <v>0.13800000000000001</v>
      </c>
      <c r="E105">
        <v>6.0000000000000001E-3</v>
      </c>
      <c r="F105">
        <v>0.3</v>
      </c>
      <c r="G105">
        <v>1</v>
      </c>
      <c r="H105" s="23">
        <v>1501.1606475661899</v>
      </c>
      <c r="I105" s="42">
        <v>7.54</v>
      </c>
      <c r="J105" s="47">
        <v>16.613149029905401</v>
      </c>
      <c r="K105" s="5">
        <v>32</v>
      </c>
      <c r="L105" s="20">
        <v>8.4361753792775909E-3</v>
      </c>
      <c r="M105">
        <v>2</v>
      </c>
      <c r="N105" s="24" t="s">
        <v>5</v>
      </c>
      <c r="O105" s="24" t="s">
        <v>5</v>
      </c>
      <c r="P105" s="36">
        <v>23.648905279838399</v>
      </c>
      <c r="Q105" s="20">
        <v>1.17488976757734E-2</v>
      </c>
      <c r="R105" s="28">
        <v>0.64090909090908998</v>
      </c>
    </row>
    <row r="106" spans="2:18" x14ac:dyDescent="0.3">
      <c r="B106" s="33">
        <f t="shared" si="0"/>
        <v>77</v>
      </c>
      <c r="C106" s="5" t="s">
        <v>38</v>
      </c>
      <c r="D106">
        <v>0.13800000000000001</v>
      </c>
      <c r="E106">
        <v>6.0000000000000001E-3</v>
      </c>
      <c r="F106">
        <v>0.3</v>
      </c>
      <c r="G106">
        <v>1</v>
      </c>
      <c r="H106" s="23">
        <v>1495.4763434921399</v>
      </c>
      <c r="I106" s="42">
        <v>7.54</v>
      </c>
      <c r="J106" s="47">
        <v>16.630007428817599</v>
      </c>
      <c r="K106" s="5">
        <v>32</v>
      </c>
      <c r="L106" s="20">
        <v>9.7454250344587295E-3</v>
      </c>
      <c r="M106">
        <v>2</v>
      </c>
      <c r="N106" s="24" t="s">
        <v>5</v>
      </c>
      <c r="O106" s="24" t="s">
        <v>5</v>
      </c>
      <c r="P106" s="36">
        <v>24.454677754547099</v>
      </c>
      <c r="Q106" s="20">
        <v>1.27333310023301E-2</v>
      </c>
      <c r="R106" s="28">
        <v>0.62727272727272698</v>
      </c>
    </row>
    <row r="107" spans="2:18" x14ac:dyDescent="0.3">
      <c r="B107" s="33">
        <f t="shared" si="0"/>
        <v>78</v>
      </c>
      <c r="C107" s="5" t="s">
        <v>38</v>
      </c>
      <c r="D107">
        <v>0.13800000000000001</v>
      </c>
      <c r="E107">
        <v>6.0000000000000001E-3</v>
      </c>
      <c r="F107">
        <v>0.3</v>
      </c>
      <c r="G107">
        <v>1</v>
      </c>
      <c r="H107" s="23">
        <v>1490.6393168668401</v>
      </c>
      <c r="I107" s="42">
        <v>7.54</v>
      </c>
      <c r="J107" s="47">
        <v>16.6419935371752</v>
      </c>
      <c r="K107" s="5">
        <v>32</v>
      </c>
      <c r="L107" s="20">
        <v>1.1110579462007501E-2</v>
      </c>
      <c r="M107">
        <v>2</v>
      </c>
      <c r="N107" s="24" t="s">
        <v>5</v>
      </c>
      <c r="O107" s="24" t="s">
        <v>5</v>
      </c>
      <c r="P107" s="36">
        <v>25.054210665248</v>
      </c>
      <c r="Q107" s="20">
        <v>1.38980283064028E-2</v>
      </c>
      <c r="R107" s="28">
        <v>0.63090909322102795</v>
      </c>
    </row>
    <row r="108" spans="2:18" x14ac:dyDescent="0.3">
      <c r="B108" s="33">
        <f t="shared" si="0"/>
        <v>79</v>
      </c>
      <c r="C108" s="5" t="s">
        <v>38</v>
      </c>
      <c r="D108">
        <v>0.13800000000000001</v>
      </c>
      <c r="E108">
        <v>6.0000000000000001E-3</v>
      </c>
      <c r="F108">
        <v>0.3</v>
      </c>
      <c r="G108">
        <v>1</v>
      </c>
      <c r="H108" s="23">
        <v>1485.86032134273</v>
      </c>
      <c r="I108" s="42">
        <v>7.54</v>
      </c>
      <c r="J108" s="47">
        <v>16.653182625626702</v>
      </c>
      <c r="K108" s="5">
        <v>32</v>
      </c>
      <c r="L108" s="20">
        <v>1.2534621545411399E-2</v>
      </c>
      <c r="M108">
        <v>2</v>
      </c>
      <c r="N108" s="24" t="s">
        <v>5</v>
      </c>
      <c r="O108" s="24" t="s">
        <v>5</v>
      </c>
      <c r="P108" s="36">
        <v>25.6248537357848</v>
      </c>
      <c r="Q108" s="20">
        <v>1.50738849466801E-2</v>
      </c>
      <c r="R108" s="28">
        <v>0.63636363636363602</v>
      </c>
    </row>
    <row r="109" spans="2:18" x14ac:dyDescent="0.3">
      <c r="B109" s="33">
        <f t="shared" ref="B109:B111" si="1">B108+1</f>
        <v>80</v>
      </c>
      <c r="C109" s="5" t="s">
        <v>38</v>
      </c>
      <c r="D109">
        <v>0.13800000000000001</v>
      </c>
      <c r="E109">
        <v>6.0000000000000001E-3</v>
      </c>
      <c r="F109">
        <v>0.3</v>
      </c>
      <c r="G109">
        <v>1</v>
      </c>
      <c r="H109" s="23">
        <v>1480.4639364843399</v>
      </c>
      <c r="I109" s="42">
        <v>7.54</v>
      </c>
      <c r="J109" s="47">
        <v>16.667094640303901</v>
      </c>
      <c r="K109" s="5">
        <v>32</v>
      </c>
      <c r="L109" s="20">
        <v>1.40206930247879E-2</v>
      </c>
      <c r="M109">
        <v>2</v>
      </c>
      <c r="N109" s="24" t="s">
        <v>5</v>
      </c>
      <c r="O109" s="24" t="s">
        <v>5</v>
      </c>
      <c r="P109" s="36">
        <v>26.321410415158699</v>
      </c>
      <c r="Q109" s="20">
        <v>1.62964221942038E-2</v>
      </c>
      <c r="R109" s="28">
        <v>0.63000000462387495</v>
      </c>
    </row>
    <row r="110" spans="2:18" x14ac:dyDescent="0.3">
      <c r="B110" s="33">
        <f t="shared" si="1"/>
        <v>81</v>
      </c>
      <c r="C110" s="5" t="s">
        <v>38</v>
      </c>
      <c r="D110">
        <v>0.13800000000000001</v>
      </c>
      <c r="E110">
        <v>6.0000000000000001E-3</v>
      </c>
      <c r="F110">
        <v>0.3</v>
      </c>
      <c r="G110">
        <v>1</v>
      </c>
      <c r="H110" s="23">
        <v>1475.1648192207499</v>
      </c>
      <c r="I110" s="42">
        <v>7.54</v>
      </c>
      <c r="J110" s="47">
        <v>16.679959016336401</v>
      </c>
      <c r="K110" s="5">
        <v>32</v>
      </c>
      <c r="L110" s="20">
        <v>1.55721038846366E-2</v>
      </c>
      <c r="M110">
        <v>2</v>
      </c>
      <c r="N110" s="24" t="s">
        <v>5</v>
      </c>
      <c r="O110" s="24" t="s">
        <v>5</v>
      </c>
      <c r="P110" s="36">
        <v>26.979064581348801</v>
      </c>
      <c r="Q110" s="20">
        <v>1.76343609867845E-2</v>
      </c>
      <c r="R110" s="28">
        <v>0.62909091602672196</v>
      </c>
    </row>
    <row r="111" spans="2:18" ht="15" thickBot="1" x14ac:dyDescent="0.35">
      <c r="B111" s="34">
        <f t="shared" si="1"/>
        <v>82</v>
      </c>
      <c r="C111" s="7" t="s">
        <v>38</v>
      </c>
      <c r="D111" s="8">
        <v>0.13800000000000001</v>
      </c>
      <c r="E111" s="8">
        <v>6.0000000000000001E-3</v>
      </c>
      <c r="F111" s="8">
        <v>0.3</v>
      </c>
      <c r="G111" s="8">
        <v>1</v>
      </c>
      <c r="H111" s="48">
        <v>1469.82778190063</v>
      </c>
      <c r="I111" s="43">
        <v>7.54</v>
      </c>
      <c r="J111" s="44">
        <v>16.692455239085501</v>
      </c>
      <c r="K111" s="7">
        <v>32</v>
      </c>
      <c r="L111" s="21">
        <v>1.71923428006618E-2</v>
      </c>
      <c r="M111" s="8">
        <v>2</v>
      </c>
      <c r="N111" s="29" t="s">
        <v>5</v>
      </c>
      <c r="O111" s="29" t="s">
        <v>5</v>
      </c>
      <c r="P111" s="37">
        <v>27.627889840667098</v>
      </c>
      <c r="Q111" s="21">
        <v>1.89751145604167E-2</v>
      </c>
      <c r="R111" s="30">
        <v>0.62454546148126699</v>
      </c>
    </row>
  </sheetData>
  <mergeCells count="2">
    <mergeCell ref="E11:F11"/>
    <mergeCell ref="C7:N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2.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E9B0F2-0F1F-4FE4-8066-C13DC92A4B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Wu2009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2025-12-03T13:45:44Z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