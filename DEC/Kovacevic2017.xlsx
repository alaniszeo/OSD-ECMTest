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EC\"/>
    </mc:Choice>
  </mc:AlternateContent>
  <xr:revisionPtr revIDLastSave="0" documentId="13_ncr:1_{27BC842D-BD6F-43D6-8691-08B5DD2F6EAF}" xr6:coauthVersionLast="47" xr6:coauthVersionMax="47" xr10:uidLastSave="{00000000-0000-0000-0000-000000000000}"/>
  <bookViews>
    <workbookView xWindow="-108" yWindow="-108" windowWidth="30936" windowHeight="16776" xr2:uid="{1306219A-737B-4B5D-BCFD-98C34D3C77CC}"/>
  </bookViews>
  <sheets>
    <sheet name="Kovacevic2017" sheetId="2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4" i="23" l="1"/>
  <c r="B45" i="23" s="1"/>
  <c r="B46" i="23" s="1"/>
  <c r="B47" i="23" s="1"/>
  <c r="B48" i="23" s="1"/>
  <c r="B49" i="23" s="1"/>
  <c r="B50" i="23" s="1"/>
  <c r="B51" i="23" s="1"/>
  <c r="B52" i="23" s="1"/>
  <c r="B53" i="23" s="1"/>
  <c r="B54" i="23" s="1"/>
  <c r="B55" i="23" s="1"/>
  <c r="B56" i="23" s="1"/>
</calcChain>
</file>

<file path=xl/sharedStrings.xml><?xml version="1.0" encoding="utf-8"?>
<sst xmlns="http://schemas.openxmlformats.org/spreadsheetml/2006/main" count="181" uniqueCount="64">
  <si>
    <t>epsilon_wb</t>
  </si>
  <si>
    <t>-</t>
  </si>
  <si>
    <t>L</t>
  </si>
  <si>
    <t>m</t>
  </si>
  <si>
    <t>W</t>
  </si>
  <si>
    <t>NA</t>
  </si>
  <si>
    <t>h_ch</t>
  </si>
  <si>
    <t>Channel height</t>
  </si>
  <si>
    <t>Water injection type</t>
  </si>
  <si>
    <t>Number of channels</t>
  </si>
  <si>
    <t>wf</t>
  </si>
  <si>
    <t>Wall thickness</t>
  </si>
  <si>
    <t>m/s</t>
  </si>
  <si>
    <t>Paper information</t>
  </si>
  <si>
    <t>Authors</t>
  </si>
  <si>
    <t>Title</t>
  </si>
  <si>
    <t>Year</t>
  </si>
  <si>
    <t>Data type</t>
  </si>
  <si>
    <t>HEX characteristics</t>
  </si>
  <si>
    <t>HEX type</t>
  </si>
  <si>
    <t>Water recirculation</t>
  </si>
  <si>
    <t>Wall material</t>
  </si>
  <si>
    <t>Configuration</t>
  </si>
  <si>
    <t>Geometry</t>
  </si>
  <si>
    <t>Length</t>
  </si>
  <si>
    <t>Width</t>
  </si>
  <si>
    <t>Height</t>
  </si>
  <si>
    <t>Operating conditions</t>
  </si>
  <si>
    <t>Primary fluid velocity</t>
  </si>
  <si>
    <t>Water supplied</t>
  </si>
  <si>
    <t>kg/s</t>
  </si>
  <si>
    <t>Testing conditions</t>
  </si>
  <si>
    <t>Inlet conditions</t>
  </si>
  <si>
    <t>Outlet conditions</t>
  </si>
  <si>
    <t>Run</t>
  </si>
  <si>
    <t>Test</t>
  </si>
  <si>
    <t>pd</t>
  </si>
  <si>
    <t>E</t>
  </si>
  <si>
    <t>N</t>
  </si>
  <si>
    <t>m_dot_wf</t>
  </si>
  <si>
    <t>T_wfi</t>
  </si>
  <si>
    <t>DEC</t>
  </si>
  <si>
    <t>T_pwi</t>
  </si>
  <si>
    <t>w_pwi</t>
  </si>
  <si>
    <t>v_pwi</t>
  </si>
  <si>
    <t>T_pwo</t>
  </si>
  <si>
    <t>w_pwo</t>
  </si>
  <si>
    <t>PX</t>
  </si>
  <si>
    <t>Crossflow</t>
  </si>
  <si>
    <t>Kovacevic &amp; Sourbron</t>
  </si>
  <si>
    <t>The numerical model for direct evaporative cooler</t>
  </si>
  <si>
    <t>Experimental data</t>
  </si>
  <si>
    <t>Numerical simulation</t>
  </si>
  <si>
    <t>Wet surface</t>
  </si>
  <si>
    <t>Yes</t>
  </si>
  <si>
    <t>Aluminium</t>
  </si>
  <si>
    <t>1-3</t>
  </si>
  <si>
    <t>WWR</t>
  </si>
  <si>
    <t>Re</t>
  </si>
  <si>
    <t>Nu</t>
  </si>
  <si>
    <t>h_T</t>
  </si>
  <si>
    <t>Experimental and numerical, from tables</t>
  </si>
  <si>
    <t>Experimental testing of a finned DEC with water sprayed perpendicularly to the main airflow direction. 
1. Comparison of experimental results and numerical simulation.
2. Use of numerical model to investigate the impact of the inlet conditions on the DEC performance. Air velocity determines the pad effectiveness, with lower velocities giving higher effectiveness, and vice versa. Relative humidity drastically influences the water evaporation rate while not impacting effectiveness. An increasing inlet air temperature slightly increases effectiveness and water consumption.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</si>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</sst>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9">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0" fontId="0" fillId="0" borderId="10" xfId="0" applyBorder="1"/>
    <xf numFmtId="0" fontId="0" fillId="0" borderId="11" xfId="0" applyBorder="1"/>
    <xf numFmtId="0" fontId="1" fillId="0" borderId="12" xfId="0" applyFont="1" applyBorder="1"/>
    <xf numFmtId="0" fontId="1" fillId="0" borderId="13" xfId="0" applyFont="1" applyBorder="1"/>
    <xf numFmtId="164" fontId="0" fillId="0" borderId="0" xfId="0" applyNumberFormat="1"/>
    <xf numFmtId="164" fontId="0" fillId="0" borderId="7" xfId="0" applyNumberFormat="1" applyBorder="1"/>
    <xf numFmtId="0" fontId="1" fillId="0" borderId="8" xfId="0" applyFont="1" applyBorder="1"/>
    <xf numFmtId="164" fontId="0" fillId="0" borderId="2" xfId="0" applyNumberFormat="1" applyBorder="1"/>
    <xf numFmtId="1" fontId="0" fillId="0" borderId="0" xfId="0" applyNumberFormat="1"/>
    <xf numFmtId="0" fontId="1" fillId="0" borderId="15" xfId="0" applyFont="1" applyBorder="1"/>
    <xf numFmtId="0" fontId="0" fillId="0" borderId="0" xfId="0" applyAlignment="1">
      <alignment horizontal="right"/>
    </xf>
    <xf numFmtId="0" fontId="1" fillId="0" borderId="9" xfId="0" applyFont="1" applyBorder="1" applyAlignment="1">
      <alignment horizontal="center"/>
    </xf>
    <xf numFmtId="0" fontId="1" fillId="0" borderId="11" xfId="0" applyFont="1" applyBorder="1" applyAlignment="1">
      <alignment horizontal="center"/>
    </xf>
    <xf numFmtId="0" fontId="0" fillId="0" borderId="2" xfId="0" applyBorder="1" applyAlignment="1">
      <alignment horizontal="right"/>
    </xf>
    <xf numFmtId="165" fontId="0" fillId="0" borderId="5" xfId="0" applyNumberFormat="1" applyBorder="1"/>
    <xf numFmtId="0" fontId="0" fillId="0" borderId="7" xfId="0" applyBorder="1" applyAlignment="1">
      <alignment horizontal="right"/>
    </xf>
    <xf numFmtId="165" fontId="0" fillId="0" borderId="8" xfId="0" applyNumberFormat="1" applyBorder="1"/>
    <xf numFmtId="0" fontId="0" fillId="0" borderId="6" xfId="0" applyBorder="1" applyAlignment="1">
      <alignment horizontal="right"/>
    </xf>
    <xf numFmtId="0" fontId="0" fillId="0" borderId="1" xfId="0" quotePrefix="1" applyBorder="1" applyAlignment="1">
      <alignment horizontal="right"/>
    </xf>
    <xf numFmtId="164" fontId="0" fillId="0" borderId="0" xfId="0" applyNumberFormat="1" applyAlignment="1">
      <alignment horizontal="right"/>
    </xf>
    <xf numFmtId="2" fontId="0" fillId="0" borderId="2" xfId="0" applyNumberFormat="1" applyBorder="1" applyAlignment="1">
      <alignment horizontal="right"/>
    </xf>
    <xf numFmtId="2" fontId="0" fillId="0" borderId="0" xfId="0" applyNumberFormat="1" applyAlignment="1">
      <alignment horizontal="right"/>
    </xf>
    <xf numFmtId="2" fontId="0" fillId="0" borderId="7" xfId="0" applyNumberFormat="1" applyBorder="1" applyAlignment="1">
      <alignment horizontal="right"/>
    </xf>
    <xf numFmtId="1" fontId="0" fillId="0" borderId="2" xfId="0" applyNumberFormat="1" applyBorder="1" applyAlignment="1">
      <alignment horizontal="right"/>
    </xf>
    <xf numFmtId="1" fontId="0" fillId="0" borderId="0" xfId="0" applyNumberFormat="1" applyAlignment="1">
      <alignment horizontal="right"/>
    </xf>
    <xf numFmtId="1" fontId="0" fillId="0" borderId="7" xfId="0" applyNumberFormat="1" applyBorder="1" applyAlignment="1">
      <alignment horizontal="right"/>
    </xf>
    <xf numFmtId="0" fontId="1" fillId="0" borderId="14" xfId="0" applyFont="1" applyBorder="1" applyAlignment="1">
      <alignment horizontal="left" vertical="top"/>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83820</xdr:colOff>
      <xdr:row>9</xdr:row>
      <xdr:rowOff>22860</xdr:rowOff>
    </xdr:from>
    <xdr:to>
      <xdr:col>17</xdr:col>
      <xdr:colOff>654485</xdr:colOff>
      <xdr:row>25</xdr:row>
      <xdr:rowOff>31092</xdr:rowOff>
    </xdr:to>
    <xdr:pic>
      <xdr:nvPicPr>
        <xdr:cNvPr id="3" name="Picture 2">
          <a:extLst>
            <a:ext uri="{FF2B5EF4-FFF2-40B4-BE49-F238E27FC236}">
              <a16:creationId xmlns:a16="http://schemas.microsoft.com/office/drawing/2014/main" id="{CEF3BD93-BD34-6740-9549-8EF39FEAC3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8080" y="2446020"/>
          <a:ext cx="5241725" cy="2995272"/>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4AAE7-90DA-4B61-BFFE-4C5339AEA32D}">
  <dimension ref="B1:U56"/>
  <sheetViews>
    <sheetView tabSelected="1" workbookViewId="0">
      <selection activeCell="V13" sqref="V13"/>
    </sheetView>
  </sheetViews>
  <sheetFormatPr defaultColWidth="8.88671875" defaultRowHeight="14.4" x14ac:dyDescent="0.3"/>
  <cols>
    <col min="1" max="1" width="2.6640625" customWidth="1"/>
    <col min="2" max="2" width="22.33203125" bestFit="1" customWidth="1"/>
    <col min="3" max="3" width="14.109375" customWidth="1"/>
    <col min="6" max="6" width="12.44140625" customWidth="1"/>
    <col min="7" max="7" width="10.77734375" customWidth="1"/>
    <col min="8" max="10" width="9.33203125" customWidth="1"/>
    <col min="11" max="11" width="10.21875" customWidth="1"/>
    <col min="12" max="12" width="10.109375" customWidth="1"/>
    <col min="13" max="13" width="9.33203125" customWidth="1"/>
    <col min="14" max="14" width="9.88671875" customWidth="1"/>
    <col min="15" max="15" width="9.6640625" bestFit="1" customWidth="1"/>
    <col min="16" max="17" width="9.44140625" customWidth="1"/>
    <col min="18" max="18" width="10.5546875" bestFit="1" customWidth="1"/>
    <col min="19" max="19" width="9.33203125" customWidth="1"/>
    <col min="20" max="21" width="10.5546875" customWidth="1"/>
  </cols>
  <sheetData>
    <row r="1" spans="2:14" ht="15" thickBot="1" x14ac:dyDescent="0.35"/>
    <row r="2" spans="2:14" ht="15" thickBot="1" x14ac:dyDescent="0.35">
      <c r="B2" s="10" t="s">
        <v>13</v>
      </c>
      <c r="C2" s="11"/>
      <c r="D2" s="11"/>
      <c r="E2" s="11"/>
      <c r="F2" s="11"/>
      <c r="G2" s="11"/>
      <c r="H2" s="11"/>
      <c r="I2" s="11"/>
      <c r="J2" s="11"/>
      <c r="K2" s="11"/>
      <c r="L2" s="11"/>
      <c r="M2" s="11"/>
      <c r="N2" s="12"/>
    </row>
    <row r="3" spans="2:14" x14ac:dyDescent="0.3">
      <c r="B3" s="19" t="s">
        <v>14</v>
      </c>
      <c r="C3" s="13" t="s">
        <v>49</v>
      </c>
      <c r="D3" s="3"/>
      <c r="E3" s="3"/>
      <c r="F3" s="3"/>
      <c r="G3" s="3"/>
      <c r="H3" s="3"/>
      <c r="I3" s="3"/>
      <c r="J3" s="3"/>
      <c r="K3" s="3"/>
      <c r="L3" s="3"/>
      <c r="M3" s="3"/>
      <c r="N3" s="4"/>
    </row>
    <row r="4" spans="2:14" x14ac:dyDescent="0.3">
      <c r="B4" s="20" t="s">
        <v>15</v>
      </c>
      <c r="C4" s="5" t="s">
        <v>50</v>
      </c>
      <c r="N4" s="6"/>
    </row>
    <row r="5" spans="2:14" x14ac:dyDescent="0.3">
      <c r="B5" s="20" t="s">
        <v>16</v>
      </c>
      <c r="C5" s="5">
        <v>2017</v>
      </c>
      <c r="N5" s="6"/>
    </row>
    <row r="6" spans="2:14" x14ac:dyDescent="0.3">
      <c r="B6" s="20" t="s">
        <v>17</v>
      </c>
      <c r="C6" s="5" t="s">
        <v>61</v>
      </c>
      <c r="N6" s="6"/>
    </row>
    <row r="7" spans="2:14" ht="73.2" customHeight="1" thickBot="1" x14ac:dyDescent="0.35">
      <c r="B7" s="43" t="s">
        <v>63</v>
      </c>
      <c r="C7" s="46" t="s">
        <v>62</v>
      </c>
      <c r="D7" s="47"/>
      <c r="E7" s="47"/>
      <c r="F7" s="47"/>
      <c r="G7" s="47"/>
      <c r="H7" s="47"/>
      <c r="I7" s="47"/>
      <c r="J7" s="47"/>
      <c r="K7" s="47"/>
      <c r="L7" s="47"/>
      <c r="M7" s="47"/>
      <c r="N7" s="48"/>
    </row>
    <row r="8" spans="2:14" ht="15" thickBot="1" x14ac:dyDescent="0.35"/>
    <row r="9" spans="2:14" ht="15" thickBot="1" x14ac:dyDescent="0.35">
      <c r="B9" s="10" t="s">
        <v>18</v>
      </c>
      <c r="C9" s="18"/>
      <c r="E9" s="10" t="s">
        <v>22</v>
      </c>
      <c r="F9" s="18"/>
    </row>
    <row r="10" spans="2:14" ht="15" thickBot="1" x14ac:dyDescent="0.35">
      <c r="B10" s="19" t="s">
        <v>19</v>
      </c>
      <c r="C10" s="6" t="s">
        <v>41</v>
      </c>
      <c r="E10" s="28" t="s">
        <v>36</v>
      </c>
      <c r="F10" s="29" t="s">
        <v>10</v>
      </c>
    </row>
    <row r="11" spans="2:14" ht="15" thickBot="1" x14ac:dyDescent="0.35">
      <c r="B11" s="20" t="s">
        <v>8</v>
      </c>
      <c r="C11" s="6" t="s">
        <v>53</v>
      </c>
      <c r="E11" s="44" t="s">
        <v>48</v>
      </c>
      <c r="F11" s="45"/>
    </row>
    <row r="12" spans="2:14" x14ac:dyDescent="0.3">
      <c r="B12" s="20" t="s">
        <v>20</v>
      </c>
      <c r="C12" s="6" t="s">
        <v>54</v>
      </c>
    </row>
    <row r="13" spans="2:14" x14ac:dyDescent="0.3">
      <c r="B13" s="20" t="s">
        <v>21</v>
      </c>
      <c r="C13" s="6" t="s">
        <v>55</v>
      </c>
    </row>
    <row r="14" spans="2:14" ht="15" thickBot="1" x14ac:dyDescent="0.35">
      <c r="B14" s="16" t="s">
        <v>22</v>
      </c>
      <c r="C14" s="9" t="s">
        <v>47</v>
      </c>
    </row>
    <row r="15" spans="2:14" ht="15" thickBot="1" x14ac:dyDescent="0.35">
      <c r="B15" s="1"/>
    </row>
    <row r="16" spans="2:14" ht="15" thickBot="1" x14ac:dyDescent="0.35">
      <c r="B16" s="10" t="s">
        <v>23</v>
      </c>
      <c r="C16" s="17"/>
      <c r="D16" s="18"/>
    </row>
    <row r="17" spans="2:21" x14ac:dyDescent="0.3">
      <c r="B17" s="19" t="s">
        <v>24</v>
      </c>
      <c r="C17" s="3">
        <v>0.09</v>
      </c>
      <c r="D17" s="4" t="s">
        <v>3</v>
      </c>
    </row>
    <row r="18" spans="2:21" x14ac:dyDescent="0.3">
      <c r="B18" s="20" t="s">
        <v>25</v>
      </c>
      <c r="C18" s="27" t="s">
        <v>5</v>
      </c>
      <c r="D18" s="6" t="s">
        <v>3</v>
      </c>
    </row>
    <row r="19" spans="2:21" x14ac:dyDescent="0.3">
      <c r="B19" s="20" t="s">
        <v>26</v>
      </c>
      <c r="C19" s="27" t="s">
        <v>5</v>
      </c>
      <c r="D19" s="6" t="s">
        <v>3</v>
      </c>
    </row>
    <row r="20" spans="2:21" x14ac:dyDescent="0.3">
      <c r="B20" s="20" t="s">
        <v>7</v>
      </c>
      <c r="C20">
        <v>4.1599999999999996E-3</v>
      </c>
      <c r="D20" s="6" t="s">
        <v>3</v>
      </c>
    </row>
    <row r="21" spans="2:21" x14ac:dyDescent="0.3">
      <c r="B21" s="20" t="s">
        <v>11</v>
      </c>
      <c r="C21">
        <v>6.9999999999999999E-4</v>
      </c>
      <c r="D21" s="6" t="s">
        <v>3</v>
      </c>
    </row>
    <row r="22" spans="2:21" ht="15" thickBot="1" x14ac:dyDescent="0.35">
      <c r="B22" s="16" t="s">
        <v>9</v>
      </c>
      <c r="C22" s="32" t="s">
        <v>5</v>
      </c>
      <c r="D22" s="9" t="s">
        <v>1</v>
      </c>
    </row>
    <row r="23" spans="2:21" ht="15" thickBot="1" x14ac:dyDescent="0.35">
      <c r="B23" s="1"/>
    </row>
    <row r="24" spans="2:21" ht="15" thickBot="1" x14ac:dyDescent="0.35">
      <c r="B24" s="2" t="s">
        <v>27</v>
      </c>
      <c r="C24" s="3"/>
      <c r="D24" s="4"/>
      <c r="F24" s="10" t="s">
        <v>35</v>
      </c>
      <c r="G24" s="17"/>
      <c r="H24" s="17"/>
      <c r="I24" s="18"/>
    </row>
    <row r="25" spans="2:21" x14ac:dyDescent="0.3">
      <c r="B25" s="2" t="s">
        <v>28</v>
      </c>
      <c r="C25" s="35" t="s">
        <v>56</v>
      </c>
      <c r="D25" s="4" t="s">
        <v>12</v>
      </c>
      <c r="F25" s="5" t="s">
        <v>37</v>
      </c>
      <c r="G25" t="s">
        <v>51</v>
      </c>
      <c r="I25" s="6"/>
    </row>
    <row r="26" spans="2:21" ht="15" thickBot="1" x14ac:dyDescent="0.35">
      <c r="B26" s="14" t="s">
        <v>29</v>
      </c>
      <c r="C26" s="34" t="s">
        <v>5</v>
      </c>
      <c r="D26" s="9" t="s">
        <v>30</v>
      </c>
      <c r="F26" s="7" t="s">
        <v>38</v>
      </c>
      <c r="G26" s="8" t="s">
        <v>52</v>
      </c>
      <c r="H26" s="8"/>
      <c r="I26" s="9"/>
      <c r="K26" s="21"/>
    </row>
    <row r="27" spans="2:21" ht="15" thickBot="1" x14ac:dyDescent="0.35"/>
    <row r="28" spans="2:21" ht="15" thickBot="1" x14ac:dyDescent="0.35">
      <c r="B28" s="2"/>
      <c r="C28" s="10" t="s">
        <v>31</v>
      </c>
      <c r="D28" s="11"/>
      <c r="E28" s="11"/>
      <c r="F28" s="11"/>
      <c r="G28" s="11"/>
      <c r="H28" s="11"/>
      <c r="I28" s="11"/>
      <c r="J28" s="11"/>
      <c r="K28" s="10" t="s">
        <v>32</v>
      </c>
      <c r="L28" s="11"/>
      <c r="M28" s="11"/>
      <c r="N28" s="11"/>
      <c r="O28" s="12"/>
      <c r="P28" s="26" t="s">
        <v>33</v>
      </c>
      <c r="Q28" s="3"/>
      <c r="R28" s="18"/>
    </row>
    <row r="29" spans="2:21" ht="15" thickBot="1" x14ac:dyDescent="0.35">
      <c r="B29" s="14" t="s">
        <v>34</v>
      </c>
      <c r="C29" s="14" t="s">
        <v>35</v>
      </c>
      <c r="D29" s="15" t="s">
        <v>2</v>
      </c>
      <c r="E29" s="11" t="s">
        <v>6</v>
      </c>
      <c r="F29" s="11" t="s">
        <v>4</v>
      </c>
      <c r="G29" s="15" t="s">
        <v>57</v>
      </c>
      <c r="H29" s="15" t="s">
        <v>58</v>
      </c>
      <c r="I29" s="15" t="s">
        <v>59</v>
      </c>
      <c r="J29" s="12" t="s">
        <v>60</v>
      </c>
      <c r="K29" s="10" t="s">
        <v>42</v>
      </c>
      <c r="L29" s="11" t="s">
        <v>43</v>
      </c>
      <c r="M29" s="11" t="s">
        <v>44</v>
      </c>
      <c r="N29" s="15" t="s">
        <v>40</v>
      </c>
      <c r="O29" s="23" t="s">
        <v>39</v>
      </c>
      <c r="P29" s="10" t="s">
        <v>45</v>
      </c>
      <c r="Q29" s="11" t="s">
        <v>46</v>
      </c>
      <c r="R29" s="12" t="s">
        <v>0</v>
      </c>
      <c r="T29" s="1"/>
      <c r="U29" s="1"/>
    </row>
    <row r="30" spans="2:21" x14ac:dyDescent="0.3">
      <c r="B30" s="5">
        <v>1</v>
      </c>
      <c r="C30" s="13" t="s">
        <v>37</v>
      </c>
      <c r="D30" s="3">
        <v>0.09</v>
      </c>
      <c r="E30" s="30">
        <v>4.1599999999999996E-3</v>
      </c>
      <c r="F30" s="30" t="s">
        <v>5</v>
      </c>
      <c r="G30" s="30">
        <v>1.141</v>
      </c>
      <c r="H30" s="40">
        <v>420.54539379836001</v>
      </c>
      <c r="I30" s="30">
        <v>7.54</v>
      </c>
      <c r="J30" s="37">
        <v>28.1766625225826</v>
      </c>
      <c r="K30" s="13">
        <v>48</v>
      </c>
      <c r="L30" s="24">
        <v>2.14001173600444E-2</v>
      </c>
      <c r="M30" s="3">
        <v>1</v>
      </c>
      <c r="N30" s="30" t="s">
        <v>5</v>
      </c>
      <c r="O30" s="27" t="s">
        <v>5</v>
      </c>
      <c r="P30" s="5">
        <v>31.1</v>
      </c>
      <c r="Q30" s="36">
        <v>2.8326676038802599E-2</v>
      </c>
      <c r="R30" s="31">
        <v>0.98667169232307095</v>
      </c>
      <c r="T30" s="25"/>
    </row>
    <row r="31" spans="2:21" x14ac:dyDescent="0.3">
      <c r="B31" s="5">
        <v>2</v>
      </c>
      <c r="C31" s="5" t="s">
        <v>37</v>
      </c>
      <c r="D31">
        <v>0.09</v>
      </c>
      <c r="E31" s="27">
        <v>4.1599999999999996E-3</v>
      </c>
      <c r="F31" s="27" t="s">
        <v>5</v>
      </c>
      <c r="G31" s="27">
        <v>1.141</v>
      </c>
      <c r="H31" s="41">
        <v>430.76406513315999</v>
      </c>
      <c r="I31" s="27">
        <v>7.54</v>
      </c>
      <c r="J31" s="38">
        <v>27.932427637131301</v>
      </c>
      <c r="K31" s="5">
        <v>44</v>
      </c>
      <c r="L31" s="21">
        <v>1.7333093330986701E-2</v>
      </c>
      <c r="M31">
        <v>1</v>
      </c>
      <c r="N31" s="27" t="s">
        <v>5</v>
      </c>
      <c r="O31" s="27" t="s">
        <v>5</v>
      </c>
      <c r="P31" s="5">
        <v>28.1</v>
      </c>
      <c r="Q31" s="36">
        <v>2.3814091169421601E-2</v>
      </c>
      <c r="R31" s="31">
        <v>0.99180835422476998</v>
      </c>
      <c r="T31" s="25"/>
    </row>
    <row r="32" spans="2:21" x14ac:dyDescent="0.3">
      <c r="B32" s="5">
        <v>3</v>
      </c>
      <c r="C32" s="5" t="s">
        <v>37</v>
      </c>
      <c r="D32">
        <v>0.09</v>
      </c>
      <c r="E32" s="27">
        <v>4.1599999999999996E-3</v>
      </c>
      <c r="F32" s="27" t="s">
        <v>5</v>
      </c>
      <c r="G32" s="27">
        <v>1.141</v>
      </c>
      <c r="H32" s="41">
        <v>440.80419732672999</v>
      </c>
      <c r="I32" s="27">
        <v>7.54</v>
      </c>
      <c r="J32" s="38">
        <v>27.6894556207187</v>
      </c>
      <c r="K32" s="5">
        <v>40</v>
      </c>
      <c r="L32" s="21">
        <v>1.39706031498519E-2</v>
      </c>
      <c r="M32">
        <v>1</v>
      </c>
      <c r="N32" s="27" t="s">
        <v>5</v>
      </c>
      <c r="O32" s="27" t="s">
        <v>5</v>
      </c>
      <c r="P32" s="5">
        <v>25.3</v>
      </c>
      <c r="Q32" s="36">
        <v>1.9936164685689199E-2</v>
      </c>
      <c r="R32" s="31">
        <v>0.98583894433358599</v>
      </c>
      <c r="T32" s="25"/>
    </row>
    <row r="33" spans="2:20" x14ac:dyDescent="0.3">
      <c r="B33" s="5">
        <v>4</v>
      </c>
      <c r="C33" s="5" t="s">
        <v>37</v>
      </c>
      <c r="D33">
        <v>0.09</v>
      </c>
      <c r="E33" s="27">
        <v>4.1599999999999996E-3</v>
      </c>
      <c r="F33" s="27" t="s">
        <v>5</v>
      </c>
      <c r="G33" s="27">
        <v>1.141</v>
      </c>
      <c r="H33" s="41">
        <v>450.93796173662298</v>
      </c>
      <c r="I33" s="27">
        <v>7.54</v>
      </c>
      <c r="J33" s="38">
        <v>27.441478512152901</v>
      </c>
      <c r="K33" s="5">
        <v>36</v>
      </c>
      <c r="L33" s="21">
        <v>1.1201063217696801E-2</v>
      </c>
      <c r="M33">
        <v>1</v>
      </c>
      <c r="N33" s="27" t="s">
        <v>5</v>
      </c>
      <c r="O33" s="27" t="s">
        <v>5</v>
      </c>
      <c r="P33" s="5">
        <v>22.5</v>
      </c>
      <c r="Q33" s="36">
        <v>1.6661748685423399E-2</v>
      </c>
      <c r="R33" s="31">
        <v>0.98028043134102105</v>
      </c>
      <c r="T33" s="25"/>
    </row>
    <row r="34" spans="2:20" x14ac:dyDescent="0.3">
      <c r="B34" s="5">
        <v>5</v>
      </c>
      <c r="C34" s="5" t="s">
        <v>37</v>
      </c>
      <c r="D34">
        <v>0.09</v>
      </c>
      <c r="E34" s="27">
        <v>4.1599999999999996E-3</v>
      </c>
      <c r="F34" s="27" t="s">
        <v>5</v>
      </c>
      <c r="G34" s="27">
        <v>1.141</v>
      </c>
      <c r="H34" s="41">
        <v>461.06327107668699</v>
      </c>
      <c r="I34" s="27">
        <v>7.54</v>
      </c>
      <c r="J34" s="38">
        <v>27.193147001606199</v>
      </c>
      <c r="K34" s="5">
        <v>32</v>
      </c>
      <c r="L34" s="21">
        <v>8.9296995469905806E-3</v>
      </c>
      <c r="M34">
        <v>1</v>
      </c>
      <c r="N34" s="27" t="s">
        <v>5</v>
      </c>
      <c r="O34" s="27" t="s">
        <v>5</v>
      </c>
      <c r="P34" s="5">
        <v>19.8</v>
      </c>
      <c r="Q34" s="36">
        <v>1.3852483711956499E-2</v>
      </c>
      <c r="R34" s="31">
        <v>0.96686131105070305</v>
      </c>
      <c r="T34" s="25"/>
    </row>
    <row r="35" spans="2:20" x14ac:dyDescent="0.3">
      <c r="B35" s="5">
        <v>6</v>
      </c>
      <c r="C35" s="5" t="s">
        <v>37</v>
      </c>
      <c r="D35">
        <v>0.09</v>
      </c>
      <c r="E35" s="27">
        <v>4.1599999999999996E-3</v>
      </c>
      <c r="F35" s="27" t="s">
        <v>5</v>
      </c>
      <c r="G35" s="27">
        <v>1.141</v>
      </c>
      <c r="H35" s="41">
        <v>471.48213924125599</v>
      </c>
      <c r="I35" s="27">
        <v>7.54</v>
      </c>
      <c r="J35" s="38">
        <v>26.937615161892001</v>
      </c>
      <c r="K35" s="5">
        <v>28</v>
      </c>
      <c r="L35" s="21">
        <v>7.0758348734522901E-3</v>
      </c>
      <c r="M35">
        <v>1</v>
      </c>
      <c r="N35" s="27" t="s">
        <v>5</v>
      </c>
      <c r="O35" s="27" t="s">
        <v>5</v>
      </c>
      <c r="P35" s="5">
        <v>17</v>
      </c>
      <c r="Q35" s="36">
        <v>1.1507447421712599E-2</v>
      </c>
      <c r="R35" s="31">
        <v>0.95999355653656804</v>
      </c>
      <c r="T35" s="25"/>
    </row>
    <row r="36" spans="2:20" x14ac:dyDescent="0.3">
      <c r="B36" s="5">
        <v>7</v>
      </c>
      <c r="C36" s="5" t="s">
        <v>37</v>
      </c>
      <c r="D36">
        <v>0.09</v>
      </c>
      <c r="E36" s="27">
        <v>4.1599999999999996E-3</v>
      </c>
      <c r="F36" s="27" t="s">
        <v>5</v>
      </c>
      <c r="G36" s="27">
        <v>1.141</v>
      </c>
      <c r="H36" s="41">
        <v>482.24201934338703</v>
      </c>
      <c r="I36" s="27">
        <v>7.54</v>
      </c>
      <c r="J36" s="38">
        <v>26.675376191242499</v>
      </c>
      <c r="K36" s="5">
        <v>24</v>
      </c>
      <c r="L36" s="21">
        <v>5.5707216394233804E-3</v>
      </c>
      <c r="M36">
        <v>1</v>
      </c>
      <c r="N36" s="27" t="s">
        <v>5</v>
      </c>
      <c r="O36" s="27" t="s">
        <v>5</v>
      </c>
      <c r="P36" s="5">
        <v>14.1</v>
      </c>
      <c r="Q36" s="36">
        <v>9.5558944571846396E-3</v>
      </c>
      <c r="R36" s="31">
        <v>0.96099834990840804</v>
      </c>
      <c r="T36" s="25"/>
    </row>
    <row r="37" spans="2:20" x14ac:dyDescent="0.3">
      <c r="B37" s="5">
        <v>8</v>
      </c>
      <c r="C37" s="5" t="s">
        <v>37</v>
      </c>
      <c r="D37">
        <v>0.09</v>
      </c>
      <c r="E37" s="27">
        <v>4.1599999999999996E-3</v>
      </c>
      <c r="F37" s="27" t="s">
        <v>5</v>
      </c>
      <c r="G37" s="27">
        <v>1.141</v>
      </c>
      <c r="H37" s="41">
        <v>493.390774949042</v>
      </c>
      <c r="I37" s="27">
        <v>7.54</v>
      </c>
      <c r="J37" s="38">
        <v>26.406819534066599</v>
      </c>
      <c r="K37" s="5">
        <v>20</v>
      </c>
      <c r="L37" s="21">
        <v>4.3557860833047697E-3</v>
      </c>
      <c r="M37">
        <v>1</v>
      </c>
      <c r="N37" s="27" t="s">
        <v>5</v>
      </c>
      <c r="O37" s="27" t="s">
        <v>5</v>
      </c>
      <c r="P37" s="5">
        <v>11.1</v>
      </c>
      <c r="Q37" s="36">
        <v>7.9376950881940508E-3</v>
      </c>
      <c r="R37" s="31">
        <v>0.971669996587183</v>
      </c>
      <c r="T37" s="25"/>
    </row>
    <row r="38" spans="2:20" x14ac:dyDescent="0.3">
      <c r="B38" s="5">
        <v>9</v>
      </c>
      <c r="C38" s="5" t="s">
        <v>37</v>
      </c>
      <c r="D38">
        <v>0.09</v>
      </c>
      <c r="E38" s="27">
        <v>4.1599999999999996E-3</v>
      </c>
      <c r="F38" s="27" t="s">
        <v>5</v>
      </c>
      <c r="G38" s="27">
        <v>1.141</v>
      </c>
      <c r="H38" s="41">
        <v>429.886481107463</v>
      </c>
      <c r="I38" s="27">
        <v>7.54</v>
      </c>
      <c r="J38" s="38">
        <v>27.8551082391884</v>
      </c>
      <c r="K38" s="5">
        <v>40</v>
      </c>
      <c r="L38" s="21">
        <v>2.3638326669956501E-2</v>
      </c>
      <c r="M38">
        <v>1</v>
      </c>
      <c r="N38" s="27" t="s">
        <v>5</v>
      </c>
      <c r="O38" s="27" t="s">
        <v>5</v>
      </c>
      <c r="P38" s="5">
        <v>30.5</v>
      </c>
      <c r="Q38" s="36">
        <v>2.7549374039376202E-2</v>
      </c>
      <c r="R38" s="31">
        <v>0.97999398091719903</v>
      </c>
      <c r="T38" s="25"/>
    </row>
    <row r="39" spans="2:20" x14ac:dyDescent="0.3">
      <c r="B39" s="5">
        <v>10</v>
      </c>
      <c r="C39" s="5" t="s">
        <v>37</v>
      </c>
      <c r="D39">
        <v>0.09</v>
      </c>
      <c r="E39" s="27">
        <v>4.1599999999999996E-3</v>
      </c>
      <c r="F39" s="27" t="s">
        <v>5</v>
      </c>
      <c r="G39" s="27">
        <v>1.141</v>
      </c>
      <c r="H39" s="41">
        <v>441.29871964299502</v>
      </c>
      <c r="I39" s="27">
        <v>7.54</v>
      </c>
      <c r="J39" s="38">
        <v>27.595240258385399</v>
      </c>
      <c r="K39" s="5">
        <v>36</v>
      </c>
      <c r="L39" s="21">
        <v>1.88953049574828E-2</v>
      </c>
      <c r="M39">
        <v>1</v>
      </c>
      <c r="N39" s="27" t="s">
        <v>5</v>
      </c>
      <c r="O39" s="27" t="s">
        <v>5</v>
      </c>
      <c r="P39" s="5">
        <v>27.1</v>
      </c>
      <c r="Q39" s="36">
        <v>2.2535591060069401E-2</v>
      </c>
      <c r="R39" s="31">
        <v>0.98565586239927305</v>
      </c>
      <c r="T39" s="25"/>
    </row>
    <row r="40" spans="2:20" x14ac:dyDescent="0.3">
      <c r="B40" s="5">
        <v>11</v>
      </c>
      <c r="C40" s="5" t="s">
        <v>37</v>
      </c>
      <c r="D40">
        <v>0.09</v>
      </c>
      <c r="E40" s="27">
        <v>4.1599999999999996E-3</v>
      </c>
      <c r="F40" s="27" t="s">
        <v>5</v>
      </c>
      <c r="G40" s="27">
        <v>1.141</v>
      </c>
      <c r="H40" s="41">
        <v>452.64781291747499</v>
      </c>
      <c r="I40" s="27">
        <v>7.54</v>
      </c>
      <c r="J40" s="38">
        <v>27.332085495354701</v>
      </c>
      <c r="K40" s="5">
        <v>32</v>
      </c>
      <c r="L40" s="21">
        <v>1.50266648056126E-2</v>
      </c>
      <c r="M40">
        <v>1</v>
      </c>
      <c r="N40" s="27" t="s">
        <v>5</v>
      </c>
      <c r="O40" s="27" t="s">
        <v>5</v>
      </c>
      <c r="P40" s="5">
        <v>23.8</v>
      </c>
      <c r="Q40" s="36">
        <v>1.83641665415878E-2</v>
      </c>
      <c r="R40" s="31">
        <v>0.98242784490975399</v>
      </c>
      <c r="T40" s="25"/>
    </row>
    <row r="41" spans="2:20" x14ac:dyDescent="0.3">
      <c r="B41" s="5">
        <v>12</v>
      </c>
      <c r="C41" s="5" t="s">
        <v>37</v>
      </c>
      <c r="D41">
        <v>0.09</v>
      </c>
      <c r="E41" s="27">
        <v>4.1599999999999996E-3</v>
      </c>
      <c r="F41" s="27" t="s">
        <v>5</v>
      </c>
      <c r="G41" s="27">
        <v>1.141</v>
      </c>
      <c r="H41" s="41">
        <v>463.96696522156498</v>
      </c>
      <c r="I41" s="27">
        <v>7.54</v>
      </c>
      <c r="J41" s="38">
        <v>27.067059617081899</v>
      </c>
      <c r="K41" s="5">
        <v>28</v>
      </c>
      <c r="L41" s="21">
        <v>1.18831877148448E-2</v>
      </c>
      <c r="M41">
        <v>1</v>
      </c>
      <c r="N41" s="27" t="s">
        <v>5</v>
      </c>
      <c r="O41" s="27" t="s">
        <v>5</v>
      </c>
      <c r="P41" s="5">
        <v>20.6</v>
      </c>
      <c r="Q41" s="36">
        <v>1.48839048093008E-2</v>
      </c>
      <c r="R41" s="31">
        <v>0.96755776562127305</v>
      </c>
      <c r="T41" s="25"/>
    </row>
    <row r="42" spans="2:20" x14ac:dyDescent="0.3">
      <c r="B42" s="5">
        <v>13</v>
      </c>
      <c r="C42" s="5" t="s">
        <v>37</v>
      </c>
      <c r="D42">
        <v>0.09</v>
      </c>
      <c r="E42" s="27">
        <v>4.1599999999999996E-3</v>
      </c>
      <c r="F42" s="27" t="s">
        <v>5</v>
      </c>
      <c r="G42" s="27">
        <v>1.141</v>
      </c>
      <c r="H42" s="41">
        <v>475.57383358552102</v>
      </c>
      <c r="I42" s="27">
        <v>7.54</v>
      </c>
      <c r="J42" s="38">
        <v>26.7936908394033</v>
      </c>
      <c r="K42" s="5">
        <v>24</v>
      </c>
      <c r="L42" s="21">
        <v>9.3403097710552802E-3</v>
      </c>
      <c r="M42">
        <v>1</v>
      </c>
      <c r="N42" s="27" t="s">
        <v>5</v>
      </c>
      <c r="O42" s="27" t="s">
        <v>5</v>
      </c>
      <c r="P42" s="5">
        <v>17.3</v>
      </c>
      <c r="Q42" s="36">
        <v>1.20504097497142E-2</v>
      </c>
      <c r="R42" s="31">
        <v>0.96565190334421802</v>
      </c>
      <c r="T42" s="25"/>
    </row>
    <row r="43" spans="2:20" x14ac:dyDescent="0.3">
      <c r="B43" s="5">
        <v>14</v>
      </c>
      <c r="C43" s="5" t="s">
        <v>37</v>
      </c>
      <c r="D43">
        <v>0.09</v>
      </c>
      <c r="E43" s="27">
        <v>4.1599999999999996E-3</v>
      </c>
      <c r="F43" s="27" t="s">
        <v>5</v>
      </c>
      <c r="G43" s="27">
        <v>1.141</v>
      </c>
      <c r="H43" s="41">
        <v>487.38055738559098</v>
      </c>
      <c r="I43" s="27">
        <v>7.54</v>
      </c>
      <c r="J43" s="38">
        <v>26.516565443830299</v>
      </c>
      <c r="K43" s="5">
        <v>20</v>
      </c>
      <c r="L43" s="21">
        <v>7.2936977019925501E-3</v>
      </c>
      <c r="M43">
        <v>1</v>
      </c>
      <c r="N43" s="27" t="s">
        <v>5</v>
      </c>
      <c r="O43" s="27" t="s">
        <v>5</v>
      </c>
      <c r="P43" s="5">
        <v>14</v>
      </c>
      <c r="Q43" s="36">
        <v>9.7169167367622492E-3</v>
      </c>
      <c r="R43" s="31">
        <v>0.96408290778261296</v>
      </c>
      <c r="T43" s="25"/>
    </row>
    <row r="44" spans="2:20" x14ac:dyDescent="0.3">
      <c r="B44" s="5">
        <f>B43+1</f>
        <v>15</v>
      </c>
      <c r="C44" s="5" t="s">
        <v>37</v>
      </c>
      <c r="D44">
        <v>0.09</v>
      </c>
      <c r="E44" s="27">
        <v>4.1599999999999996E-3</v>
      </c>
      <c r="F44" s="27" t="s">
        <v>5</v>
      </c>
      <c r="G44" s="27">
        <v>1.141</v>
      </c>
      <c r="H44" s="41">
        <v>444.944504864181</v>
      </c>
      <c r="I44" s="27">
        <v>7.54</v>
      </c>
      <c r="J44" s="38">
        <v>27.452817797455001</v>
      </c>
      <c r="K44" s="5">
        <v>32</v>
      </c>
      <c r="L44" s="21">
        <v>2.1242625935325301E-2</v>
      </c>
      <c r="M44">
        <v>1</v>
      </c>
      <c r="N44" s="27" t="s">
        <v>5</v>
      </c>
      <c r="O44" s="27" t="s">
        <v>5</v>
      </c>
      <c r="P44" s="5">
        <v>27.4</v>
      </c>
      <c r="Q44" s="36">
        <v>2.31319898117286E-2</v>
      </c>
      <c r="R44" s="31">
        <v>0.983534385347416</v>
      </c>
      <c r="T44" s="25"/>
    </row>
    <row r="45" spans="2:20" x14ac:dyDescent="0.3">
      <c r="B45" s="5">
        <f t="shared" ref="B45:B56" si="0">B44+1</f>
        <v>16</v>
      </c>
      <c r="C45" s="5" t="s">
        <v>37</v>
      </c>
      <c r="D45">
        <v>0.09</v>
      </c>
      <c r="E45" s="27">
        <v>4.1599999999999996E-3</v>
      </c>
      <c r="F45" s="27" t="s">
        <v>5</v>
      </c>
      <c r="G45" s="27">
        <v>1.141</v>
      </c>
      <c r="H45" s="41">
        <v>457.14985801569497</v>
      </c>
      <c r="I45" s="27">
        <v>7.54</v>
      </c>
      <c r="J45" s="38">
        <v>27.179087711829698</v>
      </c>
      <c r="K45" s="5">
        <v>28</v>
      </c>
      <c r="L45" s="21">
        <v>1.6764587791700401E-2</v>
      </c>
      <c r="M45">
        <v>1</v>
      </c>
      <c r="N45" s="27" t="s">
        <v>5</v>
      </c>
      <c r="O45" s="27" t="s">
        <v>5</v>
      </c>
      <c r="P45" s="5">
        <v>23.8</v>
      </c>
      <c r="Q45" s="36">
        <v>1.84795683314431E-2</v>
      </c>
      <c r="R45" s="31">
        <v>0.97328479455886396</v>
      </c>
      <c r="T45" s="25"/>
    </row>
    <row r="46" spans="2:20" x14ac:dyDescent="0.3">
      <c r="B46" s="5">
        <f t="shared" si="0"/>
        <v>17</v>
      </c>
      <c r="C46" s="5" t="s">
        <v>37</v>
      </c>
      <c r="D46">
        <v>0.09</v>
      </c>
      <c r="E46" s="27">
        <v>4.1599999999999996E-3</v>
      </c>
      <c r="F46" s="27" t="s">
        <v>5</v>
      </c>
      <c r="G46" s="27">
        <v>1.141</v>
      </c>
      <c r="H46" s="41">
        <v>469.45388772080202</v>
      </c>
      <c r="I46" s="27">
        <v>7.54</v>
      </c>
      <c r="J46" s="38">
        <v>26.898937731392799</v>
      </c>
      <c r="K46" s="5">
        <v>24</v>
      </c>
      <c r="L46" s="21">
        <v>1.3155460653039601E-2</v>
      </c>
      <c r="M46">
        <v>1</v>
      </c>
      <c r="N46" s="27" t="s">
        <v>5</v>
      </c>
      <c r="O46" s="27" t="s">
        <v>5</v>
      </c>
      <c r="P46" s="5">
        <v>20.2</v>
      </c>
      <c r="Q46" s="36">
        <v>1.47004976045653E-2</v>
      </c>
      <c r="R46" s="31">
        <v>0.96371288050256998</v>
      </c>
      <c r="T46" s="25"/>
    </row>
    <row r="47" spans="2:20" x14ac:dyDescent="0.3">
      <c r="B47" s="5">
        <f t="shared" si="0"/>
        <v>18</v>
      </c>
      <c r="C47" s="5" t="s">
        <v>37</v>
      </c>
      <c r="D47">
        <v>0.09</v>
      </c>
      <c r="E47" s="27">
        <v>4.1599999999999996E-3</v>
      </c>
      <c r="F47" s="27" t="s">
        <v>5</v>
      </c>
      <c r="G47" s="27">
        <v>1.141</v>
      </c>
      <c r="H47" s="41">
        <v>481.91382750999901</v>
      </c>
      <c r="I47" s="27">
        <v>7.54</v>
      </c>
      <c r="J47" s="38">
        <v>26.6136296139256</v>
      </c>
      <c r="K47" s="5">
        <v>20</v>
      </c>
      <c r="L47" s="21">
        <v>1.0259302098138801E-2</v>
      </c>
      <c r="M47">
        <v>1</v>
      </c>
      <c r="N47" s="27" t="s">
        <v>5</v>
      </c>
      <c r="O47" s="27" t="s">
        <v>5</v>
      </c>
      <c r="P47" s="5">
        <v>16.600000000000001</v>
      </c>
      <c r="Q47" s="36">
        <v>1.16375902856104E-2</v>
      </c>
      <c r="R47" s="31">
        <v>0.954281289178325</v>
      </c>
      <c r="T47" s="25"/>
    </row>
    <row r="48" spans="2:20" x14ac:dyDescent="0.3">
      <c r="B48" s="5">
        <f t="shared" si="0"/>
        <v>19</v>
      </c>
      <c r="C48" s="5" t="s">
        <v>38</v>
      </c>
      <c r="D48">
        <v>0.09</v>
      </c>
      <c r="E48" s="27">
        <v>4.1599999999999996E-3</v>
      </c>
      <c r="F48" s="27" t="s">
        <v>5</v>
      </c>
      <c r="G48" s="27">
        <v>1.141</v>
      </c>
      <c r="H48" s="41">
        <v>451.37858919193201</v>
      </c>
      <c r="I48" s="27">
        <v>7.54</v>
      </c>
      <c r="J48" s="38">
        <v>27.393497195622999</v>
      </c>
      <c r="K48" s="5">
        <v>34</v>
      </c>
      <c r="L48" s="21">
        <v>1.34165731737977E-2</v>
      </c>
      <c r="M48">
        <v>1</v>
      </c>
      <c r="N48" s="27" t="s">
        <v>5</v>
      </c>
      <c r="O48" s="27" t="s">
        <v>5</v>
      </c>
      <c r="P48" s="5">
        <v>23.35</v>
      </c>
      <c r="Q48">
        <v>1.7899999999999999E-2</v>
      </c>
      <c r="R48" s="31">
        <v>0.98191662376273403</v>
      </c>
    </row>
    <row r="49" spans="2:18" x14ac:dyDescent="0.3">
      <c r="B49" s="5">
        <f t="shared" si="0"/>
        <v>20</v>
      </c>
      <c r="C49" s="5" t="s">
        <v>38</v>
      </c>
      <c r="D49">
        <v>0.09</v>
      </c>
      <c r="E49" s="27">
        <v>4.1599999999999996E-3</v>
      </c>
      <c r="F49" s="27" t="s">
        <v>5</v>
      </c>
      <c r="G49" s="27">
        <v>1.141</v>
      </c>
      <c r="H49" s="41">
        <v>900.83055948920196</v>
      </c>
      <c r="I49" s="27">
        <v>7.54</v>
      </c>
      <c r="J49" s="38">
        <v>27.4208620229745</v>
      </c>
      <c r="K49" s="5">
        <v>34</v>
      </c>
      <c r="L49" s="21">
        <v>1.34165731737977E-2</v>
      </c>
      <c r="M49">
        <v>2</v>
      </c>
      <c r="N49" s="27" t="s">
        <v>5</v>
      </c>
      <c r="O49" s="27" t="s">
        <v>5</v>
      </c>
      <c r="P49" s="5">
        <v>24.08</v>
      </c>
      <c r="Q49">
        <v>1.77E-2</v>
      </c>
      <c r="R49" s="31">
        <v>0.91461154063158001</v>
      </c>
    </row>
    <row r="50" spans="2:18" x14ac:dyDescent="0.3">
      <c r="B50" s="5">
        <f t="shared" si="0"/>
        <v>21</v>
      </c>
      <c r="C50" s="5" t="s">
        <v>38</v>
      </c>
      <c r="D50">
        <v>0.09</v>
      </c>
      <c r="E50" s="27">
        <v>4.1599999999999996E-3</v>
      </c>
      <c r="F50" s="27" t="s">
        <v>5</v>
      </c>
      <c r="G50" s="27">
        <v>1.141</v>
      </c>
      <c r="H50" s="41">
        <v>1348.28711831839</v>
      </c>
      <c r="I50" s="27">
        <v>7.54</v>
      </c>
      <c r="J50" s="38">
        <v>27.448964716975201</v>
      </c>
      <c r="K50" s="5">
        <v>34</v>
      </c>
      <c r="L50" s="21">
        <v>1.34165731737977E-2</v>
      </c>
      <c r="M50">
        <v>3</v>
      </c>
      <c r="N50" s="27" t="s">
        <v>5</v>
      </c>
      <c r="O50" s="27" t="s">
        <v>5</v>
      </c>
      <c r="P50" s="5">
        <v>24.83</v>
      </c>
      <c r="Q50">
        <v>1.7399999999999999E-2</v>
      </c>
      <c r="R50" s="31">
        <v>0.84546248262012003</v>
      </c>
    </row>
    <row r="51" spans="2:18" x14ac:dyDescent="0.3">
      <c r="B51" s="5">
        <f t="shared" si="0"/>
        <v>22</v>
      </c>
      <c r="C51" s="5" t="s">
        <v>38</v>
      </c>
      <c r="D51">
        <v>0.09</v>
      </c>
      <c r="E51" s="27">
        <v>4.1599999999999996E-3</v>
      </c>
      <c r="F51" s="27" t="s">
        <v>5</v>
      </c>
      <c r="G51" s="27">
        <v>1.141</v>
      </c>
      <c r="H51" s="41">
        <v>948.43943441374097</v>
      </c>
      <c r="I51" s="27">
        <v>7.54</v>
      </c>
      <c r="J51" s="38">
        <v>26.933068400780499</v>
      </c>
      <c r="K51" s="5">
        <v>30</v>
      </c>
      <c r="L51" s="21">
        <v>2.6292909073648901E-3</v>
      </c>
      <c r="M51">
        <v>2</v>
      </c>
      <c r="N51" s="27" t="s">
        <v>5</v>
      </c>
      <c r="O51" s="27" t="s">
        <v>5</v>
      </c>
      <c r="P51" s="5">
        <v>14.72</v>
      </c>
      <c r="Q51">
        <v>9.1000000000000004E-3</v>
      </c>
      <c r="R51" s="31">
        <v>0.91024228723616796</v>
      </c>
    </row>
    <row r="52" spans="2:18" x14ac:dyDescent="0.3">
      <c r="B52" s="5">
        <f t="shared" si="0"/>
        <v>23</v>
      </c>
      <c r="C52" s="5" t="s">
        <v>38</v>
      </c>
      <c r="D52">
        <v>0.09</v>
      </c>
      <c r="E52" s="27">
        <v>4.1599999999999996E-3</v>
      </c>
      <c r="F52" s="27" t="s">
        <v>5</v>
      </c>
      <c r="G52" s="27">
        <v>1.141</v>
      </c>
      <c r="H52" s="41">
        <v>922.76997765062094</v>
      </c>
      <c r="I52" s="27">
        <v>7.54</v>
      </c>
      <c r="J52" s="38">
        <v>27.157165165217901</v>
      </c>
      <c r="K52" s="5">
        <v>30</v>
      </c>
      <c r="L52" s="21">
        <v>1.06522618872949E-2</v>
      </c>
      <c r="M52">
        <v>2</v>
      </c>
      <c r="N52" s="27" t="s">
        <v>5</v>
      </c>
      <c r="O52" s="27" t="s">
        <v>5</v>
      </c>
      <c r="P52" s="5">
        <v>20.93</v>
      </c>
      <c r="Q52">
        <v>1.4500000000000001E-2</v>
      </c>
      <c r="R52" s="31">
        <v>0.91226108976507703</v>
      </c>
    </row>
    <row r="53" spans="2:18" x14ac:dyDescent="0.3">
      <c r="B53" s="5">
        <f t="shared" si="0"/>
        <v>24</v>
      </c>
      <c r="C53" s="5" t="s">
        <v>38</v>
      </c>
      <c r="D53">
        <v>0.09</v>
      </c>
      <c r="E53" s="27">
        <v>4.1599999999999996E-3</v>
      </c>
      <c r="F53" s="27" t="s">
        <v>5</v>
      </c>
      <c r="G53" s="27">
        <v>1.141</v>
      </c>
      <c r="H53" s="41">
        <v>901.31138570642997</v>
      </c>
      <c r="I53" s="27">
        <v>7.54</v>
      </c>
      <c r="J53" s="38">
        <v>27.3276339430038</v>
      </c>
      <c r="K53" s="5">
        <v>30</v>
      </c>
      <c r="L53" s="21">
        <v>1.8884033209594999E-2</v>
      </c>
      <c r="M53">
        <v>2</v>
      </c>
      <c r="N53" s="27" t="s">
        <v>5</v>
      </c>
      <c r="O53" s="27" t="s">
        <v>5</v>
      </c>
      <c r="P53" s="5">
        <v>25.89</v>
      </c>
      <c r="Q53">
        <v>2.07E-2</v>
      </c>
      <c r="R53" s="31">
        <v>0.91382800471092995</v>
      </c>
    </row>
    <row r="54" spans="2:18" x14ac:dyDescent="0.3">
      <c r="B54" s="5">
        <f t="shared" si="0"/>
        <v>25</v>
      </c>
      <c r="C54" s="5" t="s">
        <v>38</v>
      </c>
      <c r="D54">
        <v>0.09</v>
      </c>
      <c r="E54" s="27">
        <v>4.1599999999999996E-3</v>
      </c>
      <c r="F54" s="27" t="s">
        <v>5</v>
      </c>
      <c r="G54" s="27">
        <v>1.141</v>
      </c>
      <c r="H54" s="41">
        <v>904.69472310826802</v>
      </c>
      <c r="I54" s="27">
        <v>7.54</v>
      </c>
      <c r="J54" s="38">
        <v>27.411201379192899</v>
      </c>
      <c r="K54" s="5">
        <v>35</v>
      </c>
      <c r="L54" s="21">
        <v>1.0589892305191299E-2</v>
      </c>
      <c r="M54">
        <v>2</v>
      </c>
      <c r="N54" s="27" t="s">
        <v>5</v>
      </c>
      <c r="O54" s="27" t="s">
        <v>5</v>
      </c>
      <c r="P54" s="5">
        <v>22.66</v>
      </c>
      <c r="Q54">
        <v>1.5900000000000001E-2</v>
      </c>
      <c r="R54" s="31">
        <v>0.91514168462635204</v>
      </c>
    </row>
    <row r="55" spans="2:18" x14ac:dyDescent="0.3">
      <c r="B55" s="5">
        <f t="shared" si="0"/>
        <v>26</v>
      </c>
      <c r="C55" s="5" t="s">
        <v>38</v>
      </c>
      <c r="D55">
        <v>0.09</v>
      </c>
      <c r="E55" s="27">
        <v>4.1599999999999996E-3</v>
      </c>
      <c r="F55" s="27" t="s">
        <v>5</v>
      </c>
      <c r="G55" s="27">
        <v>1.141</v>
      </c>
      <c r="H55" s="41">
        <v>957.41870949699705</v>
      </c>
      <c r="I55" s="27">
        <v>7.54</v>
      </c>
      <c r="J55" s="38">
        <v>26.762833195219901</v>
      </c>
      <c r="K55" s="5">
        <v>25</v>
      </c>
      <c r="L55" s="21">
        <v>5.91766710490867E-3</v>
      </c>
      <c r="M55">
        <v>2</v>
      </c>
      <c r="N55" s="27" t="s">
        <v>5</v>
      </c>
      <c r="O55" s="27" t="s">
        <v>5</v>
      </c>
      <c r="P55" s="5">
        <v>15.39</v>
      </c>
      <c r="Q55">
        <v>0.01</v>
      </c>
      <c r="R55" s="31">
        <v>0.90745424778394101</v>
      </c>
    </row>
    <row r="56" spans="2:18" ht="15" thickBot="1" x14ac:dyDescent="0.35">
      <c r="B56" s="7">
        <f t="shared" si="0"/>
        <v>27</v>
      </c>
      <c r="C56" s="7" t="s">
        <v>38</v>
      </c>
      <c r="D56" s="8">
        <v>0.09</v>
      </c>
      <c r="E56" s="32">
        <v>4.1599999999999996E-3</v>
      </c>
      <c r="F56" s="32" t="s">
        <v>5</v>
      </c>
      <c r="G56" s="32">
        <v>1.141</v>
      </c>
      <c r="H56" s="42">
        <v>1013.3426453107299</v>
      </c>
      <c r="I56" s="32">
        <v>7.54</v>
      </c>
      <c r="J56" s="39">
        <v>26.093809196061699</v>
      </c>
      <c r="K56" s="7">
        <v>15</v>
      </c>
      <c r="L56" s="22">
        <v>3.1699767325241899E-3</v>
      </c>
      <c r="M56" s="8">
        <v>2</v>
      </c>
      <c r="N56" s="32" t="s">
        <v>5</v>
      </c>
      <c r="O56" s="32" t="s">
        <v>5</v>
      </c>
      <c r="P56" s="7">
        <v>8.01</v>
      </c>
      <c r="Q56" s="8">
        <v>6.1000000000000004E-3</v>
      </c>
      <c r="R56" s="33">
        <v>0.89947684715924303</v>
      </c>
    </row>
  </sheetData>
  <mergeCells count="2">
    <mergeCell ref="E11:F11"/>
    <mergeCell ref="C7:N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3.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Kovacevic2017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